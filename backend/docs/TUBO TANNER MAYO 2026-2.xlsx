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hidePivotFieldList="1"/>
  <mc:AlternateContent xmlns:mc="http://schemas.openxmlformats.org/markup-compatibility/2006">
    <mc:Choice Requires="x15">
      <x15ac:absPath xmlns:x15ac="http://schemas.microsoft.com/office/spreadsheetml/2010/11/ac" url="https://phoenixservice1-my.sharepoint.com/personal/mgarrido_phlegal_cl/Documents/Escritorio/TRABAJO MAYO MGR/TANNER/Nueva carpeta/"/>
    </mc:Choice>
  </mc:AlternateContent>
  <xr:revisionPtr revIDLastSave="0" documentId="8_{A156E76F-872C-4CFD-B55C-B6769A59BFE6}" xr6:coauthVersionLast="47" xr6:coauthVersionMax="47" xr10:uidLastSave="{00000000-0000-0000-0000-000000000000}"/>
  <bookViews>
    <workbookView xWindow="0" yWindow="0" windowWidth="20490" windowHeight="10800" firstSheet="4" activeTab="4" xr2:uid="{00000000-000D-0000-FFFF-FFFF00000000}"/>
  </bookViews>
  <sheets>
    <sheet name="RESUMEN" sheetId="7" r:id="rId1"/>
    <sheet name="Export" sheetId="1" r:id="rId2"/>
    <sheet name="PLAN-PUT" sheetId="8" state="hidden" r:id="rId3"/>
    <sheet name="TUBO VIGENTE JULIO" sheetId="12" r:id="rId4"/>
    <sheet name="CASTIGO JULIO" sheetId="18" r:id="rId5"/>
    <sheet name="TUBO CASTIGO " sheetId="2" state="hidden" r:id="rId6"/>
    <sheet name="PLAN DE PAGO" sheetId="16" r:id="rId7"/>
    <sheet name="TUBO CASTIGO JUNIO MARY" sheetId="9" r:id="rId8"/>
    <sheet name="OFICIO " sheetId="6" r:id="rId9"/>
    <sheet name="TUBO VIGENTE " sheetId="3" state="hidden" r:id="rId10"/>
    <sheet name="Proyeccion Dacion-Rene Julio" sheetId="11" r:id="rId11"/>
    <sheet name="PROYECCION CASTIGO " sheetId="5" r:id="rId12"/>
    <sheet name="CASOS PARA VISITAR" sheetId="14" r:id="rId13"/>
    <sheet name="posibles estafas" sheetId="15" r:id="rId14"/>
  </sheets>
  <externalReferences>
    <externalReference r:id="rId15"/>
  </externalReferences>
  <definedNames>
    <definedName name="_xlnm._FilterDatabase" localSheetId="1" hidden="1">Export!$A$1:$BE$551</definedName>
    <definedName name="_xlnm._FilterDatabase" localSheetId="2" hidden="1">'PLAN-PUT'!$A$1:$BE$23</definedName>
    <definedName name="_xlnm._FilterDatabase" localSheetId="5" hidden="1">'TUBO CASTIGO '!$A$1:$S$29</definedName>
    <definedName name="_xlnm._FilterDatabase" localSheetId="7" hidden="1">'TUBO CASTIGO JUNIO MARY'!$A$1:$P$25</definedName>
    <definedName name="_xlnm._FilterDatabase" localSheetId="9" hidden="1">'TUBO VIGENTE '!$A$1:$T$164</definedName>
    <definedName name="_xlnm._FilterDatabase" localSheetId="3" hidden="1">'TUBO VIGENTE JULIO'!$A$1:$T$77</definedName>
  </definedNames>
  <calcPr calcId="191028"/>
  <pivotCaches>
    <pivotCache cacheId="59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9" i="12" l="1"/>
  <c r="B5" i="12"/>
  <c r="L42" i="12"/>
  <c r="B32" i="12"/>
  <c r="B13" i="16"/>
  <c r="B27" i="12"/>
  <c r="B22" i="12"/>
  <c r="E28" i="11"/>
  <c r="D28" i="11"/>
  <c r="G13" i="16"/>
  <c r="B3" i="16"/>
  <c r="B4" i="16"/>
  <c r="B5" i="16"/>
  <c r="B6" i="16"/>
  <c r="B7" i="16"/>
  <c r="B8" i="16"/>
  <c r="B9" i="16"/>
  <c r="B10" i="16"/>
  <c r="B11" i="16"/>
  <c r="B12" i="16"/>
  <c r="B2" i="16"/>
  <c r="B14" i="18"/>
  <c r="G2" i="18"/>
  <c r="G3" i="18"/>
  <c r="L3" i="18" s="1"/>
  <c r="G4" i="18"/>
  <c r="L4" i="18" s="1"/>
  <c r="G5" i="18"/>
  <c r="L5" i="18" s="1"/>
  <c r="G6" i="18"/>
  <c r="L6" i="18" s="1"/>
  <c r="G7" i="18"/>
  <c r="L7" i="18" s="1"/>
  <c r="G8" i="18"/>
  <c r="L8" i="18" s="1"/>
  <c r="G9" i="18"/>
  <c r="L9" i="18" s="1"/>
  <c r="G10" i="18"/>
  <c r="L10" i="18" s="1"/>
  <c r="G11" i="18"/>
  <c r="L11" i="18" s="1"/>
  <c r="G12" i="18"/>
  <c r="L12" i="18" s="1"/>
  <c r="G13" i="18"/>
  <c r="L13" i="18" s="1"/>
  <c r="L14" i="18"/>
  <c r="L15" i="18"/>
  <c r="L16" i="18"/>
  <c r="L17" i="18"/>
  <c r="L18" i="18"/>
  <c r="L19" i="18"/>
  <c r="G20" i="18"/>
  <c r="L20" i="18" s="1"/>
  <c r="L21" i="18"/>
  <c r="G22" i="18"/>
  <c r="L22" i="18" s="1"/>
  <c r="G23" i="18"/>
  <c r="L23" i="18" s="1"/>
  <c r="G24" i="18"/>
  <c r="L25" i="18" s="1"/>
  <c r="B16" i="18"/>
  <c r="B17" i="18"/>
  <c r="B18" i="18"/>
  <c r="B19" i="18"/>
  <c r="B20" i="18"/>
  <c r="B21" i="18"/>
  <c r="B22" i="18"/>
  <c r="B23" i="18"/>
  <c r="B24" i="18"/>
  <c r="C16" i="18"/>
  <c r="C17" i="18"/>
  <c r="C18" i="18"/>
  <c r="C19" i="18"/>
  <c r="C20" i="18"/>
  <c r="C21" i="18"/>
  <c r="C22" i="18"/>
  <c r="C23" i="18"/>
  <c r="C24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3" i="18"/>
  <c r="E2" i="18"/>
  <c r="C15" i="18"/>
  <c r="B15" i="18"/>
  <c r="C14" i="18"/>
  <c r="C13" i="18"/>
  <c r="B13" i="18"/>
  <c r="C12" i="18"/>
  <c r="B12" i="18"/>
  <c r="C11" i="18"/>
  <c r="B11" i="18"/>
  <c r="C10" i="18"/>
  <c r="B10" i="18"/>
  <c r="C9" i="18"/>
  <c r="B9" i="18"/>
  <c r="C8" i="18"/>
  <c r="B8" i="18"/>
  <c r="C7" i="18"/>
  <c r="B7" i="18"/>
  <c r="C6" i="18"/>
  <c r="B6" i="18"/>
  <c r="C5" i="18"/>
  <c r="B5" i="18"/>
  <c r="C4" i="18"/>
  <c r="B4" i="18"/>
  <c r="C3" i="18"/>
  <c r="B3" i="18"/>
  <c r="C2" i="18"/>
  <c r="B2" i="18"/>
  <c r="D85" i="12"/>
  <c r="D88" i="12"/>
  <c r="G26" i="18" l="1"/>
  <c r="L2" i="18"/>
  <c r="B28" i="18" s="1"/>
  <c r="B29" i="18" s="1"/>
  <c r="B7" i="12"/>
  <c r="D12" i="12"/>
  <c r="L22" i="12"/>
  <c r="D48" i="12"/>
  <c r="L67" i="12"/>
  <c r="M67" i="12" s="1"/>
  <c r="L68" i="12"/>
  <c r="M68" i="12" s="1"/>
  <c r="L58" i="12"/>
  <c r="L59" i="12"/>
  <c r="H56" i="9"/>
  <c r="I29" i="11" l="1"/>
  <c r="E29" i="11"/>
  <c r="D29" i="11"/>
  <c r="I28" i="11"/>
  <c r="D9" i="11"/>
  <c r="D94" i="12"/>
  <c r="D91" i="12" s="1"/>
  <c r="E24" i="11" l="1"/>
  <c r="D24" i="11"/>
  <c r="D25" i="11"/>
  <c r="E25" i="11"/>
  <c r="D26" i="11"/>
  <c r="E26" i="11"/>
  <c r="T27" i="12"/>
  <c r="J27" i="12"/>
  <c r="K27" i="12"/>
  <c r="L27" i="12"/>
  <c r="Q27" i="12" s="1"/>
  <c r="G27" i="12"/>
  <c r="C27" i="12"/>
  <c r="D27" i="12"/>
  <c r="E27" i="12"/>
  <c r="H23" i="11"/>
  <c r="D23" i="11"/>
  <c r="E23" i="11"/>
  <c r="M27" i="12" l="1"/>
  <c r="B22" i="9"/>
  <c r="C22" i="9"/>
  <c r="D22" i="9"/>
  <c r="F22" i="9"/>
  <c r="B23" i="9"/>
  <c r="C23" i="9"/>
  <c r="D23" i="9"/>
  <c r="F23" i="9"/>
  <c r="B24" i="9"/>
  <c r="C24" i="9"/>
  <c r="D24" i="9"/>
  <c r="F24" i="9"/>
  <c r="B25" i="9"/>
  <c r="C25" i="9"/>
  <c r="D25" i="9"/>
  <c r="F25" i="9"/>
  <c r="B44" i="12" l="1"/>
  <c r="G12" i="16"/>
  <c r="G3" i="16"/>
  <c r="G4" i="16"/>
  <c r="G5" i="16"/>
  <c r="G6" i="16"/>
  <c r="G7" i="16"/>
  <c r="G8" i="16"/>
  <c r="G9" i="16"/>
  <c r="G10" i="16"/>
  <c r="G11" i="16"/>
  <c r="G2" i="16"/>
  <c r="B32" i="9"/>
  <c r="C32" i="9"/>
  <c r="D32" i="9"/>
  <c r="F32" i="9"/>
  <c r="B33" i="9"/>
  <c r="C33" i="9"/>
  <c r="D33" i="9"/>
  <c r="F33" i="9"/>
  <c r="B34" i="9"/>
  <c r="C34" i="9"/>
  <c r="D34" i="9"/>
  <c r="F34" i="9"/>
  <c r="B35" i="9"/>
  <c r="C35" i="9"/>
  <c r="D35" i="9"/>
  <c r="F35" i="9"/>
  <c r="B36" i="9"/>
  <c r="C36" i="9"/>
  <c r="D36" i="9"/>
  <c r="F36" i="9"/>
  <c r="B37" i="9"/>
  <c r="C37" i="9"/>
  <c r="D37" i="9"/>
  <c r="F37" i="9"/>
  <c r="B38" i="9"/>
  <c r="C38" i="9"/>
  <c r="D38" i="9"/>
  <c r="F38" i="9"/>
  <c r="B39" i="9"/>
  <c r="C39" i="9"/>
  <c r="D39" i="9"/>
  <c r="F39" i="9"/>
  <c r="B40" i="9"/>
  <c r="C40" i="9"/>
  <c r="D40" i="9"/>
  <c r="F40" i="9"/>
  <c r="B41" i="9"/>
  <c r="C41" i="9"/>
  <c r="D41" i="9"/>
  <c r="F41" i="9"/>
  <c r="B42" i="9"/>
  <c r="C42" i="9"/>
  <c r="D42" i="9"/>
  <c r="F42" i="9"/>
  <c r="B43" i="9"/>
  <c r="C43" i="9"/>
  <c r="D43" i="9"/>
  <c r="F43" i="9"/>
  <c r="D12" i="9"/>
  <c r="L43" i="12"/>
  <c r="E9" i="11"/>
  <c r="D10" i="11"/>
  <c r="E10" i="11"/>
  <c r="D11" i="11"/>
  <c r="E11" i="11"/>
  <c r="F49" i="11"/>
  <c r="B38" i="12"/>
  <c r="B18" i="12"/>
  <c r="D7" i="11"/>
  <c r="B31" i="12"/>
  <c r="B6" i="14"/>
  <c r="E17" i="11" l="1"/>
  <c r="D17" i="11"/>
  <c r="E16" i="11"/>
  <c r="D16" i="11"/>
  <c r="B16" i="9"/>
  <c r="C16" i="9"/>
  <c r="D16" i="9"/>
  <c r="F16" i="9"/>
  <c r="B17" i="9"/>
  <c r="C17" i="9"/>
  <c r="D17" i="9"/>
  <c r="F17" i="9"/>
  <c r="B18" i="9"/>
  <c r="C18" i="9"/>
  <c r="D18" i="9"/>
  <c r="F18" i="9"/>
  <c r="B19" i="9"/>
  <c r="C19" i="9"/>
  <c r="D19" i="9"/>
  <c r="B20" i="9"/>
  <c r="C20" i="9"/>
  <c r="D20" i="9"/>
  <c r="F20" i="9"/>
  <c r="B21" i="9"/>
  <c r="C21" i="9"/>
  <c r="D21" i="9"/>
  <c r="F21" i="9"/>
  <c r="C12" i="9" l="1"/>
  <c r="C11" i="9"/>
  <c r="C6" i="12"/>
  <c r="B10" i="14"/>
  <c r="C10" i="14"/>
  <c r="D10" i="14"/>
  <c r="E10" i="14"/>
  <c r="F10" i="14"/>
  <c r="G10" i="14"/>
  <c r="H10" i="14"/>
  <c r="K10" i="14"/>
  <c r="L10" i="14"/>
  <c r="C11" i="14"/>
  <c r="D11" i="14"/>
  <c r="E11" i="14"/>
  <c r="F11" i="14"/>
  <c r="G11" i="14"/>
  <c r="H11" i="14"/>
  <c r="K11" i="14"/>
  <c r="L11" i="14"/>
  <c r="B12" i="14"/>
  <c r="C12" i="14"/>
  <c r="D12" i="14"/>
  <c r="E12" i="14"/>
  <c r="G12" i="14"/>
  <c r="H12" i="14"/>
  <c r="K12" i="14"/>
  <c r="L12" i="14"/>
  <c r="B13" i="14"/>
  <c r="C13" i="14"/>
  <c r="D13" i="14"/>
  <c r="E13" i="14"/>
  <c r="F13" i="14"/>
  <c r="G13" i="14"/>
  <c r="H13" i="14"/>
  <c r="K13" i="14"/>
  <c r="L13" i="14"/>
  <c r="B14" i="14"/>
  <c r="C14" i="14"/>
  <c r="D14" i="14"/>
  <c r="E14" i="14"/>
  <c r="F14" i="14"/>
  <c r="G14" i="14"/>
  <c r="H14" i="14"/>
  <c r="K14" i="14"/>
  <c r="L14" i="14"/>
  <c r="B15" i="14"/>
  <c r="C15" i="14"/>
  <c r="D15" i="14"/>
  <c r="E15" i="14"/>
  <c r="F15" i="14"/>
  <c r="G15" i="14"/>
  <c r="H15" i="14"/>
  <c r="K15" i="14"/>
  <c r="L15" i="14"/>
  <c r="B16" i="14"/>
  <c r="C16" i="14"/>
  <c r="D16" i="14"/>
  <c r="E16" i="14"/>
  <c r="F16" i="14"/>
  <c r="G16" i="14"/>
  <c r="H16" i="14"/>
  <c r="K16" i="14"/>
  <c r="L16" i="14"/>
  <c r="B17" i="14"/>
  <c r="C17" i="14"/>
  <c r="D17" i="14"/>
  <c r="E17" i="14"/>
  <c r="F17" i="14"/>
  <c r="G17" i="14"/>
  <c r="H17" i="14"/>
  <c r="K17" i="14"/>
  <c r="L17" i="14"/>
  <c r="B18" i="14"/>
  <c r="C18" i="14"/>
  <c r="D18" i="14"/>
  <c r="E18" i="14"/>
  <c r="F18" i="14"/>
  <c r="G18" i="14"/>
  <c r="H18" i="14"/>
  <c r="K18" i="14"/>
  <c r="L18" i="14"/>
  <c r="B7" i="14"/>
  <c r="C7" i="14"/>
  <c r="D7" i="14"/>
  <c r="E7" i="14"/>
  <c r="F7" i="14"/>
  <c r="G7" i="14"/>
  <c r="H7" i="14"/>
  <c r="L7" i="14"/>
  <c r="B8" i="14"/>
  <c r="C8" i="14"/>
  <c r="D8" i="14"/>
  <c r="E8" i="14"/>
  <c r="F8" i="14"/>
  <c r="G8" i="14"/>
  <c r="H8" i="14"/>
  <c r="L8" i="14"/>
  <c r="B9" i="14"/>
  <c r="C9" i="14"/>
  <c r="D9" i="14"/>
  <c r="E9" i="14"/>
  <c r="F9" i="14"/>
  <c r="G9" i="14"/>
  <c r="H9" i="14"/>
  <c r="K9" i="14"/>
  <c r="L9" i="14"/>
  <c r="B2" i="14"/>
  <c r="C2" i="14"/>
  <c r="D2" i="14"/>
  <c r="E2" i="14"/>
  <c r="F2" i="14"/>
  <c r="G2" i="14"/>
  <c r="H2" i="14"/>
  <c r="L2" i="14"/>
  <c r="B3" i="14"/>
  <c r="C3" i="14"/>
  <c r="D3" i="14"/>
  <c r="E3" i="14"/>
  <c r="F3" i="14"/>
  <c r="G3" i="14"/>
  <c r="H3" i="14"/>
  <c r="L3" i="14"/>
  <c r="B4" i="14"/>
  <c r="C4" i="14"/>
  <c r="D4" i="14"/>
  <c r="E4" i="14"/>
  <c r="F4" i="14"/>
  <c r="G4" i="14"/>
  <c r="H4" i="14"/>
  <c r="L4" i="14"/>
  <c r="B5" i="14"/>
  <c r="C5" i="14"/>
  <c r="D5" i="14"/>
  <c r="E5" i="14"/>
  <c r="F5" i="14"/>
  <c r="G5" i="14"/>
  <c r="H5" i="14"/>
  <c r="K5" i="14"/>
  <c r="L5" i="14"/>
  <c r="C6" i="14"/>
  <c r="D6" i="14"/>
  <c r="E6" i="14"/>
  <c r="F6" i="14"/>
  <c r="G6" i="14"/>
  <c r="H6" i="14"/>
  <c r="L6" i="14"/>
  <c r="B57" i="12"/>
  <c r="C57" i="12"/>
  <c r="D57" i="12"/>
  <c r="E57" i="12"/>
  <c r="G57" i="12"/>
  <c r="J57" i="12"/>
  <c r="K57" i="12"/>
  <c r="L57" i="12"/>
  <c r="Q57" i="12" s="1"/>
  <c r="T57" i="12"/>
  <c r="B58" i="12"/>
  <c r="C58" i="12"/>
  <c r="D58" i="12"/>
  <c r="E58" i="12"/>
  <c r="G58" i="12"/>
  <c r="J58" i="12"/>
  <c r="K58" i="12"/>
  <c r="M58" i="12" s="1"/>
  <c r="Q58" i="12"/>
  <c r="T58" i="12"/>
  <c r="B59" i="12"/>
  <c r="C59" i="12"/>
  <c r="D59" i="12"/>
  <c r="E59" i="12"/>
  <c r="G59" i="12"/>
  <c r="J59" i="12"/>
  <c r="K59" i="12"/>
  <c r="Q59" i="12"/>
  <c r="T59" i="12"/>
  <c r="B60" i="12"/>
  <c r="C60" i="12"/>
  <c r="D60" i="12"/>
  <c r="E60" i="12"/>
  <c r="G60" i="12"/>
  <c r="J60" i="12"/>
  <c r="K60" i="12"/>
  <c r="L60" i="12"/>
  <c r="Q60" i="12"/>
  <c r="T60" i="12"/>
  <c r="B61" i="12"/>
  <c r="C61" i="12"/>
  <c r="D61" i="12"/>
  <c r="E61" i="12"/>
  <c r="G61" i="12"/>
  <c r="J61" i="12"/>
  <c r="K61" i="12"/>
  <c r="L61" i="12"/>
  <c r="Q61" i="12"/>
  <c r="T61" i="12"/>
  <c r="B62" i="12"/>
  <c r="C62" i="12"/>
  <c r="D62" i="12"/>
  <c r="E62" i="12"/>
  <c r="G62" i="12"/>
  <c r="J62" i="12"/>
  <c r="K62" i="12"/>
  <c r="L62" i="12"/>
  <c r="Q62" i="12" s="1"/>
  <c r="T62" i="12"/>
  <c r="B63" i="12"/>
  <c r="C63" i="12"/>
  <c r="D63" i="12"/>
  <c r="E63" i="12"/>
  <c r="G63" i="12"/>
  <c r="J63" i="12"/>
  <c r="K63" i="12"/>
  <c r="L63" i="12"/>
  <c r="Q63" i="12" s="1"/>
  <c r="T63" i="12"/>
  <c r="B64" i="12"/>
  <c r="C64" i="12"/>
  <c r="D64" i="12"/>
  <c r="E64" i="12"/>
  <c r="G64" i="12"/>
  <c r="J64" i="12"/>
  <c r="K64" i="12"/>
  <c r="L64" i="12"/>
  <c r="Q64" i="12" s="1"/>
  <c r="T64" i="12"/>
  <c r="B65" i="12"/>
  <c r="C65" i="12"/>
  <c r="D65" i="12"/>
  <c r="E65" i="12"/>
  <c r="G65" i="12"/>
  <c r="J65" i="12"/>
  <c r="K65" i="12"/>
  <c r="L65" i="12"/>
  <c r="Q65" i="12" s="1"/>
  <c r="T65" i="12"/>
  <c r="B66" i="12"/>
  <c r="C66" i="12"/>
  <c r="D66" i="12"/>
  <c r="E66" i="12"/>
  <c r="G66" i="12"/>
  <c r="J66" i="12"/>
  <c r="K66" i="12"/>
  <c r="L66" i="12"/>
  <c r="Q66" i="12" s="1"/>
  <c r="T66" i="12"/>
  <c r="B67" i="12"/>
  <c r="C67" i="12"/>
  <c r="D67" i="12"/>
  <c r="E67" i="12"/>
  <c r="G67" i="12"/>
  <c r="J67" i="12"/>
  <c r="K67" i="12"/>
  <c r="Q67" i="12"/>
  <c r="T67" i="12"/>
  <c r="B68" i="12"/>
  <c r="C68" i="12"/>
  <c r="D68" i="12"/>
  <c r="E68" i="12"/>
  <c r="G68" i="12"/>
  <c r="J68" i="12"/>
  <c r="K68" i="12"/>
  <c r="Q68" i="12"/>
  <c r="T68" i="12"/>
  <c r="B69" i="12"/>
  <c r="C69" i="12"/>
  <c r="D69" i="12"/>
  <c r="E69" i="12"/>
  <c r="G69" i="12"/>
  <c r="J69" i="12"/>
  <c r="K69" i="12"/>
  <c r="L69" i="12"/>
  <c r="Q69" i="12"/>
  <c r="T69" i="12"/>
  <c r="B70" i="12"/>
  <c r="C70" i="12"/>
  <c r="D70" i="12"/>
  <c r="E70" i="12"/>
  <c r="G70" i="12"/>
  <c r="J70" i="12"/>
  <c r="K70" i="12"/>
  <c r="L70" i="12"/>
  <c r="Q70" i="12" s="1"/>
  <c r="T70" i="12"/>
  <c r="B71" i="12"/>
  <c r="C71" i="12"/>
  <c r="D71" i="12"/>
  <c r="E71" i="12"/>
  <c r="G71" i="12"/>
  <c r="J71" i="12"/>
  <c r="K71" i="12"/>
  <c r="L71" i="12"/>
  <c r="Q71" i="12"/>
  <c r="T71" i="12"/>
  <c r="B72" i="12"/>
  <c r="C72" i="12"/>
  <c r="D72" i="12"/>
  <c r="E72" i="12"/>
  <c r="G72" i="12"/>
  <c r="J72" i="12"/>
  <c r="K72" i="12"/>
  <c r="L72" i="12"/>
  <c r="Q72" i="12"/>
  <c r="T72" i="12"/>
  <c r="B73" i="12"/>
  <c r="C73" i="12"/>
  <c r="D73" i="12"/>
  <c r="E73" i="12"/>
  <c r="G73" i="12"/>
  <c r="J73" i="12"/>
  <c r="K73" i="12"/>
  <c r="L73" i="12"/>
  <c r="Q73" i="12"/>
  <c r="T73" i="12"/>
  <c r="B74" i="12"/>
  <c r="C74" i="12"/>
  <c r="D74" i="12"/>
  <c r="E74" i="12"/>
  <c r="G74" i="12"/>
  <c r="J74" i="12"/>
  <c r="K74" i="12"/>
  <c r="L74" i="12"/>
  <c r="Q74" i="12"/>
  <c r="T74" i="12"/>
  <c r="B75" i="12"/>
  <c r="C75" i="12"/>
  <c r="D75" i="12"/>
  <c r="E75" i="12"/>
  <c r="G75" i="12"/>
  <c r="J75" i="12"/>
  <c r="K75" i="12"/>
  <c r="L75" i="12"/>
  <c r="Q75" i="12"/>
  <c r="T75" i="12"/>
  <c r="B76" i="12"/>
  <c r="C76" i="12"/>
  <c r="D76" i="12"/>
  <c r="E76" i="12"/>
  <c r="G76" i="12"/>
  <c r="J76" i="12"/>
  <c r="K76" i="12"/>
  <c r="L76" i="12"/>
  <c r="Q76" i="12"/>
  <c r="T76" i="12"/>
  <c r="B77" i="12"/>
  <c r="C77" i="12"/>
  <c r="D77" i="12"/>
  <c r="E77" i="12"/>
  <c r="G77" i="12"/>
  <c r="J77" i="12"/>
  <c r="K77" i="12"/>
  <c r="L77" i="12"/>
  <c r="Q77" i="12"/>
  <c r="T77" i="12"/>
  <c r="B24" i="12"/>
  <c r="C24" i="12"/>
  <c r="D24" i="12"/>
  <c r="E24" i="12"/>
  <c r="G24" i="12"/>
  <c r="J24" i="12"/>
  <c r="K24" i="12"/>
  <c r="L24" i="12"/>
  <c r="Q24" i="12" s="1"/>
  <c r="T24" i="12"/>
  <c r="B25" i="12"/>
  <c r="C25" i="12"/>
  <c r="D25" i="12"/>
  <c r="E25" i="12"/>
  <c r="G25" i="12"/>
  <c r="J25" i="12"/>
  <c r="K25" i="12"/>
  <c r="L25" i="12"/>
  <c r="Q25" i="12" s="1"/>
  <c r="T25" i="12"/>
  <c r="B26" i="12"/>
  <c r="C26" i="12"/>
  <c r="D26" i="12"/>
  <c r="E26" i="12"/>
  <c r="G26" i="12"/>
  <c r="J26" i="12"/>
  <c r="K26" i="12"/>
  <c r="L26" i="12"/>
  <c r="Q26" i="12" s="1"/>
  <c r="T26" i="12"/>
  <c r="B28" i="12"/>
  <c r="C28" i="12"/>
  <c r="D28" i="12"/>
  <c r="E28" i="12"/>
  <c r="G28" i="12"/>
  <c r="J28" i="12"/>
  <c r="K28" i="12"/>
  <c r="L28" i="12"/>
  <c r="Q28" i="12" s="1"/>
  <c r="T28" i="12"/>
  <c r="B29" i="12"/>
  <c r="C29" i="12"/>
  <c r="D29" i="12"/>
  <c r="E29" i="12"/>
  <c r="G29" i="12"/>
  <c r="J29" i="12"/>
  <c r="K29" i="12"/>
  <c r="L29" i="12"/>
  <c r="Q29" i="12" s="1"/>
  <c r="T29" i="12"/>
  <c r="B30" i="12"/>
  <c r="C30" i="12"/>
  <c r="D30" i="12"/>
  <c r="E30" i="12"/>
  <c r="G30" i="12"/>
  <c r="J30" i="12"/>
  <c r="K30" i="12"/>
  <c r="L30" i="12"/>
  <c r="Q30" i="12"/>
  <c r="T30" i="12"/>
  <c r="C31" i="12"/>
  <c r="D31" i="12"/>
  <c r="E31" i="12"/>
  <c r="G31" i="12"/>
  <c r="J31" i="12"/>
  <c r="K31" i="12"/>
  <c r="L31" i="12"/>
  <c r="Q31" i="12" s="1"/>
  <c r="T31" i="12"/>
  <c r="C32" i="12"/>
  <c r="D32" i="12"/>
  <c r="E32" i="12"/>
  <c r="G32" i="12"/>
  <c r="J32" i="12"/>
  <c r="K32" i="12"/>
  <c r="L32" i="12"/>
  <c r="Q32" i="12" s="1"/>
  <c r="T32" i="12"/>
  <c r="B33" i="12"/>
  <c r="C33" i="12"/>
  <c r="D33" i="12"/>
  <c r="E33" i="12"/>
  <c r="G33" i="12"/>
  <c r="J33" i="12"/>
  <c r="K33" i="12"/>
  <c r="L33" i="12"/>
  <c r="Q33" i="12"/>
  <c r="T33" i="12"/>
  <c r="B34" i="12"/>
  <c r="C34" i="12"/>
  <c r="D34" i="12"/>
  <c r="E34" i="12"/>
  <c r="G34" i="12"/>
  <c r="J34" i="12"/>
  <c r="K34" i="12"/>
  <c r="L34" i="12"/>
  <c r="Q34" i="12"/>
  <c r="T34" i="12"/>
  <c r="B35" i="12"/>
  <c r="C35" i="12"/>
  <c r="D35" i="12"/>
  <c r="E35" i="12"/>
  <c r="G35" i="12"/>
  <c r="J35" i="12"/>
  <c r="K35" i="12"/>
  <c r="L35" i="12"/>
  <c r="Q35" i="12"/>
  <c r="T35" i="12"/>
  <c r="B36" i="12"/>
  <c r="C36" i="12"/>
  <c r="D36" i="12"/>
  <c r="E36" i="12"/>
  <c r="J36" i="12"/>
  <c r="K36" i="12"/>
  <c r="L36" i="12"/>
  <c r="Q36" i="12" s="1"/>
  <c r="T36" i="12"/>
  <c r="B37" i="12"/>
  <c r="C37" i="12"/>
  <c r="D37" i="12"/>
  <c r="E37" i="12"/>
  <c r="G37" i="12"/>
  <c r="J37" i="12"/>
  <c r="K37" i="12"/>
  <c r="L37" i="12"/>
  <c r="Q37" i="12" s="1"/>
  <c r="T37" i="12"/>
  <c r="C38" i="12"/>
  <c r="D38" i="12"/>
  <c r="E38" i="12"/>
  <c r="G38" i="12"/>
  <c r="J38" i="12"/>
  <c r="K38" i="12"/>
  <c r="L38" i="12"/>
  <c r="Q38" i="12" s="1"/>
  <c r="T38" i="12"/>
  <c r="B39" i="12"/>
  <c r="C39" i="12"/>
  <c r="D39" i="12"/>
  <c r="E39" i="12"/>
  <c r="G39" i="12"/>
  <c r="J39" i="12"/>
  <c r="K39" i="12"/>
  <c r="L39" i="12"/>
  <c r="Q39" i="12" s="1"/>
  <c r="T39" i="12"/>
  <c r="B40" i="12"/>
  <c r="C40" i="12"/>
  <c r="D40" i="12"/>
  <c r="E40" i="12"/>
  <c r="G40" i="12"/>
  <c r="J40" i="12"/>
  <c r="K40" i="12"/>
  <c r="L40" i="12"/>
  <c r="Q40" i="12" s="1"/>
  <c r="T40" i="12"/>
  <c r="B41" i="12"/>
  <c r="C41" i="12"/>
  <c r="D41" i="12"/>
  <c r="E41" i="12"/>
  <c r="G41" i="12"/>
  <c r="J41" i="12"/>
  <c r="K41" i="12"/>
  <c r="L41" i="12"/>
  <c r="Q41" i="12"/>
  <c r="T41" i="12"/>
  <c r="B42" i="12"/>
  <c r="C42" i="12"/>
  <c r="D42" i="12"/>
  <c r="E42" i="12"/>
  <c r="G42" i="12"/>
  <c r="J42" i="12"/>
  <c r="K42" i="12"/>
  <c r="Q42" i="12"/>
  <c r="T42" i="12"/>
  <c r="B43" i="12"/>
  <c r="C43" i="12"/>
  <c r="D43" i="12"/>
  <c r="E43" i="12"/>
  <c r="G43" i="12"/>
  <c r="J43" i="12"/>
  <c r="K43" i="12"/>
  <c r="M43" i="12" s="1"/>
  <c r="Q43" i="12"/>
  <c r="T43" i="12"/>
  <c r="C44" i="12"/>
  <c r="D44" i="12"/>
  <c r="E44" i="12"/>
  <c r="G44" i="12"/>
  <c r="J44" i="12"/>
  <c r="K44" i="12"/>
  <c r="L44" i="12"/>
  <c r="Q44" i="12" s="1"/>
  <c r="T44" i="12"/>
  <c r="B45" i="12"/>
  <c r="C45" i="12"/>
  <c r="D45" i="12"/>
  <c r="E45" i="12"/>
  <c r="G45" i="12"/>
  <c r="J45" i="12"/>
  <c r="K45" i="12"/>
  <c r="L45" i="12"/>
  <c r="Q45" i="12" s="1"/>
  <c r="T45" i="12"/>
  <c r="B46" i="12"/>
  <c r="C46" i="12"/>
  <c r="D46" i="12"/>
  <c r="E46" i="12"/>
  <c r="G46" i="12"/>
  <c r="J46" i="12"/>
  <c r="K46" i="12"/>
  <c r="L46" i="12"/>
  <c r="Q46" i="12" s="1"/>
  <c r="T46" i="12"/>
  <c r="B47" i="12"/>
  <c r="C47" i="12"/>
  <c r="D47" i="12"/>
  <c r="E47" i="12"/>
  <c r="G47" i="12"/>
  <c r="J47" i="12"/>
  <c r="K47" i="12"/>
  <c r="L47" i="12"/>
  <c r="Q47" i="12" s="1"/>
  <c r="T47" i="12"/>
  <c r="B48" i="12"/>
  <c r="C48" i="12"/>
  <c r="E48" i="12"/>
  <c r="G48" i="12"/>
  <c r="J48" i="12"/>
  <c r="K48" i="12"/>
  <c r="L48" i="12"/>
  <c r="Q48" i="12"/>
  <c r="T48" i="12"/>
  <c r="B49" i="12"/>
  <c r="C49" i="12"/>
  <c r="D49" i="12"/>
  <c r="E49" i="12"/>
  <c r="G49" i="12"/>
  <c r="J49" i="12"/>
  <c r="K49" i="12"/>
  <c r="M49" i="12" s="1"/>
  <c r="L49" i="12"/>
  <c r="Q49" i="12"/>
  <c r="T49" i="12"/>
  <c r="B50" i="12"/>
  <c r="C50" i="12"/>
  <c r="D50" i="12"/>
  <c r="E50" i="12"/>
  <c r="G50" i="12"/>
  <c r="J50" i="12"/>
  <c r="K50" i="12"/>
  <c r="L50" i="12"/>
  <c r="Q50" i="12" s="1"/>
  <c r="T50" i="12"/>
  <c r="B51" i="12"/>
  <c r="C51" i="12"/>
  <c r="D51" i="12"/>
  <c r="E51" i="12"/>
  <c r="G51" i="12"/>
  <c r="J51" i="12"/>
  <c r="K51" i="12"/>
  <c r="L51" i="12"/>
  <c r="Q51" i="12"/>
  <c r="T51" i="12"/>
  <c r="B52" i="12"/>
  <c r="C52" i="12"/>
  <c r="D52" i="12"/>
  <c r="E52" i="12"/>
  <c r="G52" i="12"/>
  <c r="J52" i="12"/>
  <c r="K52" i="12"/>
  <c r="L52" i="12"/>
  <c r="Q52" i="12" s="1"/>
  <c r="T52" i="12"/>
  <c r="B53" i="12"/>
  <c r="C53" i="12"/>
  <c r="D53" i="12"/>
  <c r="E53" i="12"/>
  <c r="G53" i="12"/>
  <c r="J53" i="12"/>
  <c r="K53" i="12"/>
  <c r="L53" i="12"/>
  <c r="Q53" i="12" s="1"/>
  <c r="T53" i="12"/>
  <c r="B54" i="12"/>
  <c r="C54" i="12"/>
  <c r="D54" i="12"/>
  <c r="E54" i="12"/>
  <c r="G54" i="12"/>
  <c r="J54" i="12"/>
  <c r="K54" i="12"/>
  <c r="M54" i="12" s="1"/>
  <c r="L54" i="12"/>
  <c r="Q54" i="12"/>
  <c r="T54" i="12"/>
  <c r="B55" i="12"/>
  <c r="C55" i="12"/>
  <c r="D55" i="12"/>
  <c r="E55" i="12"/>
  <c r="G55" i="12"/>
  <c r="J55" i="12"/>
  <c r="K55" i="12"/>
  <c r="L55" i="12"/>
  <c r="Q55" i="12"/>
  <c r="T55" i="12"/>
  <c r="B56" i="12"/>
  <c r="C56" i="12"/>
  <c r="D56" i="12"/>
  <c r="E56" i="12"/>
  <c r="G56" i="12"/>
  <c r="J56" i="12"/>
  <c r="K56" i="12"/>
  <c r="L56" i="12"/>
  <c r="Q56" i="12" s="1"/>
  <c r="T56" i="12"/>
  <c r="B13" i="12"/>
  <c r="C13" i="12"/>
  <c r="D13" i="12"/>
  <c r="E13" i="12"/>
  <c r="G13" i="12"/>
  <c r="J13" i="12"/>
  <c r="K13" i="12"/>
  <c r="L13" i="12"/>
  <c r="Q13" i="12" s="1"/>
  <c r="T13" i="12"/>
  <c r="B14" i="12"/>
  <c r="C14" i="12"/>
  <c r="D14" i="12"/>
  <c r="E14" i="12"/>
  <c r="G14" i="12"/>
  <c r="J14" i="12"/>
  <c r="K14" i="12"/>
  <c r="L14" i="12"/>
  <c r="Q14" i="12" s="1"/>
  <c r="T14" i="12"/>
  <c r="B15" i="12"/>
  <c r="C15" i="12"/>
  <c r="D15" i="12"/>
  <c r="E15" i="12"/>
  <c r="G15" i="12"/>
  <c r="J15" i="12"/>
  <c r="K15" i="12"/>
  <c r="L15" i="12"/>
  <c r="Q15" i="12"/>
  <c r="T15" i="12"/>
  <c r="B16" i="12"/>
  <c r="C16" i="12"/>
  <c r="D16" i="12"/>
  <c r="E16" i="12"/>
  <c r="G16" i="12"/>
  <c r="J16" i="12"/>
  <c r="K16" i="12"/>
  <c r="L16" i="12"/>
  <c r="Q16" i="12" s="1"/>
  <c r="T16" i="12"/>
  <c r="B17" i="12"/>
  <c r="C17" i="12"/>
  <c r="D17" i="12"/>
  <c r="E17" i="12"/>
  <c r="G17" i="12"/>
  <c r="J17" i="12"/>
  <c r="K17" i="12"/>
  <c r="L17" i="12"/>
  <c r="Q17" i="12" s="1"/>
  <c r="T17" i="12"/>
  <c r="C18" i="12"/>
  <c r="D18" i="12"/>
  <c r="E18" i="12"/>
  <c r="G18" i="12"/>
  <c r="J18" i="12"/>
  <c r="K18" i="12"/>
  <c r="L18" i="12"/>
  <c r="Q18" i="12" s="1"/>
  <c r="T18" i="12"/>
  <c r="B19" i="12"/>
  <c r="C19" i="12"/>
  <c r="D19" i="12"/>
  <c r="E19" i="12"/>
  <c r="G19" i="12"/>
  <c r="J19" i="12"/>
  <c r="K19" i="12"/>
  <c r="L19" i="12"/>
  <c r="Q19" i="12" s="1"/>
  <c r="T19" i="12"/>
  <c r="B20" i="12"/>
  <c r="C20" i="12"/>
  <c r="D20" i="12"/>
  <c r="E20" i="12"/>
  <c r="G20" i="12"/>
  <c r="J20" i="12"/>
  <c r="K20" i="12"/>
  <c r="L20" i="12"/>
  <c r="Q20" i="12" s="1"/>
  <c r="T20" i="12"/>
  <c r="B21" i="12"/>
  <c r="C21" i="12"/>
  <c r="D21" i="12"/>
  <c r="E21" i="12"/>
  <c r="G21" i="12"/>
  <c r="J21" i="12"/>
  <c r="K21" i="12"/>
  <c r="L21" i="12"/>
  <c r="Q21" i="12" s="1"/>
  <c r="T21" i="12"/>
  <c r="C22" i="12"/>
  <c r="D22" i="12"/>
  <c r="E22" i="12"/>
  <c r="G22" i="12"/>
  <c r="J22" i="12"/>
  <c r="K22" i="12"/>
  <c r="Q22" i="12"/>
  <c r="T22" i="12"/>
  <c r="B23" i="12"/>
  <c r="C23" i="12"/>
  <c r="D23" i="12"/>
  <c r="E23" i="12"/>
  <c r="G23" i="12"/>
  <c r="J23" i="12"/>
  <c r="K23" i="12"/>
  <c r="L23" i="12"/>
  <c r="Q23" i="12" s="1"/>
  <c r="T23" i="12"/>
  <c r="B8" i="12"/>
  <c r="C8" i="12"/>
  <c r="D8" i="12"/>
  <c r="E8" i="12"/>
  <c r="G8" i="12"/>
  <c r="J8" i="12"/>
  <c r="K8" i="12"/>
  <c r="L8" i="12"/>
  <c r="Q8" i="12" s="1"/>
  <c r="T8" i="12"/>
  <c r="B9" i="12"/>
  <c r="C9" i="12"/>
  <c r="D9" i="12"/>
  <c r="E9" i="12"/>
  <c r="G9" i="12"/>
  <c r="J9" i="12"/>
  <c r="K9" i="12"/>
  <c r="L9" i="12"/>
  <c r="Q9" i="12" s="1"/>
  <c r="T9" i="12"/>
  <c r="B10" i="12"/>
  <c r="C10" i="12"/>
  <c r="D10" i="12"/>
  <c r="E10" i="12"/>
  <c r="G10" i="12"/>
  <c r="J10" i="12"/>
  <c r="K10" i="12"/>
  <c r="L10" i="12"/>
  <c r="Q10" i="12"/>
  <c r="T10" i="12"/>
  <c r="B11" i="12"/>
  <c r="C11" i="12"/>
  <c r="D11" i="12"/>
  <c r="E11" i="12"/>
  <c r="G11" i="12"/>
  <c r="J11" i="12"/>
  <c r="K11" i="12"/>
  <c r="L11" i="12"/>
  <c r="Q11" i="12" s="1"/>
  <c r="T11" i="12"/>
  <c r="B12" i="12"/>
  <c r="C12" i="12"/>
  <c r="E12" i="12"/>
  <c r="G12" i="12"/>
  <c r="J12" i="12"/>
  <c r="K12" i="12"/>
  <c r="L12" i="12"/>
  <c r="Q12" i="12" s="1"/>
  <c r="T12" i="12"/>
  <c r="B4" i="12"/>
  <c r="C4" i="12"/>
  <c r="D4" i="12"/>
  <c r="E4" i="12"/>
  <c r="G4" i="12"/>
  <c r="J4" i="12"/>
  <c r="K4" i="12"/>
  <c r="L4" i="12"/>
  <c r="Q4" i="12"/>
  <c r="T4" i="12"/>
  <c r="C5" i="12"/>
  <c r="D5" i="12"/>
  <c r="E5" i="12"/>
  <c r="G5" i="12"/>
  <c r="J5" i="12"/>
  <c r="K5" i="12"/>
  <c r="L5" i="12"/>
  <c r="T5" i="12"/>
  <c r="B6" i="12"/>
  <c r="D6" i="12"/>
  <c r="E6" i="12"/>
  <c r="G6" i="12"/>
  <c r="J6" i="12"/>
  <c r="K6" i="12"/>
  <c r="L6" i="12"/>
  <c r="Q6" i="12" s="1"/>
  <c r="T6" i="12"/>
  <c r="C7" i="12"/>
  <c r="D7" i="12"/>
  <c r="E7" i="12"/>
  <c r="G7" i="12"/>
  <c r="J7" i="12"/>
  <c r="K7" i="12"/>
  <c r="L7" i="12"/>
  <c r="Q7" i="12" s="1"/>
  <c r="T7" i="12"/>
  <c r="B3" i="12"/>
  <c r="C3" i="12"/>
  <c r="D3" i="12"/>
  <c r="E3" i="12"/>
  <c r="G3" i="12"/>
  <c r="J3" i="12"/>
  <c r="K3" i="12"/>
  <c r="L3" i="12"/>
  <c r="Q3" i="12" s="1"/>
  <c r="T3" i="12"/>
  <c r="B2" i="12"/>
  <c r="C2" i="12"/>
  <c r="D2" i="12"/>
  <c r="E2" i="12"/>
  <c r="G2" i="12"/>
  <c r="J2" i="12"/>
  <c r="K2" i="12"/>
  <c r="M2" i="12" s="1"/>
  <c r="L2" i="12"/>
  <c r="Q2" i="12" s="1"/>
  <c r="T2" i="12"/>
  <c r="M51" i="12" l="1"/>
  <c r="M26" i="12"/>
  <c r="M61" i="12"/>
  <c r="M70" i="12"/>
  <c r="M19" i="12"/>
  <c r="M13" i="12"/>
  <c r="M48" i="12"/>
  <c r="M17" i="12"/>
  <c r="M56" i="12"/>
  <c r="M53" i="12"/>
  <c r="M18" i="12"/>
  <c r="M37" i="12"/>
  <c r="M44" i="12"/>
  <c r="M40" i="12"/>
  <c r="M34" i="12"/>
  <c r="M31" i="12"/>
  <c r="M20" i="12"/>
  <c r="M30" i="12"/>
  <c r="M64" i="12"/>
  <c r="M57" i="12"/>
  <c r="M10" i="12"/>
  <c r="M16" i="12"/>
  <c r="M50" i="12"/>
  <c r="M42" i="12"/>
  <c r="M33" i="12"/>
  <c r="M25" i="12"/>
  <c r="M71" i="12"/>
  <c r="M74" i="12"/>
  <c r="M3" i="12"/>
  <c r="M4" i="12"/>
  <c r="M23" i="12"/>
  <c r="M14" i="12"/>
  <c r="M46" i="12"/>
  <c r="M39" i="12"/>
  <c r="M29" i="12"/>
  <c r="M76" i="12"/>
  <c r="M63" i="12"/>
  <c r="M47" i="12"/>
  <c r="M36" i="12"/>
  <c r="M7" i="12"/>
  <c r="M12" i="12"/>
  <c r="M15" i="12"/>
  <c r="M45" i="12"/>
  <c r="M41" i="12"/>
  <c r="M38" i="12"/>
  <c r="M66" i="12"/>
  <c r="M62" i="12"/>
  <c r="M11" i="12"/>
  <c r="M8" i="12"/>
  <c r="M72" i="12"/>
  <c r="M69" i="12"/>
  <c r="M65" i="12"/>
  <c r="M77" i="12"/>
  <c r="M73" i="12"/>
  <c r="M75" i="12"/>
  <c r="C88" i="12"/>
  <c r="C89" i="12" s="1"/>
  <c r="C91" i="12"/>
  <c r="C93" i="12" s="1"/>
  <c r="C85" i="12"/>
  <c r="C87" i="12" s="1"/>
  <c r="M6" i="12"/>
  <c r="Q5" i="12"/>
  <c r="C94" i="12"/>
  <c r="C95" i="12" s="1"/>
  <c r="M9" i="12"/>
  <c r="M60" i="12"/>
  <c r="M52" i="12"/>
  <c r="M55" i="12"/>
  <c r="M35" i="12"/>
  <c r="M28" i="12"/>
  <c r="M32" i="12"/>
  <c r="M21" i="12"/>
  <c r="M24" i="12"/>
  <c r="M22" i="12"/>
  <c r="M5" i="12"/>
  <c r="B3" i="9"/>
  <c r="C3" i="9"/>
  <c r="D3" i="9"/>
  <c r="F3" i="9"/>
  <c r="B4" i="9"/>
  <c r="C4" i="9"/>
  <c r="D4" i="9"/>
  <c r="F4" i="9"/>
  <c r="B5" i="9"/>
  <c r="C5" i="9"/>
  <c r="D5" i="9"/>
  <c r="F5" i="9"/>
  <c r="B6" i="9"/>
  <c r="C6" i="9"/>
  <c r="D6" i="9"/>
  <c r="F6" i="9"/>
  <c r="B7" i="9"/>
  <c r="C7" i="9"/>
  <c r="D7" i="9"/>
  <c r="F7" i="9"/>
  <c r="B8" i="9"/>
  <c r="C8" i="9"/>
  <c r="D8" i="9"/>
  <c r="F8" i="9"/>
  <c r="B9" i="9"/>
  <c r="C9" i="9"/>
  <c r="D9" i="9"/>
  <c r="F9" i="9"/>
  <c r="B10" i="9"/>
  <c r="C10" i="9"/>
  <c r="D10" i="9"/>
  <c r="F10" i="9"/>
  <c r="B11" i="9"/>
  <c r="D11" i="9"/>
  <c r="F11" i="9"/>
  <c r="B12" i="9"/>
  <c r="F12" i="9"/>
  <c r="B13" i="9"/>
  <c r="C13" i="9"/>
  <c r="D13" i="9"/>
  <c r="F13" i="9"/>
  <c r="B14" i="9"/>
  <c r="C14" i="9"/>
  <c r="D14" i="9"/>
  <c r="F14" i="9"/>
  <c r="B15" i="9"/>
  <c r="C15" i="9"/>
  <c r="D15" i="9"/>
  <c r="F15" i="9"/>
  <c r="D4" i="11"/>
  <c r="E4" i="11"/>
  <c r="D5" i="11"/>
  <c r="E5" i="11"/>
  <c r="D6" i="11"/>
  <c r="E6" i="11"/>
  <c r="E7" i="11"/>
  <c r="D8" i="11"/>
  <c r="E8" i="11"/>
  <c r="D12" i="11"/>
  <c r="E12" i="11"/>
  <c r="I12" i="11"/>
  <c r="D13" i="11"/>
  <c r="E13" i="11"/>
  <c r="I13" i="11"/>
  <c r="D14" i="11"/>
  <c r="E14" i="11"/>
  <c r="D15" i="11"/>
  <c r="E15" i="11"/>
  <c r="D18" i="11"/>
  <c r="E18" i="11"/>
  <c r="D19" i="11"/>
  <c r="E19" i="11"/>
  <c r="I19" i="11"/>
  <c r="D20" i="11"/>
  <c r="E20" i="11"/>
  <c r="I20" i="11"/>
  <c r="D21" i="11"/>
  <c r="E21" i="11"/>
  <c r="H21" i="11"/>
  <c r="D22" i="11"/>
  <c r="E22" i="11"/>
  <c r="H22" i="11"/>
  <c r="D27" i="11"/>
  <c r="E27" i="11"/>
  <c r="I27" i="11"/>
  <c r="D30" i="11"/>
  <c r="E30" i="11"/>
  <c r="I30" i="11"/>
  <c r="D31" i="11"/>
  <c r="E31" i="11"/>
  <c r="I31" i="11"/>
  <c r="D32" i="11"/>
  <c r="E32" i="11"/>
  <c r="I32" i="11"/>
  <c r="D33" i="11"/>
  <c r="E33" i="11"/>
  <c r="I33" i="11"/>
  <c r="B2" i="9"/>
  <c r="C2" i="9"/>
  <c r="D2" i="9"/>
  <c r="F2" i="9"/>
  <c r="B82" i="3"/>
  <c r="C82" i="3"/>
  <c r="D82" i="3"/>
  <c r="E82" i="3"/>
  <c r="F82" i="3"/>
  <c r="I82" i="3"/>
  <c r="J82" i="3"/>
  <c r="K82" i="3"/>
  <c r="P82" i="3" s="1"/>
  <c r="R82" i="3"/>
  <c r="T82" i="3"/>
  <c r="B83" i="3"/>
  <c r="C83" i="3"/>
  <c r="D83" i="3"/>
  <c r="E83" i="3"/>
  <c r="F83" i="3"/>
  <c r="I83" i="3"/>
  <c r="J83" i="3"/>
  <c r="K83" i="3"/>
  <c r="P83" i="3" s="1"/>
  <c r="R83" i="3"/>
  <c r="T83" i="3"/>
  <c r="B84" i="3"/>
  <c r="C84" i="3"/>
  <c r="D84" i="3"/>
  <c r="E84" i="3"/>
  <c r="F84" i="3"/>
  <c r="I84" i="3"/>
  <c r="J84" i="3"/>
  <c r="K84" i="3"/>
  <c r="P84" i="3"/>
  <c r="R84" i="3"/>
  <c r="T84" i="3"/>
  <c r="B85" i="3"/>
  <c r="C85" i="3"/>
  <c r="D85" i="3"/>
  <c r="E85" i="3"/>
  <c r="F85" i="3"/>
  <c r="I85" i="3"/>
  <c r="J85" i="3"/>
  <c r="K85" i="3"/>
  <c r="P85" i="3"/>
  <c r="R85" i="3"/>
  <c r="T85" i="3"/>
  <c r="B86" i="3"/>
  <c r="C86" i="3"/>
  <c r="D86" i="3"/>
  <c r="E86" i="3"/>
  <c r="F86" i="3"/>
  <c r="I86" i="3"/>
  <c r="J86" i="3"/>
  <c r="K86" i="3"/>
  <c r="P86" i="3"/>
  <c r="R86" i="3"/>
  <c r="T86" i="3"/>
  <c r="B87" i="3"/>
  <c r="C87" i="3"/>
  <c r="D87" i="3"/>
  <c r="E87" i="3"/>
  <c r="F87" i="3"/>
  <c r="I87" i="3"/>
  <c r="J87" i="3"/>
  <c r="K87" i="3"/>
  <c r="P87" i="3" s="1"/>
  <c r="R87" i="3"/>
  <c r="T87" i="3"/>
  <c r="B88" i="3"/>
  <c r="C88" i="3"/>
  <c r="D88" i="3"/>
  <c r="E88" i="3"/>
  <c r="F88" i="3"/>
  <c r="I88" i="3"/>
  <c r="J88" i="3"/>
  <c r="K88" i="3"/>
  <c r="P88" i="3"/>
  <c r="R88" i="3"/>
  <c r="T88" i="3"/>
  <c r="B89" i="3"/>
  <c r="C89" i="3"/>
  <c r="D89" i="3"/>
  <c r="E89" i="3"/>
  <c r="F89" i="3"/>
  <c r="I89" i="3"/>
  <c r="J89" i="3"/>
  <c r="K89" i="3"/>
  <c r="P89" i="3"/>
  <c r="R89" i="3"/>
  <c r="T89" i="3"/>
  <c r="B90" i="3"/>
  <c r="C90" i="3"/>
  <c r="D90" i="3"/>
  <c r="E90" i="3"/>
  <c r="F90" i="3"/>
  <c r="I90" i="3"/>
  <c r="J90" i="3"/>
  <c r="K90" i="3"/>
  <c r="P90" i="3" s="1"/>
  <c r="R90" i="3"/>
  <c r="T90" i="3"/>
  <c r="B91" i="3"/>
  <c r="C91" i="3"/>
  <c r="D91" i="3"/>
  <c r="E91" i="3"/>
  <c r="F91" i="3"/>
  <c r="I91" i="3"/>
  <c r="J91" i="3"/>
  <c r="K91" i="3"/>
  <c r="P91" i="3" s="1"/>
  <c r="R91" i="3"/>
  <c r="T91" i="3"/>
  <c r="B92" i="3"/>
  <c r="C92" i="3"/>
  <c r="D92" i="3"/>
  <c r="E92" i="3"/>
  <c r="F92" i="3"/>
  <c r="I92" i="3"/>
  <c r="J92" i="3"/>
  <c r="K92" i="3"/>
  <c r="P92" i="3" s="1"/>
  <c r="R92" i="3"/>
  <c r="T92" i="3"/>
  <c r="B93" i="3"/>
  <c r="C93" i="3"/>
  <c r="D93" i="3"/>
  <c r="E93" i="3"/>
  <c r="F93" i="3"/>
  <c r="I93" i="3"/>
  <c r="J93" i="3"/>
  <c r="K93" i="3"/>
  <c r="P93" i="3" s="1"/>
  <c r="R93" i="3"/>
  <c r="T93" i="3"/>
  <c r="B94" i="3"/>
  <c r="C94" i="3"/>
  <c r="D94" i="3"/>
  <c r="E94" i="3"/>
  <c r="F94" i="3"/>
  <c r="I94" i="3"/>
  <c r="J94" i="3"/>
  <c r="K94" i="3"/>
  <c r="P94" i="3" s="1"/>
  <c r="R94" i="3"/>
  <c r="T94" i="3"/>
  <c r="B95" i="3"/>
  <c r="C95" i="3"/>
  <c r="D95" i="3"/>
  <c r="E95" i="3"/>
  <c r="F95" i="3"/>
  <c r="I95" i="3"/>
  <c r="J95" i="3"/>
  <c r="K95" i="3"/>
  <c r="P95" i="3" s="1"/>
  <c r="R95" i="3"/>
  <c r="T95" i="3"/>
  <c r="B96" i="3"/>
  <c r="C96" i="3"/>
  <c r="D96" i="3"/>
  <c r="E96" i="3"/>
  <c r="F96" i="3"/>
  <c r="I96" i="3"/>
  <c r="J96" i="3"/>
  <c r="K96" i="3"/>
  <c r="P96" i="3"/>
  <c r="R96" i="3"/>
  <c r="T96" i="3"/>
  <c r="B97" i="3"/>
  <c r="C97" i="3"/>
  <c r="D97" i="3"/>
  <c r="E97" i="3"/>
  <c r="F97" i="3"/>
  <c r="I97" i="3"/>
  <c r="J97" i="3"/>
  <c r="K97" i="3"/>
  <c r="P97" i="3"/>
  <c r="R97" i="3"/>
  <c r="T97" i="3"/>
  <c r="B98" i="3"/>
  <c r="C98" i="3"/>
  <c r="D98" i="3"/>
  <c r="E98" i="3"/>
  <c r="F98" i="3"/>
  <c r="I98" i="3"/>
  <c r="J98" i="3"/>
  <c r="K98" i="3"/>
  <c r="P98" i="3"/>
  <c r="R98" i="3"/>
  <c r="T98" i="3"/>
  <c r="B99" i="3"/>
  <c r="C99" i="3"/>
  <c r="D99" i="3"/>
  <c r="E99" i="3"/>
  <c r="F99" i="3"/>
  <c r="I99" i="3"/>
  <c r="J99" i="3"/>
  <c r="K99" i="3"/>
  <c r="P99" i="3"/>
  <c r="R99" i="3"/>
  <c r="T99" i="3"/>
  <c r="B100" i="3"/>
  <c r="C100" i="3"/>
  <c r="D100" i="3"/>
  <c r="E100" i="3"/>
  <c r="F100" i="3"/>
  <c r="I100" i="3"/>
  <c r="J100" i="3"/>
  <c r="K100" i="3"/>
  <c r="P100" i="3"/>
  <c r="R100" i="3"/>
  <c r="T100" i="3"/>
  <c r="B101" i="3"/>
  <c r="C101" i="3"/>
  <c r="D101" i="3"/>
  <c r="E101" i="3"/>
  <c r="F101" i="3"/>
  <c r="I101" i="3"/>
  <c r="J101" i="3"/>
  <c r="K101" i="3"/>
  <c r="P101" i="3"/>
  <c r="R101" i="3"/>
  <c r="T101" i="3"/>
  <c r="B102" i="3"/>
  <c r="C102" i="3"/>
  <c r="D102" i="3"/>
  <c r="E102" i="3"/>
  <c r="F102" i="3"/>
  <c r="I102" i="3"/>
  <c r="J102" i="3"/>
  <c r="K102" i="3"/>
  <c r="P102" i="3"/>
  <c r="R102" i="3"/>
  <c r="T102" i="3"/>
  <c r="B103" i="3"/>
  <c r="C103" i="3"/>
  <c r="D103" i="3"/>
  <c r="E103" i="3"/>
  <c r="F103" i="3"/>
  <c r="I103" i="3"/>
  <c r="J103" i="3"/>
  <c r="K103" i="3"/>
  <c r="P103" i="3"/>
  <c r="R103" i="3"/>
  <c r="T103" i="3"/>
  <c r="B104" i="3"/>
  <c r="C104" i="3"/>
  <c r="D104" i="3"/>
  <c r="E104" i="3"/>
  <c r="F104" i="3"/>
  <c r="I104" i="3"/>
  <c r="J104" i="3"/>
  <c r="K104" i="3"/>
  <c r="P104" i="3"/>
  <c r="R104" i="3"/>
  <c r="T104" i="3"/>
  <c r="B105" i="3"/>
  <c r="C105" i="3"/>
  <c r="D105" i="3"/>
  <c r="E105" i="3"/>
  <c r="F105" i="3"/>
  <c r="I105" i="3"/>
  <c r="J105" i="3"/>
  <c r="K105" i="3"/>
  <c r="P105" i="3"/>
  <c r="R105" i="3"/>
  <c r="T105" i="3"/>
  <c r="B106" i="3"/>
  <c r="C106" i="3"/>
  <c r="D106" i="3"/>
  <c r="E106" i="3"/>
  <c r="F106" i="3"/>
  <c r="I106" i="3"/>
  <c r="J106" i="3"/>
  <c r="K106" i="3"/>
  <c r="P106" i="3"/>
  <c r="R106" i="3"/>
  <c r="T106" i="3"/>
  <c r="B107" i="3"/>
  <c r="C107" i="3"/>
  <c r="D107" i="3"/>
  <c r="E107" i="3"/>
  <c r="F107" i="3"/>
  <c r="I107" i="3"/>
  <c r="J107" i="3"/>
  <c r="K107" i="3"/>
  <c r="P107" i="3"/>
  <c r="R107" i="3"/>
  <c r="T107" i="3"/>
  <c r="T109" i="3"/>
  <c r="R109" i="3"/>
  <c r="P109" i="3"/>
  <c r="K109" i="3"/>
  <c r="J109" i="3"/>
  <c r="I109" i="3"/>
  <c r="F109" i="3"/>
  <c r="E109" i="3"/>
  <c r="D109" i="3"/>
  <c r="C109" i="3"/>
  <c r="B109" i="3"/>
  <c r="T108" i="3"/>
  <c r="R108" i="3"/>
  <c r="P108" i="3"/>
  <c r="K108" i="3"/>
  <c r="J108" i="3"/>
  <c r="I108" i="3"/>
  <c r="F108" i="3"/>
  <c r="E108" i="3"/>
  <c r="D108" i="3"/>
  <c r="C108" i="3"/>
  <c r="B108" i="3"/>
  <c r="T81" i="3"/>
  <c r="R81" i="3"/>
  <c r="K81" i="3"/>
  <c r="P81" i="3" s="1"/>
  <c r="J81" i="3"/>
  <c r="I81" i="3"/>
  <c r="F81" i="3"/>
  <c r="E81" i="3"/>
  <c r="D81" i="3"/>
  <c r="C81" i="3"/>
  <c r="B81" i="3"/>
  <c r="T80" i="3"/>
  <c r="R80" i="3"/>
  <c r="P80" i="3"/>
  <c r="K80" i="3"/>
  <c r="J80" i="3"/>
  <c r="I80" i="3"/>
  <c r="F80" i="3"/>
  <c r="E80" i="3"/>
  <c r="D80" i="3"/>
  <c r="C80" i="3"/>
  <c r="B80" i="3"/>
  <c r="T79" i="3"/>
  <c r="R79" i="3"/>
  <c r="K79" i="3"/>
  <c r="P79" i="3" s="1"/>
  <c r="J79" i="3"/>
  <c r="I79" i="3"/>
  <c r="F79" i="3"/>
  <c r="E79" i="3"/>
  <c r="D79" i="3"/>
  <c r="C79" i="3"/>
  <c r="B79" i="3"/>
  <c r="T78" i="3"/>
  <c r="R78" i="3"/>
  <c r="P78" i="3"/>
  <c r="I78" i="3"/>
  <c r="J78" i="3"/>
  <c r="K78" i="3"/>
  <c r="B78" i="3"/>
  <c r="C78" i="3"/>
  <c r="D78" i="3"/>
  <c r="E78" i="3"/>
  <c r="F78" i="3"/>
  <c r="T77" i="3"/>
  <c r="R77" i="3"/>
  <c r="P77" i="3"/>
  <c r="I77" i="3"/>
  <c r="J77" i="3"/>
  <c r="K77" i="3"/>
  <c r="B77" i="3"/>
  <c r="C77" i="3"/>
  <c r="D77" i="3"/>
  <c r="E77" i="3"/>
  <c r="F77" i="3"/>
  <c r="T76" i="3"/>
  <c r="R76" i="3"/>
  <c r="P76" i="3"/>
  <c r="I76" i="3"/>
  <c r="J76" i="3"/>
  <c r="K76" i="3"/>
  <c r="B76" i="3"/>
  <c r="C76" i="3"/>
  <c r="D76" i="3"/>
  <c r="E76" i="3"/>
  <c r="F76" i="3"/>
  <c r="B2" i="3"/>
  <c r="C2" i="3"/>
  <c r="D2" i="3"/>
  <c r="E2" i="3"/>
  <c r="F2" i="3"/>
  <c r="I2" i="3"/>
  <c r="J2" i="3"/>
  <c r="K2" i="3"/>
  <c r="P2" i="3" s="1"/>
  <c r="R2" i="3"/>
  <c r="T2" i="3"/>
  <c r="B3" i="3"/>
  <c r="C3" i="3"/>
  <c r="D3" i="3"/>
  <c r="E3" i="3"/>
  <c r="F3" i="3"/>
  <c r="H3" i="3"/>
  <c r="I3" i="3"/>
  <c r="J3" i="3"/>
  <c r="K3" i="3"/>
  <c r="P3" i="3" s="1"/>
  <c r="R3" i="3"/>
  <c r="T3" i="3"/>
  <c r="B4" i="3"/>
  <c r="C4" i="3"/>
  <c r="D4" i="3"/>
  <c r="E4" i="3"/>
  <c r="F4" i="3"/>
  <c r="I4" i="3"/>
  <c r="J4" i="3"/>
  <c r="K4" i="3"/>
  <c r="P4" i="3" s="1"/>
  <c r="R4" i="3"/>
  <c r="T4" i="3"/>
  <c r="B5" i="3"/>
  <c r="C5" i="3"/>
  <c r="D5" i="3"/>
  <c r="E5" i="3"/>
  <c r="F5" i="3"/>
  <c r="H5" i="3"/>
  <c r="I5" i="3"/>
  <c r="J5" i="3"/>
  <c r="K5" i="3"/>
  <c r="P5" i="3" s="1"/>
  <c r="R5" i="3"/>
  <c r="T5" i="3"/>
  <c r="B6" i="3"/>
  <c r="C6" i="3"/>
  <c r="D6" i="3"/>
  <c r="E6" i="3"/>
  <c r="F6" i="3"/>
  <c r="H6" i="3"/>
  <c r="I6" i="3"/>
  <c r="J6" i="3"/>
  <c r="K6" i="3"/>
  <c r="P6" i="3" s="1"/>
  <c r="R6" i="3"/>
  <c r="T6" i="3"/>
  <c r="B7" i="3"/>
  <c r="C7" i="3"/>
  <c r="D7" i="3"/>
  <c r="E7" i="3"/>
  <c r="F7" i="3"/>
  <c r="H7" i="3"/>
  <c r="I7" i="3"/>
  <c r="J7" i="3"/>
  <c r="K7" i="3"/>
  <c r="P7" i="3" s="1"/>
  <c r="R7" i="3"/>
  <c r="T7" i="3"/>
  <c r="B8" i="3"/>
  <c r="C8" i="3"/>
  <c r="D8" i="3"/>
  <c r="E8" i="3"/>
  <c r="F8" i="3"/>
  <c r="H8" i="3"/>
  <c r="I8" i="3"/>
  <c r="J8" i="3"/>
  <c r="K8" i="3"/>
  <c r="P8" i="3" s="1"/>
  <c r="R8" i="3"/>
  <c r="T8" i="3"/>
  <c r="B9" i="3"/>
  <c r="C9" i="3"/>
  <c r="D9" i="3"/>
  <c r="E9" i="3"/>
  <c r="F9" i="3"/>
  <c r="I9" i="3"/>
  <c r="J9" i="3"/>
  <c r="K9" i="3"/>
  <c r="P9" i="3" s="1"/>
  <c r="R9" i="3"/>
  <c r="T9" i="3"/>
  <c r="B10" i="3"/>
  <c r="C10" i="3"/>
  <c r="D10" i="3"/>
  <c r="E10" i="3"/>
  <c r="F10" i="3"/>
  <c r="H10" i="3"/>
  <c r="I10" i="3"/>
  <c r="J10" i="3"/>
  <c r="K10" i="3"/>
  <c r="P10" i="3" s="1"/>
  <c r="R10" i="3"/>
  <c r="T10" i="3"/>
  <c r="B11" i="3"/>
  <c r="C11" i="3"/>
  <c r="D11" i="3"/>
  <c r="E11" i="3"/>
  <c r="F11" i="3"/>
  <c r="H11" i="3"/>
  <c r="I11" i="3"/>
  <c r="J11" i="3"/>
  <c r="K11" i="3"/>
  <c r="P11" i="3" s="1"/>
  <c r="R11" i="3"/>
  <c r="T11" i="3"/>
  <c r="B12" i="3"/>
  <c r="C12" i="3"/>
  <c r="D12" i="3"/>
  <c r="E12" i="3"/>
  <c r="F12" i="3"/>
  <c r="H12" i="3"/>
  <c r="I12" i="3"/>
  <c r="J12" i="3"/>
  <c r="K12" i="3"/>
  <c r="P12" i="3" s="1"/>
  <c r="R12" i="3"/>
  <c r="T12" i="3"/>
  <c r="B13" i="3"/>
  <c r="C13" i="3"/>
  <c r="D13" i="3"/>
  <c r="E13" i="3"/>
  <c r="F13" i="3"/>
  <c r="H13" i="3"/>
  <c r="I13" i="3"/>
  <c r="J13" i="3"/>
  <c r="K13" i="3"/>
  <c r="P13" i="3" s="1"/>
  <c r="R13" i="3"/>
  <c r="T13" i="3"/>
  <c r="B14" i="3"/>
  <c r="C14" i="3"/>
  <c r="D14" i="3"/>
  <c r="E14" i="3"/>
  <c r="F14" i="3"/>
  <c r="I14" i="3"/>
  <c r="J14" i="3"/>
  <c r="L14" i="3" s="1"/>
  <c r="K14" i="3"/>
  <c r="P14" i="3" s="1"/>
  <c r="R14" i="3"/>
  <c r="T14" i="3"/>
  <c r="B15" i="3"/>
  <c r="C15" i="3"/>
  <c r="D15" i="3"/>
  <c r="E15" i="3"/>
  <c r="F15" i="3"/>
  <c r="H15" i="3"/>
  <c r="I15" i="3"/>
  <c r="J15" i="3"/>
  <c r="K15" i="3"/>
  <c r="P15" i="3"/>
  <c r="R15" i="3"/>
  <c r="T15" i="3"/>
  <c r="B16" i="3"/>
  <c r="C16" i="3"/>
  <c r="D16" i="3"/>
  <c r="E16" i="3"/>
  <c r="F16" i="3"/>
  <c r="H16" i="3"/>
  <c r="I16" i="3"/>
  <c r="J16" i="3"/>
  <c r="K16" i="3"/>
  <c r="P16" i="3"/>
  <c r="R16" i="3"/>
  <c r="T16" i="3"/>
  <c r="B17" i="3"/>
  <c r="C17" i="3"/>
  <c r="D17" i="3"/>
  <c r="E17" i="3"/>
  <c r="F17" i="3"/>
  <c r="I17" i="3"/>
  <c r="J17" i="3"/>
  <c r="L17" i="3" s="1"/>
  <c r="K17" i="3"/>
  <c r="P17" i="3" s="1"/>
  <c r="R17" i="3"/>
  <c r="T17" i="3"/>
  <c r="B18" i="3"/>
  <c r="C18" i="3"/>
  <c r="D18" i="3"/>
  <c r="E18" i="3"/>
  <c r="F18" i="3"/>
  <c r="I18" i="3"/>
  <c r="J18" i="3"/>
  <c r="L18" i="3" s="1"/>
  <c r="K18" i="3"/>
  <c r="P18" i="3"/>
  <c r="R18" i="3"/>
  <c r="T18" i="3"/>
  <c r="B19" i="3"/>
  <c r="C19" i="3"/>
  <c r="D19" i="3"/>
  <c r="E19" i="3"/>
  <c r="F19" i="3"/>
  <c r="I19" i="3"/>
  <c r="J19" i="3"/>
  <c r="L19" i="3" s="1"/>
  <c r="K19" i="3"/>
  <c r="P19" i="3" s="1"/>
  <c r="R19" i="3"/>
  <c r="T19" i="3"/>
  <c r="B20" i="3"/>
  <c r="C20" i="3"/>
  <c r="D20" i="3"/>
  <c r="E20" i="3"/>
  <c r="F20" i="3"/>
  <c r="I20" i="3"/>
  <c r="J20" i="3"/>
  <c r="L20" i="3" s="1"/>
  <c r="K20" i="3"/>
  <c r="P20" i="3"/>
  <c r="R20" i="3"/>
  <c r="T20" i="3"/>
  <c r="B21" i="3"/>
  <c r="C21" i="3"/>
  <c r="D21" i="3"/>
  <c r="E21" i="3"/>
  <c r="F21" i="3"/>
  <c r="H21" i="3"/>
  <c r="I21" i="3"/>
  <c r="J21" i="3"/>
  <c r="K21" i="3"/>
  <c r="P21" i="3" s="1"/>
  <c r="R21" i="3"/>
  <c r="T21" i="3"/>
  <c r="B22" i="3"/>
  <c r="C22" i="3"/>
  <c r="D22" i="3"/>
  <c r="E22" i="3"/>
  <c r="F22" i="3"/>
  <c r="H22" i="3"/>
  <c r="I22" i="3"/>
  <c r="J22" i="3"/>
  <c r="K22" i="3"/>
  <c r="P22" i="3"/>
  <c r="R22" i="3"/>
  <c r="T22" i="3"/>
  <c r="B23" i="3"/>
  <c r="C23" i="3"/>
  <c r="D23" i="3"/>
  <c r="E23" i="3"/>
  <c r="F23" i="3"/>
  <c r="I23" i="3"/>
  <c r="J23" i="3"/>
  <c r="K23" i="3"/>
  <c r="P23" i="3"/>
  <c r="R23" i="3"/>
  <c r="T23" i="3"/>
  <c r="B24" i="3"/>
  <c r="C24" i="3"/>
  <c r="D24" i="3"/>
  <c r="E24" i="3"/>
  <c r="F24" i="3"/>
  <c r="H24" i="3"/>
  <c r="I24" i="3"/>
  <c r="J24" i="3"/>
  <c r="K24" i="3"/>
  <c r="P24" i="3" s="1"/>
  <c r="R24" i="3"/>
  <c r="T24" i="3"/>
  <c r="B25" i="3"/>
  <c r="C25" i="3"/>
  <c r="D25" i="3"/>
  <c r="E25" i="3"/>
  <c r="F25" i="3"/>
  <c r="H25" i="3"/>
  <c r="I25" i="3"/>
  <c r="J25" i="3"/>
  <c r="K25" i="3"/>
  <c r="P25" i="3" s="1"/>
  <c r="R25" i="3"/>
  <c r="T25" i="3"/>
  <c r="B26" i="3"/>
  <c r="C26" i="3"/>
  <c r="D26" i="3"/>
  <c r="E26" i="3"/>
  <c r="F26" i="3"/>
  <c r="H26" i="3"/>
  <c r="I26" i="3"/>
  <c r="J26" i="3"/>
  <c r="K26" i="3"/>
  <c r="P26" i="3"/>
  <c r="R26" i="3"/>
  <c r="T26" i="3"/>
  <c r="B27" i="3"/>
  <c r="C27" i="3"/>
  <c r="D27" i="3"/>
  <c r="E27" i="3"/>
  <c r="F27" i="3"/>
  <c r="H27" i="3"/>
  <c r="I27" i="3"/>
  <c r="J27" i="3"/>
  <c r="K27" i="3"/>
  <c r="P27" i="3" s="1"/>
  <c r="R27" i="3"/>
  <c r="T27" i="3"/>
  <c r="B28" i="3"/>
  <c r="C28" i="3"/>
  <c r="D28" i="3"/>
  <c r="E28" i="3"/>
  <c r="F28" i="3"/>
  <c r="I28" i="3"/>
  <c r="J28" i="3"/>
  <c r="L28" i="3" s="1"/>
  <c r="K28" i="3"/>
  <c r="P28" i="3" s="1"/>
  <c r="R28" i="3"/>
  <c r="T28" i="3"/>
  <c r="B29" i="3"/>
  <c r="C29" i="3"/>
  <c r="D29" i="3"/>
  <c r="E29" i="3"/>
  <c r="F29" i="3"/>
  <c r="I29" i="3"/>
  <c r="J29" i="3"/>
  <c r="K29" i="3"/>
  <c r="P29" i="3" s="1"/>
  <c r="R29" i="3"/>
  <c r="T29" i="3"/>
  <c r="B30" i="3"/>
  <c r="C30" i="3"/>
  <c r="D30" i="3"/>
  <c r="E30" i="3"/>
  <c r="F30" i="3"/>
  <c r="H30" i="3"/>
  <c r="I30" i="3"/>
  <c r="J30" i="3"/>
  <c r="K30" i="3"/>
  <c r="P30" i="3" s="1"/>
  <c r="R30" i="3"/>
  <c r="T30" i="3"/>
  <c r="B31" i="3"/>
  <c r="C31" i="3"/>
  <c r="D31" i="3"/>
  <c r="E31" i="3"/>
  <c r="F31" i="3"/>
  <c r="H31" i="3"/>
  <c r="I31" i="3"/>
  <c r="J31" i="3"/>
  <c r="K31" i="3"/>
  <c r="L31" i="3" s="1"/>
  <c r="P31" i="3"/>
  <c r="R31" i="3"/>
  <c r="T31" i="3"/>
  <c r="B32" i="3"/>
  <c r="C32" i="3"/>
  <c r="D32" i="3"/>
  <c r="E32" i="3"/>
  <c r="F32" i="3"/>
  <c r="I32" i="3"/>
  <c r="J32" i="3"/>
  <c r="L32" i="3" s="1"/>
  <c r="K32" i="3"/>
  <c r="P32" i="3" s="1"/>
  <c r="R32" i="3"/>
  <c r="T32" i="3"/>
  <c r="B33" i="3"/>
  <c r="C33" i="3"/>
  <c r="D33" i="3"/>
  <c r="E33" i="3"/>
  <c r="F33" i="3"/>
  <c r="H33" i="3"/>
  <c r="I33" i="3"/>
  <c r="J33" i="3"/>
  <c r="K33" i="3"/>
  <c r="P33" i="3" s="1"/>
  <c r="R33" i="3"/>
  <c r="T33" i="3"/>
  <c r="B34" i="3"/>
  <c r="C34" i="3"/>
  <c r="D34" i="3"/>
  <c r="E34" i="3"/>
  <c r="F34" i="3"/>
  <c r="H34" i="3"/>
  <c r="I34" i="3"/>
  <c r="J34" i="3"/>
  <c r="K34" i="3"/>
  <c r="P34" i="3"/>
  <c r="R34" i="3"/>
  <c r="T34" i="3"/>
  <c r="B35" i="3"/>
  <c r="C35" i="3"/>
  <c r="D35" i="3"/>
  <c r="E35" i="3"/>
  <c r="F35" i="3"/>
  <c r="I35" i="3"/>
  <c r="J35" i="3"/>
  <c r="L35" i="3" s="1"/>
  <c r="K35" i="3"/>
  <c r="P35" i="3" s="1"/>
  <c r="R35" i="3"/>
  <c r="T35" i="3"/>
  <c r="B36" i="3"/>
  <c r="C36" i="3"/>
  <c r="D36" i="3"/>
  <c r="E36" i="3"/>
  <c r="F36" i="3"/>
  <c r="H36" i="3"/>
  <c r="I36" i="3"/>
  <c r="J36" i="3"/>
  <c r="K36" i="3"/>
  <c r="P36" i="3" s="1"/>
  <c r="R36" i="3"/>
  <c r="T36" i="3"/>
  <c r="B37" i="3"/>
  <c r="C37" i="3"/>
  <c r="D37" i="3"/>
  <c r="E37" i="3"/>
  <c r="F37" i="3"/>
  <c r="I37" i="3"/>
  <c r="J37" i="3"/>
  <c r="L37" i="3" s="1"/>
  <c r="K37" i="3"/>
  <c r="P37" i="3" s="1"/>
  <c r="R37" i="3"/>
  <c r="T37" i="3"/>
  <c r="B38" i="3"/>
  <c r="C38" i="3"/>
  <c r="D38" i="3"/>
  <c r="E38" i="3"/>
  <c r="F38" i="3"/>
  <c r="H38" i="3"/>
  <c r="I38" i="3"/>
  <c r="J38" i="3"/>
  <c r="K38" i="3"/>
  <c r="P38" i="3" s="1"/>
  <c r="R38" i="3"/>
  <c r="T38" i="3"/>
  <c r="B39" i="3"/>
  <c r="C39" i="3"/>
  <c r="D39" i="3"/>
  <c r="E39" i="3"/>
  <c r="F39" i="3"/>
  <c r="I39" i="3"/>
  <c r="J39" i="3"/>
  <c r="L39" i="3" s="1"/>
  <c r="K39" i="3"/>
  <c r="P39" i="3"/>
  <c r="R39" i="3"/>
  <c r="T39" i="3"/>
  <c r="B40" i="3"/>
  <c r="C40" i="3"/>
  <c r="D40" i="3"/>
  <c r="E40" i="3"/>
  <c r="F40" i="3"/>
  <c r="I40" i="3"/>
  <c r="J40" i="3"/>
  <c r="L40" i="3" s="1"/>
  <c r="K40" i="3"/>
  <c r="P40" i="3" s="1"/>
  <c r="R40" i="3"/>
  <c r="T40" i="3"/>
  <c r="B41" i="3"/>
  <c r="C41" i="3"/>
  <c r="D41" i="3"/>
  <c r="E41" i="3"/>
  <c r="F41" i="3"/>
  <c r="H41" i="3"/>
  <c r="I41" i="3"/>
  <c r="J41" i="3"/>
  <c r="K41" i="3"/>
  <c r="L41" i="3" s="1"/>
  <c r="R41" i="3"/>
  <c r="T41" i="3"/>
  <c r="B42" i="3"/>
  <c r="C42" i="3"/>
  <c r="D42" i="3"/>
  <c r="E42" i="3"/>
  <c r="F42" i="3"/>
  <c r="H42" i="3"/>
  <c r="I42" i="3"/>
  <c r="J42" i="3"/>
  <c r="K42" i="3"/>
  <c r="P42" i="3" s="1"/>
  <c r="R42" i="3"/>
  <c r="T42" i="3"/>
  <c r="B43" i="3"/>
  <c r="C43" i="3"/>
  <c r="D43" i="3"/>
  <c r="E43" i="3"/>
  <c r="F43" i="3"/>
  <c r="H43" i="3"/>
  <c r="I43" i="3"/>
  <c r="J43" i="3"/>
  <c r="K43" i="3"/>
  <c r="L43" i="3" s="1"/>
  <c r="P43" i="3"/>
  <c r="R43" i="3"/>
  <c r="T43" i="3"/>
  <c r="B44" i="3"/>
  <c r="C44" i="3"/>
  <c r="D44" i="3"/>
  <c r="E44" i="3"/>
  <c r="F44" i="3"/>
  <c r="H44" i="3"/>
  <c r="I44" i="3"/>
  <c r="J44" i="3"/>
  <c r="K44" i="3"/>
  <c r="P44" i="3" s="1"/>
  <c r="R44" i="3"/>
  <c r="T44" i="3"/>
  <c r="B45" i="3"/>
  <c r="C45" i="3"/>
  <c r="D45" i="3"/>
  <c r="E45" i="3"/>
  <c r="F45" i="3"/>
  <c r="H45" i="3"/>
  <c r="I45" i="3"/>
  <c r="J45" i="3"/>
  <c r="K45" i="3"/>
  <c r="P45" i="3"/>
  <c r="R45" i="3"/>
  <c r="T45" i="3"/>
  <c r="B46" i="3"/>
  <c r="C46" i="3"/>
  <c r="D46" i="3"/>
  <c r="E46" i="3"/>
  <c r="F46" i="3"/>
  <c r="I46" i="3"/>
  <c r="J46" i="3"/>
  <c r="L46" i="3" s="1"/>
  <c r="K46" i="3"/>
  <c r="P46" i="3" s="1"/>
  <c r="R46" i="3"/>
  <c r="T46" i="3"/>
  <c r="B47" i="3"/>
  <c r="C47" i="3"/>
  <c r="D47" i="3"/>
  <c r="E47" i="3"/>
  <c r="F47" i="3"/>
  <c r="I47" i="3"/>
  <c r="J47" i="3"/>
  <c r="L47" i="3" s="1"/>
  <c r="K47" i="3"/>
  <c r="P47" i="3" s="1"/>
  <c r="R47" i="3"/>
  <c r="T47" i="3"/>
  <c r="B48" i="3"/>
  <c r="C48" i="3"/>
  <c r="D48" i="3"/>
  <c r="E48" i="3"/>
  <c r="F48" i="3"/>
  <c r="I48" i="3"/>
  <c r="J48" i="3"/>
  <c r="L48" i="3" s="1"/>
  <c r="K48" i="3"/>
  <c r="P48" i="3" s="1"/>
  <c r="R48" i="3"/>
  <c r="T48" i="3"/>
  <c r="B49" i="3"/>
  <c r="C49" i="3"/>
  <c r="D49" i="3"/>
  <c r="E49" i="3"/>
  <c r="F49" i="3"/>
  <c r="I49" i="3"/>
  <c r="J49" i="3"/>
  <c r="L49" i="3" s="1"/>
  <c r="K49" i="3"/>
  <c r="P49" i="3"/>
  <c r="R49" i="3"/>
  <c r="T49" i="3"/>
  <c r="B50" i="3"/>
  <c r="C50" i="3"/>
  <c r="D50" i="3"/>
  <c r="E50" i="3"/>
  <c r="F50" i="3"/>
  <c r="H50" i="3"/>
  <c r="I50" i="3"/>
  <c r="J50" i="3"/>
  <c r="K50" i="3"/>
  <c r="P50" i="3"/>
  <c r="R50" i="3"/>
  <c r="T50" i="3"/>
  <c r="B51" i="3"/>
  <c r="C51" i="3"/>
  <c r="D51" i="3"/>
  <c r="E51" i="3"/>
  <c r="F51" i="3"/>
  <c r="I51" i="3"/>
  <c r="J51" i="3"/>
  <c r="L51" i="3" s="1"/>
  <c r="K51" i="3"/>
  <c r="P51" i="3" s="1"/>
  <c r="R51" i="3"/>
  <c r="T51" i="3"/>
  <c r="B52" i="3"/>
  <c r="C52" i="3"/>
  <c r="D52" i="3"/>
  <c r="E52" i="3"/>
  <c r="F52" i="3"/>
  <c r="I52" i="3"/>
  <c r="J52" i="3"/>
  <c r="L52" i="3" s="1"/>
  <c r="K52" i="3"/>
  <c r="P52" i="3" s="1"/>
  <c r="R52" i="3"/>
  <c r="T52" i="3"/>
  <c r="B53" i="3"/>
  <c r="C53" i="3"/>
  <c r="D53" i="3"/>
  <c r="E53" i="3"/>
  <c r="F53" i="3"/>
  <c r="I53" i="3"/>
  <c r="J53" i="3"/>
  <c r="L53" i="3" s="1"/>
  <c r="K53" i="3"/>
  <c r="P53" i="3" s="1"/>
  <c r="R53" i="3"/>
  <c r="T53" i="3"/>
  <c r="B54" i="3"/>
  <c r="C54" i="3"/>
  <c r="D54" i="3"/>
  <c r="E54" i="3"/>
  <c r="F54" i="3"/>
  <c r="H54" i="3"/>
  <c r="I54" i="3"/>
  <c r="J54" i="3"/>
  <c r="K54" i="3"/>
  <c r="P54" i="3" s="1"/>
  <c r="R54" i="3"/>
  <c r="T54" i="3"/>
  <c r="B55" i="3"/>
  <c r="C55" i="3"/>
  <c r="D55" i="3"/>
  <c r="E55" i="3"/>
  <c r="F55" i="3"/>
  <c r="I55" i="3"/>
  <c r="J55" i="3"/>
  <c r="L55" i="3" s="1"/>
  <c r="K55" i="3"/>
  <c r="P55" i="3" s="1"/>
  <c r="R55" i="3"/>
  <c r="T55" i="3"/>
  <c r="B56" i="3"/>
  <c r="C56" i="3"/>
  <c r="D56" i="3"/>
  <c r="E56" i="3"/>
  <c r="F56" i="3"/>
  <c r="I56" i="3"/>
  <c r="J56" i="3"/>
  <c r="L56" i="3" s="1"/>
  <c r="K56" i="3"/>
  <c r="P56" i="3" s="1"/>
  <c r="R56" i="3"/>
  <c r="T56" i="3"/>
  <c r="B57" i="3"/>
  <c r="C57" i="3"/>
  <c r="D57" i="3"/>
  <c r="E57" i="3"/>
  <c r="F57" i="3"/>
  <c r="I57" i="3"/>
  <c r="J57" i="3"/>
  <c r="L57" i="3" s="1"/>
  <c r="K57" i="3"/>
  <c r="P57" i="3" s="1"/>
  <c r="R57" i="3"/>
  <c r="T57" i="3"/>
  <c r="B58" i="3"/>
  <c r="C58" i="3"/>
  <c r="D58" i="3"/>
  <c r="E58" i="3"/>
  <c r="F58" i="3"/>
  <c r="H58" i="3"/>
  <c r="I58" i="3"/>
  <c r="J58" i="3"/>
  <c r="K58" i="3"/>
  <c r="P58" i="3" s="1"/>
  <c r="R58" i="3"/>
  <c r="T58" i="3"/>
  <c r="B59" i="3"/>
  <c r="C59" i="3"/>
  <c r="D59" i="3"/>
  <c r="E59" i="3"/>
  <c r="F59" i="3"/>
  <c r="I59" i="3"/>
  <c r="J59" i="3"/>
  <c r="K59" i="3"/>
  <c r="P59" i="3" s="1"/>
  <c r="R59" i="3"/>
  <c r="T59" i="3"/>
  <c r="B60" i="3"/>
  <c r="C60" i="3"/>
  <c r="D60" i="3"/>
  <c r="E60" i="3"/>
  <c r="F60" i="3"/>
  <c r="I60" i="3"/>
  <c r="J60" i="3"/>
  <c r="L60" i="3" s="1"/>
  <c r="K60" i="3"/>
  <c r="P60" i="3" s="1"/>
  <c r="R60" i="3"/>
  <c r="T60" i="3"/>
  <c r="B61" i="3"/>
  <c r="C61" i="3"/>
  <c r="D61" i="3"/>
  <c r="E61" i="3"/>
  <c r="F61" i="3"/>
  <c r="I61" i="3"/>
  <c r="J61" i="3"/>
  <c r="L61" i="3" s="1"/>
  <c r="K61" i="3"/>
  <c r="P61" i="3"/>
  <c r="R61" i="3"/>
  <c r="T61" i="3"/>
  <c r="B62" i="3"/>
  <c r="C62" i="3"/>
  <c r="D62" i="3"/>
  <c r="E62" i="3"/>
  <c r="F62" i="3"/>
  <c r="I62" i="3"/>
  <c r="J62" i="3"/>
  <c r="L62" i="3" s="1"/>
  <c r="K62" i="3"/>
  <c r="P62" i="3" s="1"/>
  <c r="R62" i="3"/>
  <c r="T62" i="3"/>
  <c r="B63" i="3"/>
  <c r="C63" i="3"/>
  <c r="D63" i="3"/>
  <c r="E63" i="3"/>
  <c r="F63" i="3"/>
  <c r="I63" i="3"/>
  <c r="J63" i="3"/>
  <c r="K63" i="3"/>
  <c r="L63" i="3" s="1"/>
  <c r="P63" i="3"/>
  <c r="R63" i="3"/>
  <c r="T63" i="3"/>
  <c r="B64" i="3"/>
  <c r="C64" i="3"/>
  <c r="D64" i="3"/>
  <c r="E64" i="3"/>
  <c r="F64" i="3"/>
  <c r="I64" i="3"/>
  <c r="J64" i="3"/>
  <c r="L64" i="3" s="1"/>
  <c r="K64" i="3"/>
  <c r="P64" i="3"/>
  <c r="R64" i="3"/>
  <c r="T64" i="3"/>
  <c r="B65" i="3"/>
  <c r="C65" i="3"/>
  <c r="D65" i="3"/>
  <c r="E65" i="3"/>
  <c r="F65" i="3"/>
  <c r="I65" i="3"/>
  <c r="J65" i="3"/>
  <c r="L65" i="3" s="1"/>
  <c r="K65" i="3"/>
  <c r="P65" i="3"/>
  <c r="R65" i="3"/>
  <c r="T65" i="3"/>
  <c r="B66" i="3"/>
  <c r="C66" i="3"/>
  <c r="D66" i="3"/>
  <c r="E66" i="3"/>
  <c r="F66" i="3"/>
  <c r="I66" i="3"/>
  <c r="J66" i="3"/>
  <c r="L66" i="3" s="1"/>
  <c r="K66" i="3"/>
  <c r="P66" i="3" s="1"/>
  <c r="R66" i="3"/>
  <c r="T66" i="3"/>
  <c r="B67" i="3"/>
  <c r="C67" i="3"/>
  <c r="D67" i="3"/>
  <c r="E67" i="3"/>
  <c r="F67" i="3"/>
  <c r="I67" i="3"/>
  <c r="J67" i="3"/>
  <c r="L67" i="3" s="1"/>
  <c r="K67" i="3"/>
  <c r="P67" i="3"/>
  <c r="R67" i="3"/>
  <c r="T67" i="3"/>
  <c r="B68" i="3"/>
  <c r="C68" i="3"/>
  <c r="D68" i="3"/>
  <c r="E68" i="3"/>
  <c r="F68" i="3"/>
  <c r="I68" i="3"/>
  <c r="J68" i="3"/>
  <c r="L68" i="3" s="1"/>
  <c r="K68" i="3"/>
  <c r="P68" i="3" s="1"/>
  <c r="R68" i="3"/>
  <c r="T68" i="3"/>
  <c r="B69" i="3"/>
  <c r="C69" i="3"/>
  <c r="D69" i="3"/>
  <c r="E69" i="3"/>
  <c r="F69" i="3"/>
  <c r="I69" i="3"/>
  <c r="J69" i="3"/>
  <c r="L69" i="3" s="1"/>
  <c r="K69" i="3"/>
  <c r="P69" i="3"/>
  <c r="R69" i="3"/>
  <c r="T69" i="3"/>
  <c r="B70" i="3"/>
  <c r="C70" i="3"/>
  <c r="D70" i="3"/>
  <c r="E70" i="3"/>
  <c r="F70" i="3"/>
  <c r="I70" i="3"/>
  <c r="J70" i="3"/>
  <c r="L70" i="3" s="1"/>
  <c r="K70" i="3"/>
  <c r="P70" i="3" s="1"/>
  <c r="R70" i="3"/>
  <c r="T70" i="3"/>
  <c r="B71" i="3"/>
  <c r="C71" i="3"/>
  <c r="D71" i="3"/>
  <c r="E71" i="3"/>
  <c r="F71" i="3"/>
  <c r="I71" i="3"/>
  <c r="J71" i="3"/>
  <c r="L71" i="3" s="1"/>
  <c r="K71" i="3"/>
  <c r="P71" i="3" s="1"/>
  <c r="R71" i="3"/>
  <c r="T71" i="3"/>
  <c r="B72" i="3"/>
  <c r="C72" i="3"/>
  <c r="D72" i="3"/>
  <c r="E72" i="3"/>
  <c r="F72" i="3"/>
  <c r="I72" i="3"/>
  <c r="J72" i="3"/>
  <c r="L72" i="3" s="1"/>
  <c r="K72" i="3"/>
  <c r="P72" i="3"/>
  <c r="R72" i="3"/>
  <c r="T72" i="3"/>
  <c r="B73" i="3"/>
  <c r="C73" i="3"/>
  <c r="D73" i="3"/>
  <c r="E73" i="3"/>
  <c r="F73" i="3"/>
  <c r="I73" i="3"/>
  <c r="J73" i="3"/>
  <c r="L73" i="3" s="1"/>
  <c r="K73" i="3"/>
  <c r="P73" i="3"/>
  <c r="R73" i="3"/>
  <c r="T73" i="3"/>
  <c r="B74" i="3"/>
  <c r="C74" i="3"/>
  <c r="D74" i="3"/>
  <c r="E74" i="3"/>
  <c r="F74" i="3"/>
  <c r="I74" i="3"/>
  <c r="J74" i="3"/>
  <c r="L74" i="3" s="1"/>
  <c r="P74" i="3"/>
  <c r="R74" i="3"/>
  <c r="T74" i="3"/>
  <c r="B75" i="3"/>
  <c r="C75" i="3"/>
  <c r="D75" i="3"/>
  <c r="E75" i="3"/>
  <c r="F75" i="3"/>
  <c r="I75" i="3"/>
  <c r="J75" i="3"/>
  <c r="K75" i="3"/>
  <c r="P75" i="3"/>
  <c r="R75" i="3"/>
  <c r="T75" i="3"/>
  <c r="F29" i="2"/>
  <c r="D29" i="2"/>
  <c r="C29" i="2"/>
  <c r="B29" i="2"/>
  <c r="F28" i="2"/>
  <c r="D28" i="2"/>
  <c r="C28" i="2"/>
  <c r="B28" i="2"/>
  <c r="F27" i="2"/>
  <c r="D27" i="2"/>
  <c r="C27" i="2"/>
  <c r="B27" i="2"/>
  <c r="F26" i="2"/>
  <c r="G26" i="2" s="1"/>
  <c r="D26" i="2"/>
  <c r="C26" i="2"/>
  <c r="B26" i="2"/>
  <c r="F25" i="2"/>
  <c r="G25" i="2" s="1"/>
  <c r="D25" i="2"/>
  <c r="C25" i="2"/>
  <c r="B25" i="2"/>
  <c r="F24" i="2"/>
  <c r="G24" i="2" s="1"/>
  <c r="D24" i="2"/>
  <c r="C24" i="2"/>
  <c r="B24" i="2"/>
  <c r="F23" i="2"/>
  <c r="G23" i="2" s="1"/>
  <c r="D23" i="2"/>
  <c r="C23" i="2"/>
  <c r="B23" i="2"/>
  <c r="F22" i="2"/>
  <c r="D22" i="2"/>
  <c r="C22" i="2"/>
  <c r="B22" i="2"/>
  <c r="F21" i="2"/>
  <c r="G21" i="2" s="1"/>
  <c r="D21" i="2"/>
  <c r="C21" i="2"/>
  <c r="B21" i="2"/>
  <c r="F20" i="2"/>
  <c r="G20" i="2" s="1"/>
  <c r="D20" i="2"/>
  <c r="C20" i="2"/>
  <c r="B20" i="2"/>
  <c r="F19" i="2"/>
  <c r="G19" i="2" s="1"/>
  <c r="D19" i="2"/>
  <c r="C19" i="2"/>
  <c r="B19" i="2"/>
  <c r="F18" i="2"/>
  <c r="D18" i="2"/>
  <c r="C18" i="2"/>
  <c r="B18" i="2"/>
  <c r="F17" i="2"/>
  <c r="D17" i="2"/>
  <c r="C17" i="2"/>
  <c r="B17" i="2"/>
  <c r="F16" i="2"/>
  <c r="G16" i="2" s="1"/>
  <c r="D16" i="2"/>
  <c r="C16" i="2"/>
  <c r="B16" i="2"/>
  <c r="F15" i="2"/>
  <c r="D15" i="2"/>
  <c r="C15" i="2"/>
  <c r="B15" i="2"/>
  <c r="F14" i="2"/>
  <c r="G14" i="2" s="1"/>
  <c r="D14" i="2"/>
  <c r="C14" i="2"/>
  <c r="B14" i="2"/>
  <c r="G13" i="2"/>
  <c r="D13" i="2"/>
  <c r="C13" i="2"/>
  <c r="B13" i="2"/>
  <c r="F12" i="2"/>
  <c r="D12" i="2"/>
  <c r="C12" i="2"/>
  <c r="B12" i="2"/>
  <c r="L4" i="3" l="1"/>
  <c r="L9" i="3"/>
  <c r="L42" i="3"/>
  <c r="L3" i="3"/>
  <c r="L36" i="3"/>
  <c r="L59" i="3"/>
  <c r="L21" i="3"/>
  <c r="L12" i="3"/>
  <c r="L38" i="3"/>
  <c r="L16" i="3"/>
  <c r="L15" i="3"/>
  <c r="L7" i="3"/>
  <c r="L10" i="3"/>
  <c r="L54" i="3"/>
  <c r="L50" i="3"/>
  <c r="L34" i="3"/>
  <c r="L22" i="3"/>
  <c r="L30" i="3"/>
  <c r="L5" i="3"/>
  <c r="L44" i="3"/>
  <c r="L27" i="3"/>
  <c r="L26" i="3"/>
  <c r="L25" i="3"/>
  <c r="L24" i="3"/>
  <c r="L13" i="3"/>
  <c r="L8" i="3"/>
  <c r="L2" i="3"/>
  <c r="L58" i="3"/>
  <c r="L45" i="3"/>
  <c r="L33" i="3"/>
  <c r="L11" i="3"/>
  <c r="L6" i="3"/>
  <c r="P41" i="3"/>
  <c r="P11" i="2"/>
  <c r="L11" i="2"/>
  <c r="F11" i="2"/>
  <c r="D11" i="2"/>
  <c r="C11" i="2"/>
  <c r="B11" i="2"/>
  <c r="B10" i="2"/>
  <c r="C10" i="2"/>
  <c r="G7" i="2"/>
  <c r="F8" i="2"/>
  <c r="F9" i="2"/>
  <c r="D7" i="2"/>
  <c r="D8" i="2"/>
  <c r="D9" i="2"/>
  <c r="B7" i="2"/>
  <c r="B8" i="2"/>
  <c r="B9" i="2"/>
  <c r="C7" i="2"/>
  <c r="C8" i="2"/>
  <c r="C9" i="2"/>
  <c r="D2" i="2"/>
  <c r="D3" i="2"/>
  <c r="D4" i="2"/>
  <c r="D5" i="2"/>
  <c r="D6" i="2"/>
  <c r="C2" i="2"/>
  <c r="C3" i="2"/>
  <c r="C4" i="2"/>
  <c r="C5" i="2"/>
  <c r="C6" i="2"/>
  <c r="B2" i="2"/>
  <c r="B3" i="2"/>
  <c r="B4" i="2"/>
  <c r="B5" i="2"/>
  <c r="B6" i="2"/>
  <c r="P6" i="2"/>
  <c r="L6" i="2"/>
  <c r="F6" i="2"/>
  <c r="P5" i="2"/>
  <c r="L5" i="2"/>
  <c r="F5" i="2"/>
  <c r="P4" i="2"/>
  <c r="L4" i="2"/>
  <c r="F4" i="2"/>
  <c r="P3" i="2"/>
  <c r="L3" i="2"/>
  <c r="F3" i="2"/>
  <c r="P2" i="2"/>
  <c r="L2" i="2"/>
  <c r="F2" i="2"/>
  <c r="L77" i="6" l="1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</calcChain>
</file>

<file path=xl/sharedStrings.xml><?xml version="1.0" encoding="utf-8"?>
<sst xmlns="http://schemas.openxmlformats.org/spreadsheetml/2006/main" count="16079" uniqueCount="4170">
  <si>
    <t>TRAMO_INI</t>
  </si>
  <si>
    <t>(Varios elementos)</t>
  </si>
  <si>
    <t>Suma de SALDO_INSOLUTO_INI</t>
  </si>
  <si>
    <t>Etiquetas de columna</t>
  </si>
  <si>
    <t>Etiquetas de fila</t>
  </si>
  <si>
    <t>CASTIGO</t>
  </si>
  <si>
    <t>VIGENTE</t>
  </si>
  <si>
    <t>Total general</t>
  </si>
  <si>
    <t>Apr</t>
  </si>
  <si>
    <t>Jun</t>
  </si>
  <si>
    <t>Cuenta de SALDO_INSOLUTO_INI</t>
  </si>
  <si>
    <t>0-365</t>
  </si>
  <si>
    <t>121-150</t>
  </si>
  <si>
    <t>151-180</t>
  </si>
  <si>
    <t>181-210</t>
  </si>
  <si>
    <t>211-240</t>
  </si>
  <si>
    <t>241-270</t>
  </si>
  <si>
    <t>271-300</t>
  </si>
  <si>
    <t>301-330</t>
  </si>
  <si>
    <t>31-60</t>
  </si>
  <si>
    <t>331-360</t>
  </si>
  <si>
    <t>361-390</t>
  </si>
  <si>
    <t>61-90</t>
  </si>
  <si>
    <t>91-120</t>
  </si>
  <si>
    <t>ID_CREDITO</t>
  </si>
  <si>
    <t>DIAS_MORA</t>
  </si>
  <si>
    <t>CUOTAS_MOROSAS_ACTUAL</t>
  </si>
  <si>
    <t>SALDO_INSOLUTO_INI</t>
  </si>
  <si>
    <t>PRIORIDAD_GESTION</t>
  </si>
  <si>
    <t>GESTOR</t>
  </si>
  <si>
    <t>TIPO_COBRANZA</t>
  </si>
  <si>
    <t>TRAMO_ACT</t>
  </si>
  <si>
    <t>TIPO_CARTERA</t>
  </si>
  <si>
    <t>TIPO_GESTION</t>
  </si>
  <si>
    <t>FECHA_ASIGNACION</t>
  </si>
  <si>
    <t>SEGMENTO_CLIENTE</t>
  </si>
  <si>
    <t>RUT</t>
  </si>
  <si>
    <t>DV</t>
  </si>
  <si>
    <t>RAZON_SOCIAL</t>
  </si>
  <si>
    <t>PERSONA_NATURAL</t>
  </si>
  <si>
    <t>VALOR_CUOTA</t>
  </si>
  <si>
    <t>FECHA_PROX_VCTO</t>
  </si>
  <si>
    <t>CUOTAS_PAGADAS_ACTUAL</t>
  </si>
  <si>
    <t>CUOTAS_PAGADAS_INI</t>
  </si>
  <si>
    <t>PLAZO</t>
  </si>
  <si>
    <t>CANAL_VENTA</t>
  </si>
  <si>
    <t>CAMPANAS</t>
  </si>
  <si>
    <t>INT_MORA_TOTAL</t>
  </si>
  <si>
    <t>GC_TOTAL</t>
  </si>
  <si>
    <t>ESTADO_PAT_PAC</t>
  </si>
  <si>
    <t>FECHA_FIRMA_PAGARE</t>
  </si>
  <si>
    <t>MONTO_ADEUDADO</t>
  </si>
  <si>
    <t>TASA_INTERES_CRED</t>
  </si>
  <si>
    <t>CONVENIO_CASTIGO</t>
  </si>
  <si>
    <t>GESTOR_PLAN_PAGO</t>
  </si>
  <si>
    <t>MARCA_CLIENTE</t>
  </si>
  <si>
    <t>ESTADO_COBRANZA</t>
  </si>
  <si>
    <t>TELEFONO_1</t>
  </si>
  <si>
    <t>TELEFONO_2</t>
  </si>
  <si>
    <t>TELEFONO_3</t>
  </si>
  <si>
    <t>EMAIL_1</t>
  </si>
  <si>
    <t>EMAIL_2</t>
  </si>
  <si>
    <t>EMAIL_3</t>
  </si>
  <si>
    <t>DIRECCION</t>
  </si>
  <si>
    <t>COMUNA</t>
  </si>
  <si>
    <t>REGION</t>
  </si>
  <si>
    <t>ROL</t>
  </si>
  <si>
    <t>TRIBUNAL</t>
  </si>
  <si>
    <t>ESTADO_JUDICIAL</t>
  </si>
  <si>
    <t>TIPO_JUDICIAL</t>
  </si>
  <si>
    <t>DUAL</t>
  </si>
  <si>
    <t>SUSP_ESTADO_JUDICIAL</t>
  </si>
  <si>
    <t>SUSP_MOTIVO</t>
  </si>
  <si>
    <t>SUSP_FECHA</t>
  </si>
  <si>
    <t>NOTIFICADO</t>
  </si>
  <si>
    <t>ESTADO_JUICIO</t>
  </si>
  <si>
    <t>VEHICULO_1_PATENTE</t>
  </si>
  <si>
    <t>VEHICULO_1_MARCA</t>
  </si>
  <si>
    <t>VEHICULO_1_MODELO</t>
  </si>
  <si>
    <t>VEHICULO_1_ANIO</t>
  </si>
  <si>
    <t>PHOENIX</t>
  </si>
  <si>
    <t>JUDICIAL</t>
  </si>
  <si>
    <t>1096+</t>
  </si>
  <si>
    <t>COBRANZA</t>
  </si>
  <si>
    <t>CLAUDIO GERMAN ALEGRIA GONZALEZ</t>
  </si>
  <si>
    <t>31-07-2016</t>
  </si>
  <si>
    <t>TANNER</t>
  </si>
  <si>
    <t>DACIÓN</t>
  </si>
  <si>
    <t>09 7 2632839</t>
  </si>
  <si>
    <t>CALEGRIA193@GMAIL.COM</t>
  </si>
  <si>
    <t>AV LA HACIENDA N 2776</t>
  </si>
  <si>
    <t>LAMPA</t>
  </si>
  <si>
    <t>REGION METROPOLITANA</t>
  </si>
  <si>
    <t>SIN ROL</t>
  </si>
  <si>
    <t>SIN TRIBUNAL</t>
  </si>
  <si>
    <t>ASIGNACION</t>
  </si>
  <si>
    <t>MANTIENE</t>
  </si>
  <si>
    <t>NULL</t>
  </si>
  <si>
    <t>NO</t>
  </si>
  <si>
    <t>ACTIVO</t>
  </si>
  <si>
    <t>DFBY26</t>
  </si>
  <si>
    <t>MITSUBISHI</t>
  </si>
  <si>
    <t>L-200</t>
  </si>
  <si>
    <t>731-1095</t>
  </si>
  <si>
    <t>FRANCISCO JAVIER LEPIN NEICO</t>
  </si>
  <si>
    <t>F.LEPIN@PROFESOR.DUOC.CL</t>
  </si>
  <si>
    <t>TUCAPEL JIMENEZ</t>
  </si>
  <si>
    <t>SANTIAGO</t>
  </si>
  <si>
    <t>C-5981-2020</t>
  </si>
  <si>
    <t>24° Juzgado Civil de Santiago</t>
  </si>
  <si>
    <t>REMATADO</t>
  </si>
  <si>
    <t>SI</t>
  </si>
  <si>
    <t>HRJF70</t>
  </si>
  <si>
    <t>KIA MOTORS</t>
  </si>
  <si>
    <t>RIO 5 EX 1.4</t>
  </si>
  <si>
    <t>366-730</t>
  </si>
  <si>
    <t>GERALDINE KAROL VIVAR ARGOMEDO</t>
  </si>
  <si>
    <t>gvivar20@gmail.com</t>
  </si>
  <si>
    <t>DECIMA AVENIDA 1430</t>
  </si>
  <si>
    <t>SAN MIGUEL</t>
  </si>
  <si>
    <t>C-19084-2024</t>
  </si>
  <si>
    <t>19º Juzgado Civil de Santiago</t>
  </si>
  <si>
    <t>EMBARGADO</t>
  </si>
  <si>
    <t>PTSS82</t>
  </si>
  <si>
    <t>OPEL</t>
  </si>
  <si>
    <t>CROSSLAND TD MT6 1.5</t>
  </si>
  <si>
    <t>MATIAS IGNACIO  RIVEROS ORREGO RIVEROS ORREGO</t>
  </si>
  <si>
    <t>matias.ro@hotmail.com</t>
  </si>
  <si>
    <t>HERIBERTO COBARRUBIAS 679</t>
  </si>
  <si>
    <t>ÑUÑOA</t>
  </si>
  <si>
    <t>C-20304-2024</t>
  </si>
  <si>
    <t>28º Juzgado Civil de Santiago</t>
  </si>
  <si>
    <t>PYCC10</t>
  </si>
  <si>
    <t>MAZDA</t>
  </si>
  <si>
    <t>ALL NEW CX-30 GTX 2.0 2WD 6AT 7G</t>
  </si>
  <si>
    <t>AVELINO DEL TRÁNSITO REYES ESCOBAR</t>
  </si>
  <si>
    <t>avelinoreyesescobar@gmail.com</t>
  </si>
  <si>
    <t>Calle Ictinos 1663</t>
  </si>
  <si>
    <t>PEÑALOLEN</t>
  </si>
  <si>
    <t>C-19072-2024</t>
  </si>
  <si>
    <t>8º JUZGADO CIVIL DE SANTIAGO</t>
  </si>
  <si>
    <t>INGRESADO</t>
  </si>
  <si>
    <t>RBDK38</t>
  </si>
  <si>
    <t>JETOUR</t>
  </si>
  <si>
    <t>X70 1.5 AUT</t>
  </si>
  <si>
    <t>MILKO ANDRÉS  VALLADARES ASTUDILLO</t>
  </si>
  <si>
    <t>milkovalladares1@gmail.com</t>
  </si>
  <si>
    <t>ALMIRANTE SIMSON, 1218</t>
  </si>
  <si>
    <t>LOTA</t>
  </si>
  <si>
    <t>VIII REGION</t>
  </si>
  <si>
    <t>C-19069-2024</t>
  </si>
  <si>
    <t>16º Juzgado Civil de Santiago</t>
  </si>
  <si>
    <t>RHHH87</t>
  </si>
  <si>
    <t>HAVAL</t>
  </si>
  <si>
    <t>HAVAL JOLION 1.5T MT 4X2 ACTIVE</t>
  </si>
  <si>
    <t>MARCELO ALEJANDRO  MELLADO  SÁNCHEZ</t>
  </si>
  <si>
    <t>CREDINISSAN</t>
  </si>
  <si>
    <t>PATHY_JANA86@HOTMAIL.COM</t>
  </si>
  <si>
    <t>TALCA 161</t>
  </si>
  <si>
    <t>OSORNO</t>
  </si>
  <si>
    <t>X REGION</t>
  </si>
  <si>
    <t>C-22129-2024</t>
  </si>
  <si>
    <t>15º Juzgado Civil de Santiago</t>
  </si>
  <si>
    <t>RBYP22</t>
  </si>
  <si>
    <t>NISSAN</t>
  </si>
  <si>
    <t>KICKS 1.6</t>
  </si>
  <si>
    <t>RODRIGO HERNÁN COVARRUBIAS NANNIG</t>
  </si>
  <si>
    <t>rodrigo.covarrubias75@gmail.com</t>
  </si>
  <si>
    <t>PASAJE VALENZUELA 75</t>
  </si>
  <si>
    <t>FRUTILLAR</t>
  </si>
  <si>
    <t>C-19067-2024</t>
  </si>
  <si>
    <t>5º Juzgado Civil de Santiago</t>
  </si>
  <si>
    <t>PZTC67</t>
  </si>
  <si>
    <t>GRANDLAND 1.6 AUT</t>
  </si>
  <si>
    <t>JORGE ORLANDO  CIFUENTES LARA CIFUENTES LARA</t>
  </si>
  <si>
    <t>YOHAIROCIFUENTES@GMAIL.COM</t>
  </si>
  <si>
    <t>PASAJE ANCALLE 0372</t>
  </si>
  <si>
    <t>TEMUCO</t>
  </si>
  <si>
    <t>IX REGION</t>
  </si>
  <si>
    <t>C-3900-2025</t>
  </si>
  <si>
    <t>2º Juzgado Civil de Santiago</t>
  </si>
  <si>
    <t>RBRC21</t>
  </si>
  <si>
    <t>CHANGAN</t>
  </si>
  <si>
    <t>NEW CS15 ELITE HB 1.5 AUT</t>
  </si>
  <si>
    <t>PAULINA ANDREA HENRÍQUEZ TELLO</t>
  </si>
  <si>
    <t>PHENRIQUEZTELLO@GMAIL.COM</t>
  </si>
  <si>
    <t>Lomas de Catapilco sito 58, Zapallar</t>
  </si>
  <si>
    <t>ZAPALLAR</t>
  </si>
  <si>
    <t>V REGION</t>
  </si>
  <si>
    <t>27º Juzgado Civil de Santiago</t>
  </si>
  <si>
    <t>KVJW91</t>
  </si>
  <si>
    <t>PEUGEOT</t>
  </si>
  <si>
    <t>3008 GT LINE 1.6</t>
  </si>
  <si>
    <t>E</t>
  </si>
  <si>
    <t>MIGUEL ANGEL  VERA LOPEZ</t>
  </si>
  <si>
    <t>ANGEL.VERA.LOPEZ797@GMAIL.COM</t>
  </si>
  <si>
    <t>BILBAO 654</t>
  </si>
  <si>
    <t>C-8325-2025</t>
  </si>
  <si>
    <t>20º Juzgado Civil de Santiago</t>
  </si>
  <si>
    <t>RFVK52</t>
  </si>
  <si>
    <t>JAC</t>
  </si>
  <si>
    <t>JS2 1.5</t>
  </si>
  <si>
    <t>DENISE DE LOURDES  ARTEAGA  GÓMEZ</t>
  </si>
  <si>
    <t>PUT EN CUOTAS</t>
  </si>
  <si>
    <t>DENISEARTEAGA@GMAIL.COM</t>
  </si>
  <si>
    <t>SANTA INES 1060</t>
  </si>
  <si>
    <t>PUERTO MONTT</t>
  </si>
  <si>
    <t>C-19078-2024</t>
  </si>
  <si>
    <t>26º Juzgado Civil de Santiago</t>
  </si>
  <si>
    <t>RHPP76</t>
  </si>
  <si>
    <t>X TRAIL CVT 2.5 AT</t>
  </si>
  <si>
    <t>YANIRA ANDREA  CHELMES ARAYA</t>
  </si>
  <si>
    <t>YANIRACHELMES38@GMAIL.COM</t>
  </si>
  <si>
    <t>PUERTO VARAS 1144</t>
  </si>
  <si>
    <t>COQUIMBO</t>
  </si>
  <si>
    <t>IV REGION</t>
  </si>
  <si>
    <t>C-19095-2024</t>
  </si>
  <si>
    <t>30º JUZGADO CIVIL DE SANTIAGO</t>
  </si>
  <si>
    <t>TERMINADO</t>
  </si>
  <si>
    <t>PAGO TOTAL</t>
  </si>
  <si>
    <t>13-07-2026</t>
  </si>
  <si>
    <t>CERRADO</t>
  </si>
  <si>
    <t>RHZV90</t>
  </si>
  <si>
    <t>GUILLERMO ANDRES  BAHAMONDES LORCA</t>
  </si>
  <si>
    <t>GUILLERMOBAHAMONDESLORCA@GMAIL.COM</t>
  </si>
  <si>
    <t>LOS ATACAMEÑOS 2577</t>
  </si>
  <si>
    <t>RENCA</t>
  </si>
  <si>
    <t>C-20327-2024</t>
  </si>
  <si>
    <t>23º JUZGADO CIVIL DE SANTIAGO</t>
  </si>
  <si>
    <t>RFYY61</t>
  </si>
  <si>
    <t>RENAULT</t>
  </si>
  <si>
    <t>OROCH OTTO 2.0</t>
  </si>
  <si>
    <t>ELIZABETH CRISTINA  ROSALES  HEREDIA</t>
  </si>
  <si>
    <t>ELITA.ROSA@HOTMAIL.COM</t>
  </si>
  <si>
    <t>PASAJE RIO BLANCO 1376</t>
  </si>
  <si>
    <t>C-20314-2024</t>
  </si>
  <si>
    <t>9º Juzgado Civil de Santiago</t>
  </si>
  <si>
    <t>RFVW10</t>
  </si>
  <si>
    <t>QASHQAI J11 2.0</t>
  </si>
  <si>
    <t>DIEGO FRANCISCO  OLGUIN TARIFEÑO</t>
  </si>
  <si>
    <t>DIEGOOLGUIN01@GMAIL.COM</t>
  </si>
  <si>
    <t>SAN ALFONSO 741</t>
  </si>
  <si>
    <t>C-19061-2024</t>
  </si>
  <si>
    <t>1º Juzgado Civil de Santiago</t>
  </si>
  <si>
    <t>GIRO CHEQUE</t>
  </si>
  <si>
    <t>RKBZ50</t>
  </si>
  <si>
    <t>JS2 HATCHBACK 1.5</t>
  </si>
  <si>
    <t>ANA PAULA  GUAJARDO CORDOVA</t>
  </si>
  <si>
    <t>PLAN DE PAGO</t>
  </si>
  <si>
    <t>ANA.GUA.COR29@GMAIL.COM</t>
  </si>
  <si>
    <t>PASAJE DANCING 5875</t>
  </si>
  <si>
    <t>C-3908-2025</t>
  </si>
  <si>
    <t>RGZP22</t>
  </si>
  <si>
    <t>CS55 ELITE 1.5 AUT</t>
  </si>
  <si>
    <t>ALBERTO FERNANDO MANUEL  ALVAREZ VICENCIO</t>
  </si>
  <si>
    <t>lhise.alisdy5@gmail.com</t>
  </si>
  <si>
    <t>LAS COIMAS SECTOR LA CANCHA N 4</t>
  </si>
  <si>
    <t>C-3899-2025</t>
  </si>
  <si>
    <t>RJRF92</t>
  </si>
  <si>
    <t>NEW CS 15 LUXURY MT</t>
  </si>
  <si>
    <t>ANGELA ALEJANDRA  REBECO PEREZ</t>
  </si>
  <si>
    <t>ANGELAREBECOF@GMAIL.COM</t>
  </si>
  <si>
    <t>PASAJE ANTOFAGASTA 2161</t>
  </si>
  <si>
    <t>C-20323-2024</t>
  </si>
  <si>
    <t>RHJR26</t>
  </si>
  <si>
    <t>JS4 LUXURY HB 1.5</t>
  </si>
  <si>
    <t>K</t>
  </si>
  <si>
    <t>EDDY   SIMON . 0</t>
  </si>
  <si>
    <t>EDDYSIMON413@GMAIL.COM</t>
  </si>
  <si>
    <t>LOS INGLESES 166</t>
  </si>
  <si>
    <t>C-5510-2025</t>
  </si>
  <si>
    <t>17º Juzgado Civil de Santiago</t>
  </si>
  <si>
    <t>RLCK51</t>
  </si>
  <si>
    <t>JORGE ANTONIO  SERRANO HERNANDEZ</t>
  </si>
  <si>
    <t>JORGESE1806@GMAIL.COM</t>
  </si>
  <si>
    <t>BALMACEDA 749</t>
  </si>
  <si>
    <t>C-6726-2025</t>
  </si>
  <si>
    <t>RJTL81</t>
  </si>
  <si>
    <t>HYUNDAI</t>
  </si>
  <si>
    <t>VERNA CB 1.4</t>
  </si>
  <si>
    <t>LIBIA ROSA  VERA TUBIÑEZ</t>
  </si>
  <si>
    <t>LIBIA.VERA1@GMAIL.COM</t>
  </si>
  <si>
    <t>ALCALDE MANUEL HUICHIPOCO 422</t>
  </si>
  <si>
    <t>C-19071-2024</t>
  </si>
  <si>
    <t>3º Juzgado Civil de Santiago</t>
  </si>
  <si>
    <t>SUSPENDIDO</t>
  </si>
  <si>
    <t>RKHK18</t>
  </si>
  <si>
    <t>SUZUKI</t>
  </si>
  <si>
    <t>S PRESSO HB 1.0</t>
  </si>
  <si>
    <t>NICOLAS PATRICIO  ARRAU SOTO</t>
  </si>
  <si>
    <t>nicoarrau@gmail.com</t>
  </si>
  <si>
    <t>MANQUEHUE NORTE 1635 DPTO 104</t>
  </si>
  <si>
    <t>C-21660-2024</t>
  </si>
  <si>
    <t>24º Juzgado Civil de Santiago</t>
  </si>
  <si>
    <t>RKXF13</t>
  </si>
  <si>
    <t>NEW CX 5 R 2.0 AWD 6A</t>
  </si>
  <si>
    <t>MIGUEL ANGEL  ACEVEDO ARAVENA</t>
  </si>
  <si>
    <t>MACEVEDOAR@GMAIL.COM</t>
  </si>
  <si>
    <t>30 SUR 19 PONIENTE NÂ°38</t>
  </si>
  <si>
    <t>VII REGION</t>
  </si>
  <si>
    <t>4º Juzgado Civil de Santiago</t>
  </si>
  <si>
    <t>C-16642-2024</t>
  </si>
  <si>
    <t>RJSW95</t>
  </si>
  <si>
    <t>ALSVIN LUXURY MT</t>
  </si>
  <si>
    <t>ERIK MARCELO  ABURTO MORAGA</t>
  </si>
  <si>
    <t>ERIK.SERVICIOSCAMIONGRUA@GMAIL.COM</t>
  </si>
  <si>
    <t>AVENIDA FEDERICO SCHWAGER 2835</t>
  </si>
  <si>
    <t>C-4685-2025</t>
  </si>
  <si>
    <t>RSWR55</t>
  </si>
  <si>
    <t>GREAT WALL</t>
  </si>
  <si>
    <t>POER 4X4 2.0</t>
  </si>
  <si>
    <t>ANGÉLICA ESTER  NARVÁEZ  CASTRO</t>
  </si>
  <si>
    <t>ANGELICA.NAR.CAS@GMAIL.COM</t>
  </si>
  <si>
    <t>VIOLETA PARRA 1954 DPTO. I 212</t>
  </si>
  <si>
    <t>LA PINTANA</t>
  </si>
  <si>
    <t>C-8323-2025</t>
  </si>
  <si>
    <t>RRJV47</t>
  </si>
  <si>
    <t>SENTRA MT 2.0</t>
  </si>
  <si>
    <t>JUAN ALEX  OLIVARES  ALANO</t>
  </si>
  <si>
    <t>OLIVARESALANO@GMAIL.COM</t>
  </si>
  <si>
    <t>FERNANDO DE AGUIRRE 850 POBLACIÓN CARTAVIO</t>
  </si>
  <si>
    <t>COPIAPO</t>
  </si>
  <si>
    <t>III REGION</t>
  </si>
  <si>
    <t>25º Juzgado Civil de Santiago</t>
  </si>
  <si>
    <t>C-15693-2024</t>
  </si>
  <si>
    <t>RKRY65</t>
  </si>
  <si>
    <t>KICKS CVT 1.6 AUT</t>
  </si>
  <si>
    <t>ROBERTO CARLOS NEER CERDA</t>
  </si>
  <si>
    <t>rc.neer@gmail.com</t>
  </si>
  <si>
    <t>PASAJE LOS ARAUCANOS 01351</t>
  </si>
  <si>
    <t>PUENTE ALTO</t>
  </si>
  <si>
    <t>C-22132-2024</t>
  </si>
  <si>
    <t>RRRF12</t>
  </si>
  <si>
    <t>T8 XE ADVANCE 2.0</t>
  </si>
  <si>
    <t>VERÓNICA DE LAS MERCEDES SAN MARTÍN LAGOS</t>
  </si>
  <si>
    <t>VERONICASANMARTINLAGOS@GMAIL.COM</t>
  </si>
  <si>
    <t>CONDE DEL MAULE 668</t>
  </si>
  <si>
    <t>CHILLAN VIEJO</t>
  </si>
  <si>
    <t>XVI REGION</t>
  </si>
  <si>
    <t>29º Juzgado Civil de Santiago</t>
  </si>
  <si>
    <t>HYCV69</t>
  </si>
  <si>
    <t>ACCENT RB 1.4</t>
  </si>
  <si>
    <t>RAMÓN ALONSO VÁSQUEZ BUSTOS</t>
  </si>
  <si>
    <t>Herramientasramon1@gmail.com</t>
  </si>
  <si>
    <t>LOS CULTIVADORES 0563</t>
  </si>
  <si>
    <t>C-19068-2024</t>
  </si>
  <si>
    <t>21º Juzgado Civil de Santiago</t>
  </si>
  <si>
    <t>GWYT99</t>
  </si>
  <si>
    <t>FORD</t>
  </si>
  <si>
    <t>ESCAPE 2.5 AUT</t>
  </si>
  <si>
    <t>GERMAN ANTONIO GONZALEZ SANCHEZ</t>
  </si>
  <si>
    <t>iramandarcia@gmail.com</t>
  </si>
  <si>
    <t>AV. ESCUELA AGRICOLA 1710 DEPTO 1605</t>
  </si>
  <si>
    <t>MACUL</t>
  </si>
  <si>
    <t>C-15713-2024</t>
  </si>
  <si>
    <t>RRKJ66</t>
  </si>
  <si>
    <t>ALTO 800 GLX AC</t>
  </si>
  <si>
    <t>REINALDO DAVID  ALCAMÁN  HUENULAF</t>
  </si>
  <si>
    <t>reypausa@gmail.com</t>
  </si>
  <si>
    <t>PATRICIO LINCH  1040 DEPARTAMENTO 105</t>
  </si>
  <si>
    <t>C-8327-2025</t>
  </si>
  <si>
    <t>RRYZ76</t>
  </si>
  <si>
    <t>PEDRO GERMAN ESPINOZA MUÑOZ</t>
  </si>
  <si>
    <t>pedro_name@hotmail.com</t>
  </si>
  <si>
    <t>CALLE 2 CASA  749 BOCA SUR</t>
  </si>
  <si>
    <t>SAN PEDRO DE LA PAZ</t>
  </si>
  <si>
    <t>C-19074-2024</t>
  </si>
  <si>
    <t>10º Juzgado Civil de Santiago</t>
  </si>
  <si>
    <t>RTRZ90</t>
  </si>
  <si>
    <t>ALSVIN 1.4</t>
  </si>
  <si>
    <t>HANS ALEXANDER BÓRQUEZ CHACANA</t>
  </si>
  <si>
    <t>THRON.7@LIVE.COM</t>
  </si>
  <si>
    <t>AVENIDA CARLOS VALDOVINOS 1055 DEPTO. 187</t>
  </si>
  <si>
    <t>C-5508-2025</t>
  </si>
  <si>
    <t>JCRV58</t>
  </si>
  <si>
    <t>MERCEDES BENZ</t>
  </si>
  <si>
    <t>A200 D</t>
  </si>
  <si>
    <t>MARÍA ANGÉLICA VERGARA SILVA</t>
  </si>
  <si>
    <t>janomarver1974@gmail.com</t>
  </si>
  <si>
    <t>HORNILLAS 01651</t>
  </si>
  <si>
    <t>PUNTA ARENAS</t>
  </si>
  <si>
    <t>XII REGION</t>
  </si>
  <si>
    <t>C-16645-2024</t>
  </si>
  <si>
    <t>RPYY87</t>
  </si>
  <si>
    <t>SANTA FE 2.0 AUT</t>
  </si>
  <si>
    <t>LUIS FRANCISCO JAVIER  ESCOBAR MUÑOZ</t>
  </si>
  <si>
    <t>LFJAVIER69@HOTMAIL.COM</t>
  </si>
  <si>
    <t>ANDES 1506</t>
  </si>
  <si>
    <t>4º JUZGADO CIVIL DE SANTIAGO</t>
  </si>
  <si>
    <t>KSRX96</t>
  </si>
  <si>
    <t>JEEP</t>
  </si>
  <si>
    <t>RENEGADE SPORT 1.8</t>
  </si>
  <si>
    <t>JACQUELINE ANDREA  GONZÁLEZ CALDERON</t>
  </si>
  <si>
    <t>JAGONZALEZC@MALLCENTER.CL</t>
  </si>
  <si>
    <t>AFLUENTE 1932</t>
  </si>
  <si>
    <t>C-22302-2024</t>
  </si>
  <si>
    <t>22º Juzgado Civil de Santiago</t>
  </si>
  <si>
    <t>LPFT73</t>
  </si>
  <si>
    <t>MORNING EX 1.2</t>
  </si>
  <si>
    <t>EVELYN ALEJANDRA AHUMADA PADILLA</t>
  </si>
  <si>
    <t>e.ahumadapadilla@gmail.com</t>
  </si>
  <si>
    <t>romerillo 3735</t>
  </si>
  <si>
    <t>C-16646-2024</t>
  </si>
  <si>
    <t>JJTF54</t>
  </si>
  <si>
    <t>VERSA SENSE 1.6 AUT</t>
  </si>
  <si>
    <t>RUBÉN ANER CARILAO BARRA</t>
  </si>
  <si>
    <t>rubenaner@gmail.com</t>
  </si>
  <si>
    <t>La Huasca 10834</t>
  </si>
  <si>
    <t>LA FLORIDA</t>
  </si>
  <si>
    <t>C-16644-2024</t>
  </si>
  <si>
    <t>SUSPENDER</t>
  </si>
  <si>
    <t>RTFH40</t>
  </si>
  <si>
    <t>KYC</t>
  </si>
  <si>
    <t>X5 DCAB 1.5</t>
  </si>
  <si>
    <t>JOSÉ ENRIQUE HUENCHUCHEO REMOLCOY</t>
  </si>
  <si>
    <t>electricidad.joseh@gmail.com</t>
  </si>
  <si>
    <t>POB. CORVI CALLE JOSE ABELARDO NUÑEZ 127</t>
  </si>
  <si>
    <t>LLANQUIHUE</t>
  </si>
  <si>
    <t>11º Juzgado Civil de Santiago</t>
  </si>
  <si>
    <t>C-16643-2024</t>
  </si>
  <si>
    <t>RRTS57</t>
  </si>
  <si>
    <t>FOTON</t>
  </si>
  <si>
    <t>TM3 1.5</t>
  </si>
  <si>
    <t>ANDRE  TERTULIEN 0 TERTULIEN 0</t>
  </si>
  <si>
    <t>andrestertu@gmail.com</t>
  </si>
  <si>
    <t>CALLE TRES MONTE 714 DPTO 306</t>
  </si>
  <si>
    <t>QUILICURA</t>
  </si>
  <si>
    <t>C-22134-2024</t>
  </si>
  <si>
    <t>RVDH69</t>
  </si>
  <si>
    <t>VERNA CB 1.4 MT PLUS</t>
  </si>
  <si>
    <t>OSCAR HERNAN  ORTIZ GEELL</t>
  </si>
  <si>
    <t>oscarhortiz@gmail.com</t>
  </si>
  <si>
    <t>OFICINA LASTENIA 11850</t>
  </si>
  <si>
    <t>ANTOFAGASTA</t>
  </si>
  <si>
    <t>II REGION</t>
  </si>
  <si>
    <t>RVZW70</t>
  </si>
  <si>
    <t>KWID 1.0</t>
  </si>
  <si>
    <t>RODRIGO ALEJANDRO  PEREZ BIZAMA</t>
  </si>
  <si>
    <t>horion237@gmail.com</t>
  </si>
  <si>
    <t>PASAJE PEDRO AGUIRRE CERDA S/N</t>
  </si>
  <si>
    <t>PENCO</t>
  </si>
  <si>
    <t>C-15709-2024</t>
  </si>
  <si>
    <t>RTYF80</t>
  </si>
  <si>
    <t>CX70 OTTO 1.6</t>
  </si>
  <si>
    <t>MIGUEL EDUARDO CURIQUEO CARRILLO</t>
  </si>
  <si>
    <t>ecuriqueocarrillo@gmail.com</t>
  </si>
  <si>
    <t>PUERTA DEL SOL 1620</t>
  </si>
  <si>
    <t>CERRO NAVIA</t>
  </si>
  <si>
    <t>C-4783-2025 </t>
  </si>
  <si>
    <t>13º Juzgado Civil de Santiago</t>
  </si>
  <si>
    <t>JSXW20</t>
  </si>
  <si>
    <t>EXPLORER 2.3</t>
  </si>
  <si>
    <t>JOSÉ LUIS VIA DORADO ALFARO</t>
  </si>
  <si>
    <t>jviadorado@hotmail.com</t>
  </si>
  <si>
    <t>AVENIDA ANTILHUE 1250 DEPTO 312 PISO 3</t>
  </si>
  <si>
    <t>18º Juzgado Civil de Santiago</t>
  </si>
  <si>
    <t>C-15718-2024</t>
  </si>
  <si>
    <t>HJLV54</t>
  </si>
  <si>
    <t>DANIEL ROBERTO  MAIRA ARIAS</t>
  </si>
  <si>
    <t>daniel_trd@hotmail.com</t>
  </si>
  <si>
    <t>CALLE CASTRO 4165</t>
  </si>
  <si>
    <t>C-13009-2025</t>
  </si>
  <si>
    <t>LGPG81</t>
  </si>
  <si>
    <t>H2 ELITE 1.5</t>
  </si>
  <si>
    <t>MARIO  GALLARDO NORIEGA</t>
  </si>
  <si>
    <t>consuelonoriega1967@gmail.com</t>
  </si>
  <si>
    <t>TOMAS YAVAR 667</t>
  </si>
  <si>
    <t>RVKV87</t>
  </si>
  <si>
    <t>BAIC</t>
  </si>
  <si>
    <t>X55FLTMT COMFORT</t>
  </si>
  <si>
    <t>DANIEL LOPEZ GARCIA</t>
  </si>
  <si>
    <t>DANIEL.LOPEZ345@GMAIL.COM</t>
  </si>
  <si>
    <t>OFICINA SAN GREGORIO 195</t>
  </si>
  <si>
    <t>C-2598-2025</t>
  </si>
  <si>
    <t>RVRH84</t>
  </si>
  <si>
    <t>KIA</t>
  </si>
  <si>
    <t>MORNING MPI 1.2</t>
  </si>
  <si>
    <t>ISABEL DEL CARMEN SANTIBÁÑEZ NEIRA</t>
  </si>
  <si>
    <t>isabelneira645@gmail.com</t>
  </si>
  <si>
    <t>isaabelcoco09@gmail.com</t>
  </si>
  <si>
    <t>F30 CAMPAMENTO LAS GAVIOTAS CASA 12</t>
  </si>
  <si>
    <t>QUINTERO</t>
  </si>
  <si>
    <t>C-22126-2024</t>
  </si>
  <si>
    <t>RWBB51</t>
  </si>
  <si>
    <t>SPORTAGE EX DSL 2.0 AUT</t>
  </si>
  <si>
    <t>MARIA IGNACIA  GONZALEZ GAMBOA</t>
  </si>
  <si>
    <t>ignacia@sapublicidad.cl</t>
  </si>
  <si>
    <t>RIQUELME 604</t>
  </si>
  <si>
    <t>MELIPILLA</t>
  </si>
  <si>
    <t>C-20316-2024</t>
  </si>
  <si>
    <t>PCYB62</t>
  </si>
  <si>
    <t>SYMBOL 1.6</t>
  </si>
  <si>
    <t>WILLIAMS JOSE  CHACIN MARTINEZ</t>
  </si>
  <si>
    <t>LUISANNAISABELL@GMAIL.COM</t>
  </si>
  <si>
    <t>PDTE SANTA MARIA 289</t>
  </si>
  <si>
    <t>C-5521-2025</t>
  </si>
  <si>
    <t>RWZK66</t>
  </si>
  <si>
    <t>BALENO GLS HB 1.4</t>
  </si>
  <si>
    <t>ROBERTO JESÚS  CISTERNAS  NÚÑEZ</t>
  </si>
  <si>
    <t>ROJECINUZ@GMAIL.COM</t>
  </si>
  <si>
    <t>CALLE BALMACEDA 5</t>
  </si>
  <si>
    <t>LOS ANDES</t>
  </si>
  <si>
    <t>C-22139-2024</t>
  </si>
  <si>
    <t>INCAUTADO</t>
  </si>
  <si>
    <t>RWVX82</t>
  </si>
  <si>
    <t>X TRAIL T32 CVT 2.5 AUT</t>
  </si>
  <si>
    <t>JORGE ABRAHAM  YÁÑEZ  MERIÑO</t>
  </si>
  <si>
    <t>JORGEYANEZM25@GMAIL.COM</t>
  </si>
  <si>
    <t>CRUCERO 2746</t>
  </si>
  <si>
    <t>CHILLAN</t>
  </si>
  <si>
    <t>01º Juzgado Civil de Santiago</t>
  </si>
  <si>
    <t>C-15834-2024</t>
  </si>
  <si>
    <t>RWXY15</t>
  </si>
  <si>
    <t>KICKS SENSE MC 1.6 MT</t>
  </si>
  <si>
    <t>FABRICIO ALEJANDRO  VALENZUELA LEIVA</t>
  </si>
  <si>
    <t>fabricio.valenzuela.leiva@gmail.com</t>
  </si>
  <si>
    <t>EL LLANO 9</t>
  </si>
  <si>
    <t>SAN BERNARDO</t>
  </si>
  <si>
    <t>C-22141-2024</t>
  </si>
  <si>
    <t>16-07-2026</t>
  </si>
  <si>
    <t>RXTT99</t>
  </si>
  <si>
    <t>T8 PRO DIESEL ADVANCE 4X4 2.0</t>
  </si>
  <si>
    <t>CRISTIAN ALBERTO  REYES  INZUNZA</t>
  </si>
  <si>
    <t>CRISTIAN.REYES.Y@GMAIL.COM</t>
  </si>
  <si>
    <t>PASAJE EL NOGAL 4 VILLA ESPERANZA</t>
  </si>
  <si>
    <t>CABRERO</t>
  </si>
  <si>
    <t>C-3910-2025</t>
  </si>
  <si>
    <t>REACTIVA</t>
  </si>
  <si>
    <t>GPZV82</t>
  </si>
  <si>
    <t>SENTRA NEW SENSE MT</t>
  </si>
  <si>
    <t>JORGE LEANDRO HERRERA OPAZO</t>
  </si>
  <si>
    <t>rpiucoluribe@hotmail.com</t>
  </si>
  <si>
    <t>CNO AY CHACABUCO S/N</t>
  </si>
  <si>
    <t>AYSEN</t>
  </si>
  <si>
    <t>XI REGION</t>
  </si>
  <si>
    <t>C-22140-2024</t>
  </si>
  <si>
    <t>SBKK55</t>
  </si>
  <si>
    <t>POER DCAB 4X4 2.0 AUT</t>
  </si>
  <si>
    <t>GIORGIO GENNARO SARTORI TORRES</t>
  </si>
  <si>
    <t>giorgio.sartori.t@gmail.com</t>
  </si>
  <si>
    <t>AVENIDA JARDINES DE RENACA 102</t>
  </si>
  <si>
    <t>VIÑA DEL MAR</t>
  </si>
  <si>
    <t>C-15706-2024</t>
  </si>
  <si>
    <t>SBWB47</t>
  </si>
  <si>
    <t>NEW 3 HB 2.0</t>
  </si>
  <si>
    <t>ANDREY ADOLFO RODRIGUEZ PIRELA</t>
  </si>
  <si>
    <t>rodriguez.p.a@hotmail.com</t>
  </si>
  <si>
    <t>PRIMERA TRANSVERSAL 5915 DEP 203 PISO 2</t>
  </si>
  <si>
    <t>C-16651-2024</t>
  </si>
  <si>
    <t>LPCZ41</t>
  </si>
  <si>
    <t>CHERY</t>
  </si>
  <si>
    <t>TIGGO 2 GLS 1.5</t>
  </si>
  <si>
    <t>FRANCISCO ANTONIO VENEGAS GATICA</t>
  </si>
  <si>
    <t>francisco.venegas.gatica@fmail.com</t>
  </si>
  <si>
    <t>LAS COMPUERTAS 9</t>
  </si>
  <si>
    <t>CATEMU</t>
  </si>
  <si>
    <t>7º JUZGADO CIVIL DE SANTIAGO</t>
  </si>
  <si>
    <t>SCVY70</t>
  </si>
  <si>
    <t>T8 PRO LUXURY 4X4 2.0</t>
  </si>
  <si>
    <t>JOHANA VALENTINA LEON SILVA</t>
  </si>
  <si>
    <t>6º Juzgado Civil de Santiago</t>
  </si>
  <si>
    <t>C-15708-2024</t>
  </si>
  <si>
    <t>MIGRADO</t>
  </si>
  <si>
    <t>JOCELYN FLOR LEON ACEVEDO</t>
  </si>
  <si>
    <t>jocelyn_leon_27@hotmail.com</t>
  </si>
  <si>
    <t>LA CONQUISTA 2865</t>
  </si>
  <si>
    <t>CONCHALI</t>
  </si>
  <si>
    <t>C-16647-2024</t>
  </si>
  <si>
    <t>RZTP17</t>
  </si>
  <si>
    <t>CX70 1.6</t>
  </si>
  <si>
    <t>ÁNGELICA ARAYA VALENZUELA EXTRACCIÓN DE MINERALES E.I.R.L.</t>
  </si>
  <si>
    <t>angelicaarayavalenzuela@gmail.com</t>
  </si>
  <si>
    <t>JOSE ANTONIO MORENO 555</t>
  </si>
  <si>
    <t>C-22169-2024</t>
  </si>
  <si>
    <t>JHRZ96</t>
  </si>
  <si>
    <t>RANGER XLT 4X4 3.2</t>
  </si>
  <si>
    <t>LEILA MARLENE BERRIOS CERDA</t>
  </si>
  <si>
    <t>jaguilar72@gmail.com</t>
  </si>
  <si>
    <t>INES DE SUAREZ 462</t>
  </si>
  <si>
    <t>QUILPUE</t>
  </si>
  <si>
    <t>C-2589-2025</t>
  </si>
  <si>
    <t>RZYJ33</t>
  </si>
  <si>
    <t>CX70 ELITE 1.5 AUT</t>
  </si>
  <si>
    <t>GISELA BETZABE MARTINEZ CAMPOS</t>
  </si>
  <si>
    <t>martinezcamposgisela@gmail.com</t>
  </si>
  <si>
    <t>AV. LA FERIA 4927</t>
  </si>
  <si>
    <t>PEDRO AGUIRRE CERDA</t>
  </si>
  <si>
    <t>C-6730-2025</t>
  </si>
  <si>
    <t>SCBG91</t>
  </si>
  <si>
    <t>JS3 HB 1.6</t>
  </si>
  <si>
    <t>CLAUDIA LORENA ROJAS ARRIARÁN</t>
  </si>
  <si>
    <t>PAULETIGNACIA26@gmail.com</t>
  </si>
  <si>
    <t>PASAJE CAPELLAN PABLO VALLIER 2880</t>
  </si>
  <si>
    <t>LA SERENA</t>
  </si>
  <si>
    <t>C-19064-2024</t>
  </si>
  <si>
    <t>GFCS66</t>
  </si>
  <si>
    <t>PORTER HR CRDI 2.5</t>
  </si>
  <si>
    <t>COMERCIALIZADORA CORRALES DEL CAMPO CL  SPA</t>
  </si>
  <si>
    <t>fecrnegociocl@gmail.com</t>
  </si>
  <si>
    <t>Hijuela Primera Venecia Lote 9 Depto. 20</t>
  </si>
  <si>
    <t>MAULE</t>
  </si>
  <si>
    <t>C-22135-2024</t>
  </si>
  <si>
    <t>SCXD60</t>
  </si>
  <si>
    <t>FIAT</t>
  </si>
  <si>
    <t>DUCATO MULTIJET CARGO 2.3</t>
  </si>
  <si>
    <t>ANGELICA JULIET  ORTIZ  FRANCO</t>
  </si>
  <si>
    <t>SRTAORTIZ99@GMAIL.COM</t>
  </si>
  <si>
    <t>AVENIDA MARIA ROZAS VELAZQUES 51 DEPARTAMENTO 2115</t>
  </si>
  <si>
    <t>ESTACION CENTRAL</t>
  </si>
  <si>
    <t>C-9881-2025</t>
  </si>
  <si>
    <t>SCTS72</t>
  </si>
  <si>
    <t>PEDRO JOSE URQUIZA NAVARRO</t>
  </si>
  <si>
    <t>crecerpurquiza@gmail.com</t>
  </si>
  <si>
    <t>LOS CRISANTEMOS 8136</t>
  </si>
  <si>
    <t>SAN RAMON</t>
  </si>
  <si>
    <t>SDFL43</t>
  </si>
  <si>
    <t>HUNTER 1.9</t>
  </si>
  <si>
    <t>RODOLFO ANTONIO ARANEDA REYES</t>
  </si>
  <si>
    <t>rodolfoar360@gmail.com</t>
  </si>
  <si>
    <t>AVENIDA EL PARRON 0444</t>
  </si>
  <si>
    <t>LA CISTERNA</t>
  </si>
  <si>
    <t>C-20329-2024</t>
  </si>
  <si>
    <t>SDWR61</t>
  </si>
  <si>
    <t>JS2 HB 1.5</t>
  </si>
  <si>
    <t>JAVIER IGNACIO CHAPARRO GODOY</t>
  </si>
  <si>
    <t>C-19075-2024</t>
  </si>
  <si>
    <t>SDRJ49</t>
  </si>
  <si>
    <t>JS4 HB 1.6</t>
  </si>
  <si>
    <t>ELIZABETH DEL CARMEN ARENAS ORELLANA</t>
  </si>
  <si>
    <t>Elyarenas2709@gmail.com</t>
  </si>
  <si>
    <t>ALMIRANTE LATORRE 0367</t>
  </si>
  <si>
    <t>C-683-2025</t>
  </si>
  <si>
    <t>KXTC55</t>
  </si>
  <si>
    <t>NP300 DCAB 2.3</t>
  </si>
  <si>
    <t>CÉSAR ANDRÉS MUÑOZ HERRERA</t>
  </si>
  <si>
    <t>Transporte.cmunoz@gmail.com</t>
  </si>
  <si>
    <t>-</t>
  </si>
  <si>
    <t>PASAJE ANTUCO 2550</t>
  </si>
  <si>
    <t>C-8314-2025</t>
  </si>
  <si>
    <t>RPWP65</t>
  </si>
  <si>
    <t>T8 CE 2.0</t>
  </si>
  <si>
    <t>LORENA MARISOL ECHAURREN PEÑA</t>
  </si>
  <si>
    <t>lorenaechaurren2@gmail.com</t>
  </si>
  <si>
    <t>María Rosa 55 Depto 2610</t>
  </si>
  <si>
    <t>KCWS56</t>
  </si>
  <si>
    <t>FELIPE FRANCISCO VALDIVIA MEDINA</t>
  </si>
  <si>
    <t>f.valdivia.medina@gmail.com</t>
  </si>
  <si>
    <t>DOS NORTE 1724</t>
  </si>
  <si>
    <t>C-20389-2024</t>
  </si>
  <si>
    <t>PCSG29</t>
  </si>
  <si>
    <t>VERSA SEDAN 1.6</t>
  </si>
  <si>
    <t>DANIELA ANDREA ARIAS VALDIVIA</t>
  </si>
  <si>
    <t>daniela.arias.valdivia@gmail.com</t>
  </si>
  <si>
    <t>PASAJE GETAFE 691</t>
  </si>
  <si>
    <t>QUILLOTA</t>
  </si>
  <si>
    <t>C-20386-2024</t>
  </si>
  <si>
    <t>SGRW73</t>
  </si>
  <si>
    <t>X35 MPI 1.5</t>
  </si>
  <si>
    <t>CAIN ANDRÉS RODRÍGUEZ VILLA</t>
  </si>
  <si>
    <t>kainandres95@gmail.com</t>
  </si>
  <si>
    <t>LAGUNA REDONDA 2 PASAJE. 4 CASA 675</t>
  </si>
  <si>
    <t>CONCEPCION</t>
  </si>
  <si>
    <t>C-5502-2025</t>
  </si>
  <si>
    <t>SGLG63</t>
  </si>
  <si>
    <t>MG</t>
  </si>
  <si>
    <t>3 HATCH BACK 1.5</t>
  </si>
  <si>
    <t>JOSE GREGORIO NAVA VILLALOBOS</t>
  </si>
  <si>
    <t>josenava.gaby@gmail.com</t>
  </si>
  <si>
    <t>TRONCAL SAN FRANCISCO 2242</t>
  </si>
  <si>
    <t>C-16648-2024</t>
  </si>
  <si>
    <t>SGFT11</t>
  </si>
  <si>
    <t>SPRESSO GLX HB 1.0</t>
  </si>
  <si>
    <t>ANDREA ALEJANDRA PIZARRO MIRANDA</t>
  </si>
  <si>
    <t>pizarroandrea36@gmail.com</t>
  </si>
  <si>
    <t>ALAMEDA A-1</t>
  </si>
  <si>
    <t>PIRQUE</t>
  </si>
  <si>
    <t>C-14430-2025</t>
  </si>
  <si>
    <t>HFWZ55</t>
  </si>
  <si>
    <t>208 ALLURE HDI 1.4</t>
  </si>
  <si>
    <t>LUIS DAVID CORTES RAMIREZ</t>
  </si>
  <si>
    <t>luis7cortes7@gmail.com</t>
  </si>
  <si>
    <t>LOS OLIVOS 10622 DEPTO 201</t>
  </si>
  <si>
    <t>EL BOSQUE</t>
  </si>
  <si>
    <t>C-15704-2024</t>
  </si>
  <si>
    <t>SHBP19</t>
  </si>
  <si>
    <t>ALBERTO ALEJANDRO BESNIER ABARZÚA</t>
  </si>
  <si>
    <t>loventa09@gmail.com</t>
  </si>
  <si>
    <t>LOS LLEUQUES 030</t>
  </si>
  <si>
    <t>TALCA</t>
  </si>
  <si>
    <t>C-19079-2024</t>
  </si>
  <si>
    <t>HRVZ18</t>
  </si>
  <si>
    <t>L200 KATANA CRM 2.5</t>
  </si>
  <si>
    <t>ALEJANDRO ESTEBAN BEYTÍA OJEDA</t>
  </si>
  <si>
    <t>BEYTIAALEJANDRO568@GMAIL.COM</t>
  </si>
  <si>
    <t>MAR EGO</t>
  </si>
  <si>
    <t>C-9896-2025</t>
  </si>
  <si>
    <t>X 70</t>
  </si>
  <si>
    <t>JULIO CESAR COÑOPAN ESPINOZA</t>
  </si>
  <si>
    <t>jcmartespinoza@gmail.com</t>
  </si>
  <si>
    <t>ALMIRANTE RIVERO NORTE 1875 BLOCK B DEPTO 203</t>
  </si>
  <si>
    <t>SHYD64</t>
  </si>
  <si>
    <t>PAMELA  IBETH BARRA FIGUEROA</t>
  </si>
  <si>
    <t>pamela.92.barra@gmail.com</t>
  </si>
  <si>
    <t>CAMINO INTERNACIONAL 227</t>
  </si>
  <si>
    <t>C-3921-2025</t>
  </si>
  <si>
    <t>SGFY37</t>
  </si>
  <si>
    <t>ALSVIN ELITE AT</t>
  </si>
  <si>
    <t>HUGO FELIPE VARGAS CIGNA</t>
  </si>
  <si>
    <t>HUGOVARGASCIGNA@GMAIL.COM</t>
  </si>
  <si>
    <t>VENTURA BLANCO VIEL</t>
  </si>
  <si>
    <t>C-678-2025</t>
  </si>
  <si>
    <t>LSZF88</t>
  </si>
  <si>
    <t>CARLOS ALBERTO GIANNOTTY MORENO</t>
  </si>
  <si>
    <t>Carlosagiannotti@gmail.com</t>
  </si>
  <si>
    <t>NUEVA LOS LEONES 0253</t>
  </si>
  <si>
    <t>PROVIDENCIA</t>
  </si>
  <si>
    <t>C-15608-2024</t>
  </si>
  <si>
    <t>WHP019</t>
  </si>
  <si>
    <t>YAMAHA</t>
  </si>
  <si>
    <t>MT-03A</t>
  </si>
  <si>
    <t>FABIOLA DEL CARMEN VARGAS GUTIERREZ</t>
  </si>
  <si>
    <t>fabi.guti@gmail.com</t>
  </si>
  <si>
    <t>RAMIRO AGUILERA MOLINA 445</t>
  </si>
  <si>
    <t>RANCAGUA</t>
  </si>
  <si>
    <t>VI REGION</t>
  </si>
  <si>
    <t>SHFL68</t>
  </si>
  <si>
    <t>JOAN ANDREA CARES BARRA</t>
  </si>
  <si>
    <t>joancitacares@gmail.com</t>
  </si>
  <si>
    <t>MANUEL TELLEZ OYARZUN 439</t>
  </si>
  <si>
    <t>C-22137-2024</t>
  </si>
  <si>
    <t>SJVW75</t>
  </si>
  <si>
    <t>XL7 1.5</t>
  </si>
  <si>
    <t>SOLUCIONES DE INGENIERÍA CESAR CESPEDES SPA</t>
  </si>
  <si>
    <t>CESARCESPEDES@INGENIERIACYR.CL</t>
  </si>
  <si>
    <t>ISABEL LA CATOLICA 4398 OFICINA 617</t>
  </si>
  <si>
    <t>LAS CONDES</t>
  </si>
  <si>
    <t>C-14411-2025</t>
  </si>
  <si>
    <t>NAVARA LE 4X4 MT</t>
  </si>
  <si>
    <t>ALICIA DEL ROSARIO TARIS MÉNDEZ</t>
  </si>
  <si>
    <t>ALICIADELROSARIO.TARIS@GMAIL.COM</t>
  </si>
  <si>
    <t>aliciataris7@gmail.com</t>
  </si>
  <si>
    <t>ORTIZ DE ROZAS 539</t>
  </si>
  <si>
    <t>RECOLETA</t>
  </si>
  <si>
    <t>C-6664-2025</t>
  </si>
  <si>
    <t>SKKP44</t>
  </si>
  <si>
    <t>TM3 MAS 1.5</t>
  </si>
  <si>
    <t>SAUL NOE VILLAGRA PUENTES</t>
  </si>
  <si>
    <t>C-4036-2025</t>
  </si>
  <si>
    <t>ROXANA MARCELA ROSAS SEPÚLVEDA</t>
  </si>
  <si>
    <t>Roxana.rosas@gmail.com</t>
  </si>
  <si>
    <t>AVENIDA MIRAMAR 5324 DPTO 404</t>
  </si>
  <si>
    <t>C-22145-2024</t>
  </si>
  <si>
    <t>14º Juzgado Civil de Santiago</t>
  </si>
  <si>
    <t>JJLC88</t>
  </si>
  <si>
    <t>GLE 350D COUPE SPORT</t>
  </si>
  <si>
    <t>DARIO JOSE FUENTES CANIO</t>
  </si>
  <si>
    <t>dario_legalize@hotmail.com</t>
  </si>
  <si>
    <t>PASAJE GENERAL EDUARDO BACHELET 2 263</t>
  </si>
  <si>
    <t>C-686-2025</t>
  </si>
  <si>
    <t>SHZC70</t>
  </si>
  <si>
    <t>JOLION 1.5</t>
  </si>
  <si>
    <t>PAULA ELISA CÁRDENAS ALVARADO</t>
  </si>
  <si>
    <t>Paulaelisa246@gmail.com</t>
  </si>
  <si>
    <t>PASAJE LOS NARANJOS 954</t>
  </si>
  <si>
    <t>VALDIVIA</t>
  </si>
  <si>
    <t>XIV REGION</t>
  </si>
  <si>
    <t>C-20346-2024</t>
  </si>
  <si>
    <t>12º Juzgado Civil de Santiago</t>
  </si>
  <si>
    <t>JHGT70</t>
  </si>
  <si>
    <t>CHEVROLET</t>
  </si>
  <si>
    <t>SPARK GT LT 1.2</t>
  </si>
  <si>
    <t>XAVIER ALEJANDRO LAVÍN VÁSQUEZ</t>
  </si>
  <si>
    <t>xlavinvasquez@gmail.com</t>
  </si>
  <si>
    <t>LOS TALLADORES 10407</t>
  </si>
  <si>
    <t>KKWD17</t>
  </si>
  <si>
    <t>BMW</t>
  </si>
  <si>
    <t>118I 1.5 AUT</t>
  </si>
  <si>
    <t>LUIS ALBERTO AHUMADA ESCOBAR</t>
  </si>
  <si>
    <t>lahumada01@hotmail.com</t>
  </si>
  <si>
    <t>PRESBITERO GUSTAVO FELTEN 457</t>
  </si>
  <si>
    <t>VILLA ALEMANA</t>
  </si>
  <si>
    <t>C-5504-2025</t>
  </si>
  <si>
    <t>SKDW78</t>
  </si>
  <si>
    <t>H6 ELITE 2.0 AUT</t>
  </si>
  <si>
    <t>MANUEL ARMANDO  YÁÑEZ YAÑEZ</t>
  </si>
  <si>
    <t>manuelacuario1990@gmail.com</t>
  </si>
  <si>
    <t>EL YODO 8170 DEPTO 126</t>
  </si>
  <si>
    <t>C-2591-2025</t>
  </si>
  <si>
    <t>HSKF15</t>
  </si>
  <si>
    <t>TUCSON 2.0</t>
  </si>
  <si>
    <t>PATRICIO ESTEBAN GUTIÉRREZ VALENZUELA</t>
  </si>
  <si>
    <t>valenzuela.pg@gmail.com</t>
  </si>
  <si>
    <t>GACITUA 156</t>
  </si>
  <si>
    <t>C-13016-2025</t>
  </si>
  <si>
    <t>KFXW15</t>
  </si>
  <si>
    <t>JAGUAR</t>
  </si>
  <si>
    <t>F PACE PRESTIGE 2.0</t>
  </si>
  <si>
    <t>COMERCIALIZADORA ALPES LIMITADA</t>
  </si>
  <si>
    <t>MPARADA@ALPESLTDA.CL</t>
  </si>
  <si>
    <t>NIMES</t>
  </si>
  <si>
    <t>Sin Comuna</t>
  </si>
  <si>
    <t>Sin Región</t>
  </si>
  <si>
    <t>C-19082-2024</t>
  </si>
  <si>
    <t>RFXS15</t>
  </si>
  <si>
    <t>CITROEN</t>
  </si>
  <si>
    <t>BERLINGO 2 HDI 1.6</t>
  </si>
  <si>
    <t>MIGUEL ANGEL MIDOLO ESCOBAR</t>
  </si>
  <si>
    <t>RODRIGOMARPE94@GMIAL.COM</t>
  </si>
  <si>
    <t>PASAJE ALCALA 326</t>
  </si>
  <si>
    <t>C-14431-2025</t>
  </si>
  <si>
    <t>SFYZ15</t>
  </si>
  <si>
    <t>DFLM</t>
  </si>
  <si>
    <t>JOYEAR SX6 1.6</t>
  </si>
  <si>
    <t>CRISTIAN JORGE VELIZ MILES</t>
  </si>
  <si>
    <t>CRISTIAVELIZMILES@ICLOUD.COM</t>
  </si>
  <si>
    <t>CARLOS VARGAS AGUIRRE</t>
  </si>
  <si>
    <t>C-19066-2024</t>
  </si>
  <si>
    <t>RDZV64</t>
  </si>
  <si>
    <t>BALENO HB 1.4</t>
  </si>
  <si>
    <t>PAULA PHOOLANDEVI ESPINA GARCÍA</t>
  </si>
  <si>
    <t>paula.espina.garcia@gmail.com</t>
  </si>
  <si>
    <t>PASAJE RINICO 1161 ALTO LOS ROSALES</t>
  </si>
  <si>
    <t>PEÑAFLOR</t>
  </si>
  <si>
    <t>C-13015-2025</t>
  </si>
  <si>
    <t>KLDB22</t>
  </si>
  <si>
    <t>SSANGYONG</t>
  </si>
  <si>
    <t>KORANDO DOHC 2.0</t>
  </si>
  <si>
    <t>SOLEDAD DEL CARMEN ALFARO PINTO</t>
  </si>
  <si>
    <t>soledadalfaro.pinto@gmail.com</t>
  </si>
  <si>
    <t>OLEA 3869 CASA E</t>
  </si>
  <si>
    <t>ISLA DE MAIPO</t>
  </si>
  <si>
    <t>C-15702-2024</t>
  </si>
  <si>
    <t>SRFJ82</t>
  </si>
  <si>
    <t>GEELY</t>
  </si>
  <si>
    <t>AZKARRA 1.5TD 6AT GL 2WD EXCLUSIVE</t>
  </si>
  <si>
    <t>PAULETTE CRISTINA PEÑA JARA</t>
  </si>
  <si>
    <t>ppena4372@gmail.com</t>
  </si>
  <si>
    <t>Calle Salitrera Rica Aventura, El Palomar 542</t>
  </si>
  <si>
    <t>C-22161-2024</t>
  </si>
  <si>
    <t>JDKT88</t>
  </si>
  <si>
    <t>ECOSPORT TITANIUM 1.6</t>
  </si>
  <si>
    <t>YENY CRUCILDA GREGORIO MOLINA</t>
  </si>
  <si>
    <t>delunacalleabigail@gmail.com</t>
  </si>
  <si>
    <t>LIBERTAD #998 DEPTO 201</t>
  </si>
  <si>
    <t>SPYS96</t>
  </si>
  <si>
    <t>T3 1.5</t>
  </si>
  <si>
    <t>GRUPO ONASSIS SPA</t>
  </si>
  <si>
    <t>ingjoseromero.v2@gmail.com</t>
  </si>
  <si>
    <t>Condel del Maule 4106 Depto 2005</t>
  </si>
  <si>
    <t>C-5507-2025</t>
  </si>
  <si>
    <t>SRZZ50</t>
  </si>
  <si>
    <t>MIDI DOBLE CAB. 1.300 CC</t>
  </si>
  <si>
    <t>OSCAR ALFREDO SANABRIA SILVA</t>
  </si>
  <si>
    <t>juanbarraza1023@gmail.com</t>
  </si>
  <si>
    <t>RANCAGUA 2804</t>
  </si>
  <si>
    <t>IQUIQUE</t>
  </si>
  <si>
    <t>I REGION</t>
  </si>
  <si>
    <t>C-5511-2025</t>
  </si>
  <si>
    <t>SRYP74</t>
  </si>
  <si>
    <t>DZIRE SEDAN 1.2</t>
  </si>
  <si>
    <t>FERNANDA PATRICIA CID CISTERNA</t>
  </si>
  <si>
    <t>fernandacidcisterna@gmail.com</t>
  </si>
  <si>
    <t>POBLACION SVEN KRARUP EL LITRE 1310</t>
  </si>
  <si>
    <t>HIJUELAS</t>
  </si>
  <si>
    <t>C-5513-2025</t>
  </si>
  <si>
    <t>SSWL69</t>
  </si>
  <si>
    <t>KWID HB 1.0</t>
  </si>
  <si>
    <t>ANDREA DEL PILAR GONZÁLEZ URETA</t>
  </si>
  <si>
    <t>agonzalez1977ureta@gmail.com</t>
  </si>
  <si>
    <t>PIELAGO DEL SUR 1866</t>
  </si>
  <si>
    <t>C-685-2025</t>
  </si>
  <si>
    <t>SRSZ86</t>
  </si>
  <si>
    <t>MIDI DOBLE 1.3</t>
  </si>
  <si>
    <t>MABEL JEANNETTE VASQUEZ PINTO</t>
  </si>
  <si>
    <t>mabee.vasquez@gmail.com</t>
  </si>
  <si>
    <t>SECTOR PUENTE ALTO, PARCELA 9</t>
  </si>
  <si>
    <t>MOLINA</t>
  </si>
  <si>
    <t>C-11262-2025</t>
  </si>
  <si>
    <t>SLPG81</t>
  </si>
  <si>
    <t>JEANETTE ANGELICA SEGURA PALACIOS</t>
  </si>
  <si>
    <t>jeanettesegura.p@gmail.com</t>
  </si>
  <si>
    <t>TOMAS GUEVARA 510</t>
  </si>
  <si>
    <t>PADRE LAS CASAS</t>
  </si>
  <si>
    <t>C-22151-2024</t>
  </si>
  <si>
    <t>SRWZ16</t>
  </si>
  <si>
    <t>JOLION 1.5 AT 4X2 ELITE</t>
  </si>
  <si>
    <t>VERÓNICA ALEJANDRA ESPARZA SANDOVAL</t>
  </si>
  <si>
    <t>verito.esparza@gmail.com</t>
  </si>
  <si>
    <t>Margot Dualde 1107</t>
  </si>
  <si>
    <t>RIO BUENO</t>
  </si>
  <si>
    <t>05º Juzgado Civil de Santiago</t>
  </si>
  <si>
    <t>C-15840-2024</t>
  </si>
  <si>
    <t>STST93</t>
  </si>
  <si>
    <t>X70 4X2 1.5</t>
  </si>
  <si>
    <t>Lisbet Natali Santana Mendez</t>
  </si>
  <si>
    <t>lisbetsantana25@gmail.com</t>
  </si>
  <si>
    <t>PUERTO SAAVEDRA 264</t>
  </si>
  <si>
    <t>C-11263-2025</t>
  </si>
  <si>
    <t>SGHH80</t>
  </si>
  <si>
    <t>CRISTOPHER ALONSO LAGOS SAGREDO</t>
  </si>
  <si>
    <t>cristophersagredo67@gmail.com</t>
  </si>
  <si>
    <t>Juvenal Hernández 131</t>
  </si>
  <si>
    <t>MAIPU</t>
  </si>
  <si>
    <t>C-13006-2025</t>
  </si>
  <si>
    <t>SRPP47</t>
  </si>
  <si>
    <t>MIDI TRUCK CAB SIMPLE 1.3</t>
  </si>
  <si>
    <t>EDUARDO ESTEBAN REYES MONSALVES</t>
  </si>
  <si>
    <t>EREYE005@HOTMAIL.COM</t>
  </si>
  <si>
    <t>BALMACEDA</t>
  </si>
  <si>
    <t>DIEGO DE ALMAGRO</t>
  </si>
  <si>
    <t>DODGE</t>
  </si>
  <si>
    <t>JOURNEY  SE 4X2</t>
  </si>
  <si>
    <t>EDMUNDO NARCISO PALMA POVEA</t>
  </si>
  <si>
    <t>VILLA.BRISQUERO.PALMA@GMAIL.COM</t>
  </si>
  <si>
    <t>AV EL TREBOL</t>
  </si>
  <si>
    <t>LO PRADO</t>
  </si>
  <si>
    <t>C-2594-2025</t>
  </si>
  <si>
    <t>HKBZ87</t>
  </si>
  <si>
    <t>CORSA HB5 1.4</t>
  </si>
  <si>
    <t>ISRAEL CAMILO ZAVALA RIFO</t>
  </si>
  <si>
    <t>camilozavala89@gmail.com</t>
  </si>
  <si>
    <t>GALBARINO 2118</t>
  </si>
  <si>
    <t>LOS ANGELES</t>
  </si>
  <si>
    <t>SRCR51</t>
  </si>
  <si>
    <t>ISAAC ALBERTO CAMPILLAY CHULAK</t>
  </si>
  <si>
    <t>ISAAC.CAMPILLAY@GMAIL.COM</t>
  </si>
  <si>
    <t>CHACABUCO</t>
  </si>
  <si>
    <t>C-20317-2024</t>
  </si>
  <si>
    <t>UNI TURBO 1.5 AUT</t>
  </si>
  <si>
    <t>LORENS GRACE SEPULVEDA RIQUELME</t>
  </si>
  <si>
    <t>lorensnm@gmail.com</t>
  </si>
  <si>
    <t>PRIMERA AVENIDA 1252</t>
  </si>
  <si>
    <t>SVHP70</t>
  </si>
  <si>
    <t>PEDRO HUGO ALVARADO PIÑERO</t>
  </si>
  <si>
    <t>palvarado607@gmail.com</t>
  </si>
  <si>
    <t>COQUIMBO 1189 DEPTO 1136</t>
  </si>
  <si>
    <t>SWWC84</t>
  </si>
  <si>
    <t>JS3 4X2 1.6</t>
  </si>
  <si>
    <t>SERGIO ESTEBAN CASANOVA BURGOS</t>
  </si>
  <si>
    <t>sergiocasanova566@gmail.com</t>
  </si>
  <si>
    <t>PASAJE LA TIRANA N° 589</t>
  </si>
  <si>
    <t>C-8345-2025</t>
  </si>
  <si>
    <t>SSSJ58</t>
  </si>
  <si>
    <t>X55 1.5T</t>
  </si>
  <si>
    <t>JUAN NELSON ALBIS ORTIZ</t>
  </si>
  <si>
    <t>NELSONALBIS50@GMAIL.COM</t>
  </si>
  <si>
    <t>PARAGUAY</t>
  </si>
  <si>
    <t>C-16640-2024</t>
  </si>
  <si>
    <t>SPORTAGE</t>
  </si>
  <si>
    <t>MARÍA JOSÉ RIVERA RÍOS</t>
  </si>
  <si>
    <t>RIVERAMARIAJOSE239@GMAIL.COM</t>
  </si>
  <si>
    <t>DIAGONAL TRAVESIA 8721 depto 204 torre 3</t>
  </si>
  <si>
    <t>PUDAHUEL</t>
  </si>
  <si>
    <t>LKXR77</t>
  </si>
  <si>
    <t>GS X HATCH BACK 1.8 AUT</t>
  </si>
  <si>
    <t>SOCIEDAD METALTECN SPA</t>
  </si>
  <si>
    <t>MANUELJVERGARAI@GMAIL.COM</t>
  </si>
  <si>
    <t>LO OVALLE</t>
  </si>
  <si>
    <t>INDEPENDENCIA</t>
  </si>
  <si>
    <t>C-19073-2024</t>
  </si>
  <si>
    <t>AUDI</t>
  </si>
  <si>
    <t>S 5</t>
  </si>
  <si>
    <t>LUIS MAGAYANES SALIRROSAS FLORES</t>
  </si>
  <si>
    <t>LUISMAGAYANESF@GMAIL.COM</t>
  </si>
  <si>
    <t>TEATINOS</t>
  </si>
  <si>
    <t>C-4509-2025</t>
  </si>
  <si>
    <t>VERNA</t>
  </si>
  <si>
    <t>SUSSY MAGDALENA ROJAS ROJAS</t>
  </si>
  <si>
    <t>sussy.rojas@gmail.com</t>
  </si>
  <si>
    <t>RESERVA NACIONAL LOS RUILES 1225</t>
  </si>
  <si>
    <t>C-20344-2024</t>
  </si>
  <si>
    <t>SXGY74</t>
  </si>
  <si>
    <t>JS2 LUXURY HB 1.5</t>
  </si>
  <si>
    <t>MICHAEL ROLANDO CASTILLO VALDES</t>
  </si>
  <si>
    <t>michelcastillovaldes75@gmail.com</t>
  </si>
  <si>
    <t>FLOR DEL VALLE CALLE UNICA</t>
  </si>
  <si>
    <t>OVALLE</t>
  </si>
  <si>
    <t>SWYC98</t>
  </si>
  <si>
    <t>JOLION ACTIVE 1.5</t>
  </si>
  <si>
    <t>ALMENY NHACARY SCHILLING ESPINOZA</t>
  </si>
  <si>
    <t>aschilling90@gmail.com</t>
  </si>
  <si>
    <t>AV ZANARTU 1100 EDIFICIO 1 DEPTO</t>
  </si>
  <si>
    <t>RAM</t>
  </si>
  <si>
    <t>VAN 700 CITY DIESEL</t>
  </si>
  <si>
    <t>JUAN CLAUDIO SILVA BURDILES</t>
  </si>
  <si>
    <t>juanclaudiosilvaburdiles@gmail.com</t>
  </si>
  <si>
    <t>Calle Ecuador #307, Los Sauces</t>
  </si>
  <si>
    <t>LOS SAUCES</t>
  </si>
  <si>
    <t>C-6721-2025</t>
  </si>
  <si>
    <t>LZDF91</t>
  </si>
  <si>
    <t>MAXUS</t>
  </si>
  <si>
    <t>T60 GL 4X4 2.8</t>
  </si>
  <si>
    <t>ANA LIDIA BASTIAS ARAYA</t>
  </si>
  <si>
    <t>ANALIDIA4114@GMAIL.COM</t>
  </si>
  <si>
    <t>AV CHESTERTON</t>
  </si>
  <si>
    <t>C-5503-2025</t>
  </si>
  <si>
    <t>KDBV46</t>
  </si>
  <si>
    <t>NEW 6</t>
  </si>
  <si>
    <t>JENNIFFER SOLEDAD VÁSQUEZ ARIAS</t>
  </si>
  <si>
    <t>JENNYVASQUEZARI@GMAIL.COM</t>
  </si>
  <si>
    <t>MANUEL BAQUEDANO</t>
  </si>
  <si>
    <t>FREIRE</t>
  </si>
  <si>
    <t>C-15707-2024</t>
  </si>
  <si>
    <t>RSLK78</t>
  </si>
  <si>
    <t>D ZIRE</t>
  </si>
  <si>
    <t>CARMEN LUZ VENEGAS MALUENDA</t>
  </si>
  <si>
    <t>cluzvenegas.m@gmail.com</t>
  </si>
  <si>
    <t>MANUEL MONTT 918 DEPTO 504</t>
  </si>
  <si>
    <t>23º Juzgado Civil de Santiago</t>
  </si>
  <si>
    <t>C-15733-2024</t>
  </si>
  <si>
    <t>JJXL31</t>
  </si>
  <si>
    <t>SPRINTER 415 CDI</t>
  </si>
  <si>
    <t>DIEGO JAVIER GONZALEZ ARRIAGADA</t>
  </si>
  <si>
    <t>dgonzalezarriagada1993@gmail.com</t>
  </si>
  <si>
    <t>COIGUIN BAJO 36</t>
  </si>
  <si>
    <t>C-11251-2025</t>
  </si>
  <si>
    <t>SWKL24</t>
  </si>
  <si>
    <t>JS6 LUXURY SE DCT</t>
  </si>
  <si>
    <t>EDUARDO ALFREDO  AHUMADA  CORTES</t>
  </si>
  <si>
    <t>angelahumadawillis0910@gmail.com</t>
  </si>
  <si>
    <t>PARCELA 110</t>
  </si>
  <si>
    <t>ILLAPEL</t>
  </si>
  <si>
    <t>SXGD67</t>
  </si>
  <si>
    <t>DZIRE 1.2</t>
  </si>
  <si>
    <t>WILLIAMS RAFAEL OPAZO LAY</t>
  </si>
  <si>
    <t>WILLIAMSBULLANGUEROOPAZO@GMAIL.COM</t>
  </si>
  <si>
    <t>CHAIGUAO SN</t>
  </si>
  <si>
    <t>MEJILLONES</t>
  </si>
  <si>
    <t>C-22118-2024</t>
  </si>
  <si>
    <t>SORENTO E.X 2.4 AUT</t>
  </si>
  <si>
    <t>COMERCIALIZADORA Y DISTRIBUIDORA SAN PABLO SPA</t>
  </si>
  <si>
    <t>rodrigo@wefarmers.cl</t>
  </si>
  <si>
    <t>BADAJOZ 100 OFICINA 523</t>
  </si>
  <si>
    <t>SRTD89</t>
  </si>
  <si>
    <t>TM3 CARGO BOX</t>
  </si>
  <si>
    <t>PAULO GIOVANNI LEDEZMA CASTILLO</t>
  </si>
  <si>
    <t>ledezmapaulo6@gmail.com</t>
  </si>
  <si>
    <t>TAMBILLO SN</t>
  </si>
  <si>
    <t>SZTK17</t>
  </si>
  <si>
    <t>GRAND I10 AI3 4X2 1.2</t>
  </si>
  <si>
    <t>AGROCOMERCIAL BARBARA VAN DER DIJS E.I.R.L.</t>
  </si>
  <si>
    <t>vanderdijs1204@gmail.com</t>
  </si>
  <si>
    <t>AV CERRILLOS 4030 DEPTO 528</t>
  </si>
  <si>
    <t>C-8335-2025</t>
  </si>
  <si>
    <t>SBTB63</t>
  </si>
  <si>
    <t>TOYOTA</t>
  </si>
  <si>
    <t>COROLLA</t>
  </si>
  <si>
    <t>CRISTIAN ALEJANDRO ANTONIO RIQUELME VILLAGRA</t>
  </si>
  <si>
    <t>KORG_27@HOTMAIL.COM</t>
  </si>
  <si>
    <t>CALCHAMONT</t>
  </si>
  <si>
    <t>C-20330-2024</t>
  </si>
  <si>
    <t>VERSA</t>
  </si>
  <si>
    <t>NORBERTO ENRIQUE COLLAO MARIN</t>
  </si>
  <si>
    <t>norbertocollaomarin@gmail.com</t>
  </si>
  <si>
    <t>SANTA BERTA 2680</t>
  </si>
  <si>
    <t>C-3912-2025</t>
  </si>
  <si>
    <t>TCRY73</t>
  </si>
  <si>
    <t>SWM</t>
  </si>
  <si>
    <t>G05 PRO 2.0</t>
  </si>
  <si>
    <t>BIANEY YOSELY RODRIGUEZ DELGADO</t>
  </si>
  <si>
    <t>BIANEYYOSELY@GMAIL.COM</t>
  </si>
  <si>
    <t>AV ZAARTU</t>
  </si>
  <si>
    <t>C-6724-2025</t>
  </si>
  <si>
    <t>TIGGO 2 1.5</t>
  </si>
  <si>
    <t>JAVIER HUMBERTO  SANDOVAL ALVARADO</t>
  </si>
  <si>
    <t>jav_sanval72@hotmail.com</t>
  </si>
  <si>
    <t>AVDA COSTANERA 2118</t>
  </si>
  <si>
    <t>C-3915-2025</t>
  </si>
  <si>
    <t>TCHS15</t>
  </si>
  <si>
    <t>CELERIO HB MT 1.0</t>
  </si>
  <si>
    <t>OSCAR RICARDO ROMERO GONZÁLEZ</t>
  </si>
  <si>
    <t>ROMINAROMEROCARRASCO@GMAIL.COM</t>
  </si>
  <si>
    <t>LAS BANDURRIAS 10915 VILLA COLOMBIA</t>
  </si>
  <si>
    <t>TDZV42</t>
  </si>
  <si>
    <t>DFM</t>
  </si>
  <si>
    <t>T5</t>
  </si>
  <si>
    <t>ALEJANDRA DEL PILAR  CABELLO ARCOS</t>
  </si>
  <si>
    <t>acabello.05@gmail.com</t>
  </si>
  <si>
    <t>SALAR DECARCOTE 10283</t>
  </si>
  <si>
    <t>C-16650-2024</t>
  </si>
  <si>
    <t>STZK87</t>
  </si>
  <si>
    <t>BRILLIANCE</t>
  </si>
  <si>
    <t>T30 1.5</t>
  </si>
  <si>
    <t>CARLOS ORLANDO PLAZA COLMAN</t>
  </si>
  <si>
    <t>CARLOSPIEZACOLMAN@GMAIL.COM</t>
  </si>
  <si>
    <t>MANUEL MONTT</t>
  </si>
  <si>
    <t>TIERRA AMARILLA</t>
  </si>
  <si>
    <t>SDJY64</t>
  </si>
  <si>
    <t>NATHALIE URIBE ZUNIGA</t>
  </si>
  <si>
    <t>FVU220118@GMAIL.COM</t>
  </si>
  <si>
    <t>C-3923-2025</t>
  </si>
  <si>
    <t>QASHQAI 1.6</t>
  </si>
  <si>
    <t>CARLOS ANDRES SILVA LOPEZ</t>
  </si>
  <si>
    <t>CARLOS.SILVALOPEZ92@GMAIL.COM</t>
  </si>
  <si>
    <t>JOAQUIN UNDURRAGA PARCELA</t>
  </si>
  <si>
    <t>C-20318-2024</t>
  </si>
  <si>
    <t>VITARA GLS 1.6</t>
  </si>
  <si>
    <t>PAULINA DEL CARMEN LEIVA REVESTRELLO</t>
  </si>
  <si>
    <t>paulinaleivarevestrello@gmail.com</t>
  </si>
  <si>
    <t>CAPITAN ANDERSEN 446</t>
  </si>
  <si>
    <t>TDDY18</t>
  </si>
  <si>
    <t>T5 EVO 1.5 TURBO LUXURY</t>
  </si>
  <si>
    <t>SALCA SPA</t>
  </si>
  <si>
    <t>PAGOS@SALCAMAQ.CL</t>
  </si>
  <si>
    <t>1 SUR</t>
  </si>
  <si>
    <t>C-20492-2024 </t>
  </si>
  <si>
    <t>Q7 3.0 T</t>
  </si>
  <si>
    <t>COMERCIAL RODA SPA</t>
  </si>
  <si>
    <t>VALESKAANDREA.LOPEZ@GMAIL.COM</t>
  </si>
  <si>
    <t>PARQUE NACIONAL NAHUELBUTA</t>
  </si>
  <si>
    <t>L200 WORK CR</t>
  </si>
  <si>
    <t>SERGIO DAMASO  DE LA FUENTE  MATAMALA</t>
  </si>
  <si>
    <t>SDDELAFUENTE@GMAIL.COM</t>
  </si>
  <si>
    <t>LOS CASTAÑOS 981</t>
  </si>
  <si>
    <t>X-TRAIL SENSE CVT</t>
  </si>
  <si>
    <t>CECILIA ANDREA JIMÉNEZ RAMÍREZ</t>
  </si>
  <si>
    <t>jrcecilia.1996@gmail.com</t>
  </si>
  <si>
    <t>DIAGONAL PARAGUAY 360 DEPTO 63</t>
  </si>
  <si>
    <t>C-681-2025</t>
  </si>
  <si>
    <t>GSDB50</t>
  </si>
  <si>
    <t>SERGIO ISAAC OCHOA MAYEA</t>
  </si>
  <si>
    <t>sergio.ochoa.mayea@gmail.com</t>
  </si>
  <si>
    <t>INDUSTRIA 380</t>
  </si>
  <si>
    <t>CABILDO</t>
  </si>
  <si>
    <t>C-5516-2025</t>
  </si>
  <si>
    <t>SYRW13</t>
  </si>
  <si>
    <t>3 CORE 2.0 AUT</t>
  </si>
  <si>
    <t>MELISSA RAIZA VEGA CATALAN</t>
  </si>
  <si>
    <t>melissaraiza@gmail.com</t>
  </si>
  <si>
    <t>CAMINO RINCONADA 2372</t>
  </si>
  <si>
    <t>C-8328-2025</t>
  </si>
  <si>
    <t>THLT54</t>
  </si>
  <si>
    <t>CRETA SU2ID 1.5 MT PLUS</t>
  </si>
  <si>
    <t>MANUEL IGNACIO REYES VALDÉS</t>
  </si>
  <si>
    <t>REYESVALDESIGNACIO@GMAIL.COM</t>
  </si>
  <si>
    <t>AV VIRGINIA SUBERCASEAUX 4000 PARCELA</t>
  </si>
  <si>
    <t>C-20320-2024</t>
  </si>
  <si>
    <t>ALL NEW BT 50 4X4 3.0 AUT</t>
  </si>
  <si>
    <t>VÍCTOR JOHNY URIBE MARILAF</t>
  </si>
  <si>
    <t>vuribem1967@gmail.com</t>
  </si>
  <si>
    <t>PLAYA BLANCA 2535 CASA 2</t>
  </si>
  <si>
    <t>C-20310-2024</t>
  </si>
  <si>
    <t>TDKB44</t>
  </si>
  <si>
    <t>GRAND STAREX</t>
  </si>
  <si>
    <t>ARMANDO JOSE  VELASQUEZ  ORSINI</t>
  </si>
  <si>
    <t>ARMANDOVELASQUEZO@GMAIL.COM</t>
  </si>
  <si>
    <t>PASAJE SANTA CARMEN 02742</t>
  </si>
  <si>
    <t>KICKS EXCLUSIVE CVT</t>
  </si>
  <si>
    <t>TANIA MARISEL NAHUEL MILLALEN</t>
  </si>
  <si>
    <t>tania.maricel2016@hotmail.com</t>
  </si>
  <si>
    <t>AMERICANA INDIGENA 2138</t>
  </si>
  <si>
    <t>CERRILLOS</t>
  </si>
  <si>
    <t>TCKC94</t>
  </si>
  <si>
    <t>JOLION 1.5T MT 4X2 ACTIVE</t>
  </si>
  <si>
    <t>VALERIA DE CARMEN ILNAO VARGAS</t>
  </si>
  <si>
    <t>VALERIAILNAO73@GMAIL.COM</t>
  </si>
  <si>
    <t>CALLE PROYECTADA 870 BLOB B</t>
  </si>
  <si>
    <t>RRGH87</t>
  </si>
  <si>
    <t>ORLANDO</t>
  </si>
  <si>
    <t>ALEXIS EMANUEL VILLENA CASTILLO</t>
  </si>
  <si>
    <t>ALEXISVILLENA27@GMAIL.COM</t>
  </si>
  <si>
    <t>PARQUE CORDILLERA</t>
  </si>
  <si>
    <t>TUCSON NX4 MPI 2.0</t>
  </si>
  <si>
    <t>MARISEL JEANNETTE MILLAQUÉN URIBE</t>
  </si>
  <si>
    <t>MARISEL.MILLAQUEN@GMAIL.COM</t>
  </si>
  <si>
    <t>LOLCURA SN</t>
  </si>
  <si>
    <t>8º Juzgado Civil de Santiago</t>
  </si>
  <si>
    <t>STPP87</t>
  </si>
  <si>
    <t>T8 DC 2.0</t>
  </si>
  <si>
    <t>CARLOS ENRIQUE ORELLANA ARAYA</t>
  </si>
  <si>
    <t>claudiaalvarez197400@gmail.com</t>
  </si>
  <si>
    <t>LAS CLARISAS 2070</t>
  </si>
  <si>
    <t>TGRP96</t>
  </si>
  <si>
    <t>UNIT ELITE 1.5 AUT</t>
  </si>
  <si>
    <t>MAURICIO LUCIANO MORÁN MUJICA</t>
  </si>
  <si>
    <t>RICIOMORAN@LIVE.CL</t>
  </si>
  <si>
    <t>LOS LEONES 220 DPTO</t>
  </si>
  <si>
    <t>C-15703-2024</t>
  </si>
  <si>
    <t>3  1.6</t>
  </si>
  <si>
    <t>JUAN ANGEL CARRERA GONZÁLEZ</t>
  </si>
  <si>
    <t>jonhcarr@hotmail.com</t>
  </si>
  <si>
    <t>JULIO MARTINEZ PRADANOS 1355 DEPTO 513</t>
  </si>
  <si>
    <t>C-3916-2025</t>
  </si>
  <si>
    <t>LDRR53</t>
  </si>
  <si>
    <t>NUEVA PARTNER HDI 1.6</t>
  </si>
  <si>
    <t>CHRISTOPHER ROMMEL SANTOS ANCO</t>
  </si>
  <si>
    <t>CHRISSANTOSV@GMAIL.COM</t>
  </si>
  <si>
    <t>PASAJE DIEZ</t>
  </si>
  <si>
    <t>C-2592-2025</t>
  </si>
  <si>
    <t>BALENO GLX HB 1.4</t>
  </si>
  <si>
    <t>CLAUDIO ANDRES TAPIA QUEZADA</t>
  </si>
  <si>
    <t>chicotapiaquezada43@gmail.com</t>
  </si>
  <si>
    <t>LOS HUSARES 1486</t>
  </si>
  <si>
    <t>C-16655-2024</t>
  </si>
  <si>
    <t>TKDC78</t>
  </si>
  <si>
    <t>UNIT ELITE</t>
  </si>
  <si>
    <t>SOCIEDAD DE SERVICIOS DEDES SEPULVEDA SPA</t>
  </si>
  <si>
    <t>Sepulvedaaniuska@gmail.com</t>
  </si>
  <si>
    <t>LAS ORILLAS S/N CAMINO LAS ORILLAS KM 1460</t>
  </si>
  <si>
    <t>LINARES</t>
  </si>
  <si>
    <t>C-19070-2024</t>
  </si>
  <si>
    <t>HLYR49</t>
  </si>
  <si>
    <t>SUNRAY</t>
  </si>
  <si>
    <t>MARCELO RODRIGO ROJAS LANDAETA</t>
  </si>
  <si>
    <t>MARCELO200631@GMAIL.COM</t>
  </si>
  <si>
    <t>PASAJE ISAAC VARAS</t>
  </si>
  <si>
    <t>C-6750-2025</t>
  </si>
  <si>
    <t>PZZY68</t>
  </si>
  <si>
    <t>CX 70</t>
  </si>
  <si>
    <t>FÉLIX ANDRÉS BRAVO REBOLLEDO</t>
  </si>
  <si>
    <t>felixbravo7@gmail.com</t>
  </si>
  <si>
    <t>AV BALMACEDA 68</t>
  </si>
  <si>
    <t>CURICO</t>
  </si>
  <si>
    <t>HTZZ25</t>
  </si>
  <si>
    <t>QASHQAI</t>
  </si>
  <si>
    <t>LUIS ALBERTO ARAVENA CANCINO</t>
  </si>
  <si>
    <t>LUISAARAVENAVENAC@GMAIL.COM</t>
  </si>
  <si>
    <t>CAMINO LO PINTO LAS GARZAS 2 PARCELA</t>
  </si>
  <si>
    <t>C-2588-2025</t>
  </si>
  <si>
    <t>CRISTIAN ANTONIO CONTRERAS HUECHANTE</t>
  </si>
  <si>
    <t>CONTRERASCRISTIAN.H@GMAIL.COM</t>
  </si>
  <si>
    <t>NICARAGUA</t>
  </si>
  <si>
    <t>C-22144-2024</t>
  </si>
  <si>
    <t>SYMBOL ZEN 1.6</t>
  </si>
  <si>
    <t>EUGENIO ALFREDO FIGUEROA CATALAN</t>
  </si>
  <si>
    <t>FIGUEROACATALAN22@GMAIL.COM</t>
  </si>
  <si>
    <t>PARCELA LAS VEGAS P8 LA GLORIETA</t>
  </si>
  <si>
    <t>SWIFT 1.2</t>
  </si>
  <si>
    <t>COMERCIALIZADORA  GARCIA ROJAS SPA</t>
  </si>
  <si>
    <t>arturogarcia2022@gmail.com</t>
  </si>
  <si>
    <t>ANTONIO LOPEZ DE BELLO 594</t>
  </si>
  <si>
    <t>C-6719-2025</t>
  </si>
  <si>
    <t>SDDX44</t>
  </si>
  <si>
    <t>5 4X2 1.5</t>
  </si>
  <si>
    <t>PABLO ARIEL MELLADO HUERTA</t>
  </si>
  <si>
    <t>PABLOMELLADOHUERTA@GMAIL.COM</t>
  </si>
  <si>
    <t>pabloarielmelladohuerta@gmail.com</t>
  </si>
  <si>
    <t>PISAGUA</t>
  </si>
  <si>
    <t>CHIMBARONGO</t>
  </si>
  <si>
    <t>C-22142-2024</t>
  </si>
  <si>
    <t>EXPLORER 2.3 AT LIMITED</t>
  </si>
  <si>
    <t>ALEJANDRO ANDRÉS PASTENES PASTENES</t>
  </si>
  <si>
    <t>pastenesalejandroandres@gmail.com</t>
  </si>
  <si>
    <t>MERCEDES REYES DE CERVERO 5057</t>
  </si>
  <si>
    <t>C-19077-2024</t>
  </si>
  <si>
    <t>GFBL94</t>
  </si>
  <si>
    <t>ELANTRA</t>
  </si>
  <si>
    <t>DIEGO IGNACIO VEGA ARMIJO</t>
  </si>
  <si>
    <t>DIEGOVEGA.DVA@GMAIL.COM</t>
  </si>
  <si>
    <t>CALLE LONGOTOMA</t>
  </si>
  <si>
    <t>LA LIGUA</t>
  </si>
  <si>
    <t>C-3918-2025</t>
  </si>
  <si>
    <t>208 ALLURE 1.6 E-HDI</t>
  </si>
  <si>
    <t>NOELIA MARGARITA CHALO</t>
  </si>
  <si>
    <t>noeliamchalo@hotmail.com</t>
  </si>
  <si>
    <t>AVENIDA PUNTA NOGALES 1384</t>
  </si>
  <si>
    <t>HUECHURABA</t>
  </si>
  <si>
    <t>C-20321-2024</t>
  </si>
  <si>
    <t>RKJL71</t>
  </si>
  <si>
    <t>NEW CX-5</t>
  </si>
  <si>
    <t>JORGE ANSELMO SANCHEZ VILLARROEL</t>
  </si>
  <si>
    <t>jorsavi29@gmail.com</t>
  </si>
  <si>
    <t>OSCAR BONILLA 9211</t>
  </si>
  <si>
    <t>TJCV48</t>
  </si>
  <si>
    <t>POER 4X2 MT 2.0</t>
  </si>
  <si>
    <t>GLORIA ALEJANDRA MUOZ IBACACHE</t>
  </si>
  <si>
    <t>GLORIA.MUNOZ.I@GMAIL.COM</t>
  </si>
  <si>
    <t>TIMBAL</t>
  </si>
  <si>
    <t>C-680-2025</t>
  </si>
  <si>
    <t>WINGLE 5 2.2</t>
  </si>
  <si>
    <t>TAMARA SCARLET SOTO VALLEJOS</t>
  </si>
  <si>
    <t>ttamy.1988@gmail.com</t>
  </si>
  <si>
    <t>Av José Manuel balmaceda 5169</t>
  </si>
  <si>
    <t>C-778-2025</t>
  </si>
  <si>
    <t>TRYG76</t>
  </si>
  <si>
    <t>T5 L</t>
  </si>
  <si>
    <t>EDISON FABIÁN CARRERA GUTIÉRREZ</t>
  </si>
  <si>
    <t>Efcarrerag@gmail.co</t>
  </si>
  <si>
    <t>EL PIDEN 4 A</t>
  </si>
  <si>
    <t>EL TABO</t>
  </si>
  <si>
    <t>C-9882-2025</t>
  </si>
  <si>
    <t>TRXV71</t>
  </si>
  <si>
    <t>TM5 CABINA SIMPLE 1.6 EURO VI</t>
  </si>
  <si>
    <t>ELENA ROMANE VIDAL GOMEZ</t>
  </si>
  <si>
    <t>vidal.gomez.elena.93@gmail.com</t>
  </si>
  <si>
    <t>SANTA LAURA 1290</t>
  </si>
  <si>
    <t>C-6723-2025</t>
  </si>
  <si>
    <t>SWIFT 1.2 AMT GL SPORT</t>
  </si>
  <si>
    <t>ELSA MARCIA DIAZ MORA</t>
  </si>
  <si>
    <t>DIAZVEGA82_@HOTMAIL.COM</t>
  </si>
  <si>
    <t>PASAJE CORDILLERA CASA</t>
  </si>
  <si>
    <t>ÑUBLE</t>
  </si>
  <si>
    <t>G7 4x4</t>
  </si>
  <si>
    <t>MARCO ANTONIO DÍAZ MACÍAS</t>
  </si>
  <si>
    <t>marc30hija@gmail.com</t>
  </si>
  <si>
    <t>PJE. CACHAPOAL 0222</t>
  </si>
  <si>
    <t>C-14233-2025</t>
  </si>
  <si>
    <t>TRLZ18</t>
  </si>
  <si>
    <t>AEOLUS Y3 AT COMFORT</t>
  </si>
  <si>
    <t>MARIEL ANDREA GARCÍA GONZÁLEZ</t>
  </si>
  <si>
    <t>MARIELANDREAGARCIAG@GMAIL.COM</t>
  </si>
  <si>
    <t>IDDA FUENTE</t>
  </si>
  <si>
    <t>FIESTA</t>
  </si>
  <si>
    <t>AIRES CORONA Y JM LIMITADA</t>
  </si>
  <si>
    <t>GERENCIA@AIRESCORONA.CL</t>
  </si>
  <si>
    <t>BLANCO</t>
  </si>
  <si>
    <t>COLINA</t>
  </si>
  <si>
    <t>C-684-2025</t>
  </si>
  <si>
    <t>NEW RAV CUATRO 2.0</t>
  </si>
  <si>
    <t>BASTIÁN ALEXIS LARA MANRÍQUEZ</t>
  </si>
  <si>
    <t>Bastian.lara.manriquez@gmail.com</t>
  </si>
  <si>
    <t>CAMINO LA VARA 02290</t>
  </si>
  <si>
    <t>C-13005-2025</t>
  </si>
  <si>
    <t>TSRD53</t>
  </si>
  <si>
    <t>TM5 DOBLE CABINA</t>
  </si>
  <si>
    <t>ANDRÉS ALEXIS VARELA FIGUEROA</t>
  </si>
  <si>
    <t>Andresvarelafigueroa91@gmail.com</t>
  </si>
  <si>
    <t>BARROS ARANA 1672</t>
  </si>
  <si>
    <t>C-687-2025</t>
  </si>
  <si>
    <t>RPWH70</t>
  </si>
  <si>
    <t>VAN 1000 1.3</t>
  </si>
  <si>
    <t>RUBÉN ARNALDO PARRA QUINTRICON</t>
  </si>
  <si>
    <t>ruben09940@gmail.com</t>
  </si>
  <si>
    <t>PLAYA CARTAGENA PARCELA 26</t>
  </si>
  <si>
    <t>CARTAGENA</t>
  </si>
  <si>
    <t>TTJT93</t>
  </si>
  <si>
    <t>CARLOS IVAN VILLABLANCA JAQUE</t>
  </si>
  <si>
    <t>carlosvillablanca660@gmail.com</t>
  </si>
  <si>
    <t>PSJE. BENJAMIN QUEZADA 1238</t>
  </si>
  <si>
    <t>C-3917-2025</t>
  </si>
  <si>
    <t>TLCK47</t>
  </si>
  <si>
    <t>NEW ALTO GL HB 1.0</t>
  </si>
  <si>
    <t>CONSTANZA MICHEL VIROT HERNÁNDEZ</t>
  </si>
  <si>
    <t>constanzavirot93@gmail.com</t>
  </si>
  <si>
    <t>PRIMERA TRANSVERSAL 2247</t>
  </si>
  <si>
    <t>C-11285-2025</t>
  </si>
  <si>
    <t>TTSW65</t>
  </si>
  <si>
    <t>DONGFENG</t>
  </si>
  <si>
    <t>AEOLUS GS</t>
  </si>
  <si>
    <t>LUIS FRANCISCO COTAL CONCHA</t>
  </si>
  <si>
    <t>Luis_cotal@hotmail.cl</t>
  </si>
  <si>
    <t>Paseje Bilbao 201</t>
  </si>
  <si>
    <t>C-14421-2025</t>
  </si>
  <si>
    <t>TSYJ96</t>
  </si>
  <si>
    <t>FOTON MIDI</t>
  </si>
  <si>
    <t>MIDI CAMBINA DOBLE 1.2</t>
  </si>
  <si>
    <t>MARCO ANTONIO FERNÁNDEZ CONTARDO</t>
  </si>
  <si>
    <t>JENIFER.FER.CID30@GMAIL.COM</t>
  </si>
  <si>
    <t>PASAJE 25 SUR</t>
  </si>
  <si>
    <t>LO ESPEJO</t>
  </si>
  <si>
    <t>C-6728-2025</t>
  </si>
  <si>
    <t>CAMILO IGNACIO PONCE ORTIZ</t>
  </si>
  <si>
    <t>poncecamilo904@gmail.com</t>
  </si>
  <si>
    <t>LBRT10</t>
  </si>
  <si>
    <t>PATRICIO HUMBERTO ARAYA VERDUGO</t>
  </si>
  <si>
    <t>paraya@insisco.cl</t>
  </si>
  <si>
    <t>MONEDA 1479 DEPTO 52</t>
  </si>
  <si>
    <t>C-5466-2025</t>
  </si>
  <si>
    <t>TWJT68</t>
  </si>
  <si>
    <t>G7</t>
  </si>
  <si>
    <t>C-12840-2025</t>
  </si>
  <si>
    <t>TWLK64</t>
  </si>
  <si>
    <t>T5 EVO</t>
  </si>
  <si>
    <t>ESTEBAN ALFREDO NEIRA PEREZ</t>
  </si>
  <si>
    <t>estebanneira2020@gmail.com</t>
  </si>
  <si>
    <t>LOS OMAGUACAS 1720 VILLA LAS AMERICAS</t>
  </si>
  <si>
    <t>C-6722-2025</t>
  </si>
  <si>
    <t>NEW ALTO GL MT</t>
  </si>
  <si>
    <t>JERALDINE NAZARETH DEL CARMEN SERRANO HERRERA</t>
  </si>
  <si>
    <t>jeraldine323@gmail.com</t>
  </si>
  <si>
    <t>Aragonés 5 poniente casa 1065</t>
  </si>
  <si>
    <t>C-5506-2025</t>
  </si>
  <si>
    <t>JYZK93</t>
  </si>
  <si>
    <t>ALL NEW CX 5 R 2.0</t>
  </si>
  <si>
    <t>NATALIA JACQUELINE VILCHES RUBILLANCA</t>
  </si>
  <si>
    <t>NATALIAVILCHESRUBILLANCA@GMAIL.COM</t>
  </si>
  <si>
    <t>EL ALCAZAR ORIENTE 305</t>
  </si>
  <si>
    <t>TYZB63</t>
  </si>
  <si>
    <t>MOKKA</t>
  </si>
  <si>
    <t>GUILLERMO URBANO NEIRA ROA</t>
  </si>
  <si>
    <t>GNEIRA@VERDIFRESH.CL</t>
  </si>
  <si>
    <t>CAMINO EL PAIQUITO</t>
  </si>
  <si>
    <t>LA GRANJA</t>
  </si>
  <si>
    <t>C-9876-2025</t>
  </si>
  <si>
    <t>REXTON</t>
  </si>
  <si>
    <t>EVELYN ELIZABETH FIGUEROA ACEVEDO</t>
  </si>
  <si>
    <t>EVELYNFIGUEROA9759@GMAIL.COM</t>
  </si>
  <si>
    <t>DOMEICO</t>
  </si>
  <si>
    <t>C-11267-2025</t>
  </si>
  <si>
    <t>TIGGO 2 GLS</t>
  </si>
  <si>
    <t>RONNY ALBERTO MERIÑO UBAL</t>
  </si>
  <si>
    <t>RENEGOCIADO</t>
  </si>
  <si>
    <t>RONNY1981M@GMAIL.COM</t>
  </si>
  <si>
    <t>TURQUESTAN</t>
  </si>
  <si>
    <t>C-8483-2025</t>
  </si>
  <si>
    <t>B MULTISPACE 1.6</t>
  </si>
  <si>
    <t>SERVICIOS PUBLICITARIOS Y TEXTILES MATEXSA SPA</t>
  </si>
  <si>
    <t>Paolo.gambino.j@gmail.com</t>
  </si>
  <si>
    <t>Av Cuadro Verde 160, Torre1 Departamento24</t>
  </si>
  <si>
    <t>C-14451-2025</t>
  </si>
  <si>
    <t>CARLOS MIGUEL BARRIOS MURILLO</t>
  </si>
  <si>
    <t>cbarriosmurillo1998@gmail.com</t>
  </si>
  <si>
    <t>PASAJE,UNIFRUTTI,45</t>
  </si>
  <si>
    <t>REQUINOA</t>
  </si>
  <si>
    <t>C-11259-2025</t>
  </si>
  <si>
    <t>YARIS CROSS</t>
  </si>
  <si>
    <t>MARIA JACQUELINE ZUÑIGA GAONA</t>
  </si>
  <si>
    <t>jaquezuniga70@gmail.com</t>
  </si>
  <si>
    <t>PASAJE 2 N° 35 VILLA JARDIN</t>
  </si>
  <si>
    <t>COLTAUCO</t>
  </si>
  <si>
    <t>C-9871-2025</t>
  </si>
  <si>
    <t>GREAT WALL MOTORS (04)</t>
  </si>
  <si>
    <t>POER PLUS AT 2.0 TD 4X4 ELITE EURO 6</t>
  </si>
  <si>
    <t>LUISA JOSEFA MORALES BARRERO</t>
  </si>
  <si>
    <t>rivasjg86@gmail.com</t>
  </si>
  <si>
    <t>SAN NICOLAS 1380 EDIFICIO A DPTO 406</t>
  </si>
  <si>
    <t>C-11288-2025</t>
  </si>
  <si>
    <t>AEOLUS Y3</t>
  </si>
  <si>
    <t>FEDERICO NÉSTOR ALEJANDRO SCHULZ  GUTIÉRREZ</t>
  </si>
  <si>
    <t>f.schulz.gutierrez@gmail.com</t>
  </si>
  <si>
    <t>CAMINO EL NATRE CASA 48 B</t>
  </si>
  <si>
    <t>C-13014-2025</t>
  </si>
  <si>
    <t>KAIYI</t>
  </si>
  <si>
    <t>KYX7</t>
  </si>
  <si>
    <t>ANA PAOLA VEGA RODRÍGUEZ</t>
  </si>
  <si>
    <t>Dealer</t>
  </si>
  <si>
    <t>29-03-2021</t>
  </si>
  <si>
    <t>1,69</t>
  </si>
  <si>
    <t>NO RECUPERADO</t>
  </si>
  <si>
    <t>Vegarodriguez2370@gmail.com</t>
  </si>
  <si>
    <t>Irma Johnson Molina N.201 BL.G, DEPTO 714</t>
  </si>
  <si>
    <t>PFFD99</t>
  </si>
  <si>
    <t>CELERIO 1.0 GLX AC BT</t>
  </si>
  <si>
    <t>C</t>
  </si>
  <si>
    <t>MARCO ANTONIO JORQUERA SILVA</t>
  </si>
  <si>
    <t>TATTERSALL</t>
  </si>
  <si>
    <t>29-07-2021</t>
  </si>
  <si>
    <t>1,56</t>
  </si>
  <si>
    <t>SEMI PREMIUM</t>
  </si>
  <si>
    <t>CONTENIDO</t>
  </si>
  <si>
    <t>marcojorqueracil@gmail.com</t>
  </si>
  <si>
    <t>CARRETERA F30 Km 38, Maitencillo, Puchincavi</t>
  </si>
  <si>
    <t>PUCHUNCAVI</t>
  </si>
  <si>
    <t>1 CUOTA EN MORA</t>
  </si>
  <si>
    <t>RFJL44</t>
  </si>
  <si>
    <t>ZX AUTO</t>
  </si>
  <si>
    <t>TERRALORD DCAB 2.5</t>
  </si>
  <si>
    <t>DAVID JESUS VIDAL VIDAL</t>
  </si>
  <si>
    <t>AMICAR</t>
  </si>
  <si>
    <t>RENE</t>
  </si>
  <si>
    <t>23-09-2021</t>
  </si>
  <si>
    <t>1,61</t>
  </si>
  <si>
    <t>vidal.david1983@gmail.com</t>
  </si>
  <si>
    <t>JOSE ASUNCION SILVA ORIENTE 1965</t>
  </si>
  <si>
    <t>C-2398-2026</t>
  </si>
  <si>
    <t>RGVZ40</t>
  </si>
  <si>
    <t>JOLION ELITE 1.5</t>
  </si>
  <si>
    <t>LUIS ALBERTO SEPULVEDA CONCHA</t>
  </si>
  <si>
    <t>28-09-2021</t>
  </si>
  <si>
    <t>LUSEPCON@GMAIL.COM</t>
  </si>
  <si>
    <t>NICASIO DE TORO 644</t>
  </si>
  <si>
    <t>C-5116-2026</t>
  </si>
  <si>
    <t>RHWV32</t>
  </si>
  <si>
    <t>POER ELITE 2.0</t>
  </si>
  <si>
    <t>JONATHAN OLIVER DIAZ BURGOS</t>
  </si>
  <si>
    <t>Directo</t>
  </si>
  <si>
    <t>14-10-2021</t>
  </si>
  <si>
    <t>1,2</t>
  </si>
  <si>
    <t>JONATHAN.DIAZ@EBCO.CL</t>
  </si>
  <si>
    <t>AV ALEXANDER</t>
  </si>
  <si>
    <t>C-3902-2026</t>
  </si>
  <si>
    <t>JOLION 1.5 MT 4X2 ELITE</t>
  </si>
  <si>
    <t>BERNARDO ALEXIS JARAMILLO CARDENAS</t>
  </si>
  <si>
    <t>20-10-2021</t>
  </si>
  <si>
    <t>1,73</t>
  </si>
  <si>
    <t>BJARAMILLOCARDENAS@GMAIL.COM</t>
  </si>
  <si>
    <t>ARCO IRIS 137</t>
  </si>
  <si>
    <t>C-6431-2026</t>
  </si>
  <si>
    <t>ATHENA</t>
  </si>
  <si>
    <t>RPRK34</t>
  </si>
  <si>
    <t>POER ELITE 4X4 2.0</t>
  </si>
  <si>
    <t>DIEGO ANTONIO MORALES GALLEGOS</t>
  </si>
  <si>
    <t>15-11-2021</t>
  </si>
  <si>
    <t>1,85</t>
  </si>
  <si>
    <t>DIEGOMORALESGALLEGOS111@GM.COM</t>
  </si>
  <si>
    <t>TUNCA EL MEDIO CAMINO ORYAN S/N</t>
  </si>
  <si>
    <t>C-17681-2025</t>
  </si>
  <si>
    <t>RHDK71</t>
  </si>
  <si>
    <t>GAC</t>
  </si>
  <si>
    <t>GS4 1.5T AT GE</t>
  </si>
  <si>
    <t>ENRIQUE DEL CARMEN PINTO CASTILLO</t>
  </si>
  <si>
    <t>29-11-2021</t>
  </si>
  <si>
    <t>E.PINTOCASTILLO8@GMAIL.COM</t>
  </si>
  <si>
    <t>AVENIDA VIAL RECABARREN 02</t>
  </si>
  <si>
    <t>C-6502-2026</t>
  </si>
  <si>
    <t>RKZS36</t>
  </si>
  <si>
    <t>CS35 PLUS LUXURY MT</t>
  </si>
  <si>
    <t>CARLOS ANDRES POLANCO DIAZ</t>
  </si>
  <si>
    <t>21-01-2022</t>
  </si>
  <si>
    <t>1,99</t>
  </si>
  <si>
    <t>ca.polanco17@gmail.com</t>
  </si>
  <si>
    <t>GLACIAR EL MORADO 71</t>
  </si>
  <si>
    <t>C-838-2026</t>
  </si>
  <si>
    <t>RSYR17</t>
  </si>
  <si>
    <t>JS3 1.6 ADVANCE</t>
  </si>
  <si>
    <t>ALEJANDRO ANTONIO VARGAS VERGARA</t>
  </si>
  <si>
    <t>2,08</t>
  </si>
  <si>
    <t>janogas.77@gmail.com</t>
  </si>
  <si>
    <t>Julio Cesar 3058</t>
  </si>
  <si>
    <t>C-8231-2025</t>
  </si>
  <si>
    <t>RSKC73</t>
  </si>
  <si>
    <t>X5 1.8 PLUS CS</t>
  </si>
  <si>
    <t>ALEJANDRO SEGUNDO VERA SANDOVAL</t>
  </si>
  <si>
    <t>20-10-2025</t>
  </si>
  <si>
    <t>21-02-2022</t>
  </si>
  <si>
    <t>2,17</t>
  </si>
  <si>
    <t>19 SUR 5743</t>
  </si>
  <si>
    <t>C-2593-2025</t>
  </si>
  <si>
    <t>RTBT93</t>
  </si>
  <si>
    <t>MAHINDRA</t>
  </si>
  <si>
    <t>PIK UP CRDE 2WD 2.2</t>
  </si>
  <si>
    <t>PAMELA ALEJANDRA MIRANDA GARCIA</t>
  </si>
  <si>
    <t>30-06-2026</t>
  </si>
  <si>
    <t>NO PREMIUM</t>
  </si>
  <si>
    <t>pamelaalejandramiranda640@gmail.com</t>
  </si>
  <si>
    <t>CARLOS VAN BUREN 823, 823</t>
  </si>
  <si>
    <t>C-14439-2025</t>
  </si>
  <si>
    <t>1 CUOTA MORA</t>
  </si>
  <si>
    <t>RVRF34</t>
  </si>
  <si>
    <t>CS15 HB 4X2 1.5</t>
  </si>
  <si>
    <t>MARÍA MARGARITA CUYUL MUÑOZ</t>
  </si>
  <si>
    <t>25-07-2025</t>
  </si>
  <si>
    <t>RENE/DACIÓN</t>
  </si>
  <si>
    <t>22-03-2022</t>
  </si>
  <si>
    <t>2,27</t>
  </si>
  <si>
    <t>margaritacuyulmunoz@gmail.com</t>
  </si>
  <si>
    <t>PJE. IGNACIO KUSCHEL 284</t>
  </si>
  <si>
    <t>C-15705-2024</t>
  </si>
  <si>
    <t>FDDZ68</t>
  </si>
  <si>
    <t>ACTYON SPORT 4X4 2.0</t>
  </si>
  <si>
    <t>IGNACIO JAVIER DESCHAMPS PINOCHET</t>
  </si>
  <si>
    <t>17-03-2022</t>
  </si>
  <si>
    <t>1,39</t>
  </si>
  <si>
    <t>IDESCHAMPSP@GMAIL.COM</t>
  </si>
  <si>
    <t>SANTA ELENA</t>
  </si>
  <si>
    <t>C-835-2026</t>
  </si>
  <si>
    <t>CORSA 1.2</t>
  </si>
  <si>
    <t>KEFNY JEAN .</t>
  </si>
  <si>
    <t>kefnyjean914@gmail.com</t>
  </si>
  <si>
    <t>MANUEL PLAZA 2593</t>
  </si>
  <si>
    <t>C-3907-2026</t>
  </si>
  <si>
    <t>RVTD95</t>
  </si>
  <si>
    <t>ERWIN EDGARDO ARACENA PACHECO</t>
  </si>
  <si>
    <t>13-04-2022</t>
  </si>
  <si>
    <t>ERWIN1983@HOTMAIL.ES</t>
  </si>
  <si>
    <t>PIRITA # 10515  BLOCK C-4</t>
  </si>
  <si>
    <t>C-14426-2025</t>
  </si>
  <si>
    <t>RSSG27</t>
  </si>
  <si>
    <t>X70 GL 1.5</t>
  </si>
  <si>
    <t>D</t>
  </si>
  <si>
    <t>RAÚL EUGENIO VILLAR MESÍAS</t>
  </si>
  <si>
    <t>22-04-2022</t>
  </si>
  <si>
    <t>rosri_2@hotmail.con</t>
  </si>
  <si>
    <t>LAS BELLOTAS 270 DEPTO 401</t>
  </si>
  <si>
    <t>C-9764-2025</t>
  </si>
  <si>
    <t>LXKZ91</t>
  </si>
  <si>
    <t>VOLKSWAGEN</t>
  </si>
  <si>
    <t>T CROSS 1.6</t>
  </si>
  <si>
    <t>GASTRONOMIA PEREZ PANDO LIMITADA</t>
  </si>
  <si>
    <t>15-04-2026</t>
  </si>
  <si>
    <t>26-04-2022</t>
  </si>
  <si>
    <t>2,25</t>
  </si>
  <si>
    <t>RODRIGO_EPH@HOTMAIL.COM</t>
  </si>
  <si>
    <t>MAIPU 501</t>
  </si>
  <si>
    <t>C-15782-2025</t>
  </si>
  <si>
    <t>RXXC92</t>
  </si>
  <si>
    <t>LANDTREK 4X4 1.9</t>
  </si>
  <si>
    <t>ESTEFANIA ANDREA FERRERA PIZARRO</t>
  </si>
  <si>
    <t>21-04-2022</t>
  </si>
  <si>
    <t>1,74</t>
  </si>
  <si>
    <t>estefaniaferrera2@gmail.com</t>
  </si>
  <si>
    <t>LOS CASTAÑOS 11952</t>
  </si>
  <si>
    <t>C-15769-2025</t>
  </si>
  <si>
    <t>RXKX41</t>
  </si>
  <si>
    <t>FELIPE ANTONIO REYES ALEGRÍA</t>
  </si>
  <si>
    <t>14-11-2025</t>
  </si>
  <si>
    <t>13-06-2022</t>
  </si>
  <si>
    <t>2,38</t>
  </si>
  <si>
    <t>FREYES_A@HOTMAIL.CL</t>
  </si>
  <si>
    <t>PANGAL 0755</t>
  </si>
  <si>
    <t>RZVD76</t>
  </si>
  <si>
    <t>VITO TOURER 111 CDI 9 1</t>
  </si>
  <si>
    <t>KAREN PAZ RETAMAL COVARRUBIAS</t>
  </si>
  <si>
    <t>14-06-2022</t>
  </si>
  <si>
    <t>karenretamal27@gmail.com</t>
  </si>
  <si>
    <t>22 Y 23 ORIENTE 308</t>
  </si>
  <si>
    <t>C-15764-2025</t>
  </si>
  <si>
    <t>SBHW12</t>
  </si>
  <si>
    <t>NEW CS15 ELITE AT</t>
  </si>
  <si>
    <t>LAURA DEL CARMEN SOTO BARRÍA</t>
  </si>
  <si>
    <t>22-04-2026</t>
  </si>
  <si>
    <t>21-06-2022</t>
  </si>
  <si>
    <t>2,43</t>
  </si>
  <si>
    <t>laurasoto1808@gmail.com</t>
  </si>
  <si>
    <t>CHINIHUE EL CRISTO, 5</t>
  </si>
  <si>
    <t>EL MONTE</t>
  </si>
  <si>
    <t>C-22150-2024</t>
  </si>
  <si>
    <t>SALDO MENOR A 1.4M</t>
  </si>
  <si>
    <t>14-07-2026</t>
  </si>
  <si>
    <t>HYZZ51</t>
  </si>
  <si>
    <t>PATHFINDER 4X4 3.5 AUT</t>
  </si>
  <si>
    <t>PATRICIO EFRAIN ECHEVERRIA INOSTROZA</t>
  </si>
  <si>
    <t>28-02-2026</t>
  </si>
  <si>
    <t>contrerasreveco.sol@gmail.com</t>
  </si>
  <si>
    <t>SAN GUILLERMO 0153</t>
  </si>
  <si>
    <t>C-2254-2026</t>
  </si>
  <si>
    <t>SCDB41</t>
  </si>
  <si>
    <t>MIRELDY CAROLINA ANDRADE FLORES</t>
  </si>
  <si>
    <t>28-07-2022</t>
  </si>
  <si>
    <t>1,89</t>
  </si>
  <si>
    <t>psic.andradem@gmail.com</t>
  </si>
  <si>
    <t>RESBALÓN 1715 BLOCK 9 DPTO 41</t>
  </si>
  <si>
    <t>C-15749-2025</t>
  </si>
  <si>
    <t>SCYD69</t>
  </si>
  <si>
    <t>Ruben Lorenzo  Muñoz  Bascuñan</t>
  </si>
  <si>
    <t>rm507101@gmail.com</t>
  </si>
  <si>
    <t>PJE. JESUITAS 1745</t>
  </si>
  <si>
    <t>C-6485-2026</t>
  </si>
  <si>
    <t>SFPZ53</t>
  </si>
  <si>
    <t>CLAUDIA ALEJANDRA CASTILLO ZAPATA</t>
  </si>
  <si>
    <t>17-08-2022</t>
  </si>
  <si>
    <t>2,51</t>
  </si>
  <si>
    <t>Cccalzadoymoda@gmail.com</t>
  </si>
  <si>
    <t>Luis Mayorga Gazzarri 290</t>
  </si>
  <si>
    <t>BUIN</t>
  </si>
  <si>
    <t>C-6720-2025</t>
  </si>
  <si>
    <t>LFPB89</t>
  </si>
  <si>
    <t>BORIS EDGARDO YAÑEZ NAHUELHUAIQUE</t>
  </si>
  <si>
    <t>23-08-2022</t>
  </si>
  <si>
    <t>BORISYANEZN@GMAIL.COM</t>
  </si>
  <si>
    <t>PARQUE PUMALIN</t>
  </si>
  <si>
    <t>LWRK61</t>
  </si>
  <si>
    <t>XTRAIL</t>
  </si>
  <si>
    <t>CARLOS ENRIQUE GOICOCHEA TOCAS</t>
  </si>
  <si>
    <t>24-08-2022</t>
  </si>
  <si>
    <t>enrique.1997tocas@gmail.com</t>
  </si>
  <si>
    <t>AVENIDA EINSTEIN 355</t>
  </si>
  <si>
    <t>SDYZ86</t>
  </si>
  <si>
    <t>ONIX NB LT 1.0T</t>
  </si>
  <si>
    <t>MATIAS NICOLAS ACHARAN LEVIO</t>
  </si>
  <si>
    <t>29-08-2022</t>
  </si>
  <si>
    <t>C-6492-2026</t>
  </si>
  <si>
    <t>SDWS97</t>
  </si>
  <si>
    <t>NEW CS15 ELITE 1.5</t>
  </si>
  <si>
    <t>CRISTIAN ENRIQUE VILLAGRA YAÑEZ</t>
  </si>
  <si>
    <t>2,83</t>
  </si>
  <si>
    <t>cristian.villagra1230@gmail.com</t>
  </si>
  <si>
    <t>ARTURO ALESSANDRI1161</t>
  </si>
  <si>
    <t>KLPB65</t>
  </si>
  <si>
    <t>VERSA SENSE 1.6</t>
  </si>
  <si>
    <t>NICOLÁS ANDREE CAZAL GALLEGUILLOS</t>
  </si>
  <si>
    <t>24-09-2022</t>
  </si>
  <si>
    <t>nicolascazal.g@gmail.com</t>
  </si>
  <si>
    <t>RIO BIO BIO 1828</t>
  </si>
  <si>
    <t>PADRE HURTADO</t>
  </si>
  <si>
    <t>C-9885-2025</t>
  </si>
  <si>
    <t>HBGF28</t>
  </si>
  <si>
    <t>BRAVO 1.4</t>
  </si>
  <si>
    <t>MARCELA VERÓNICA ARANCIBIA JORQUERA</t>
  </si>
  <si>
    <t>1.062.435</t>
  </si>
  <si>
    <t>17-10-2022</t>
  </si>
  <si>
    <t>2,59</t>
  </si>
  <si>
    <t>marcela@koal.cl</t>
  </si>
  <si>
    <t>CAMINO EL ALBA 12160 DPTO 705</t>
  </si>
  <si>
    <t>C-8127-2026</t>
  </si>
  <si>
    <t>SJJY84</t>
  </si>
  <si>
    <t>NEW REXTON LIMITED PLUS 4X4 2.2 AT</t>
  </si>
  <si>
    <t>MARIA FERNANDA TUNJA SANDOYA</t>
  </si>
  <si>
    <t>2,61</t>
  </si>
  <si>
    <t>fer_1979nino@hotmail.com</t>
  </si>
  <si>
    <t>LOS ARRECIFES 4002</t>
  </si>
  <si>
    <t>CALAMA</t>
  </si>
  <si>
    <t>C-3849-2026</t>
  </si>
  <si>
    <t>SJWH47</t>
  </si>
  <si>
    <t>3008 THP 165HP 1.6 AUT</t>
  </si>
  <si>
    <t>CARLOS JOELBER PEREZ DELGADO</t>
  </si>
  <si>
    <t>15-11-2022</t>
  </si>
  <si>
    <t>2,9</t>
  </si>
  <si>
    <t>carlosperezmiranda10@gmail.com</t>
  </si>
  <si>
    <t>SAN DIEGO 1473 DEPTO. 1611</t>
  </si>
  <si>
    <t>PRGK69</t>
  </si>
  <si>
    <t>ATOS AH2 HB 1.1</t>
  </si>
  <si>
    <t>WILDER PAUL ESCALANTE CASTILLO</t>
  </si>
  <si>
    <t>wilderpaule442@gmail.com</t>
  </si>
  <si>
    <t>ECUADOR AV 4626 EDIF. A DEPTO 3310</t>
  </si>
  <si>
    <t>C-14429-2025</t>
  </si>
  <si>
    <t>SGBG27</t>
  </si>
  <si>
    <t>JESUS DANIEL OLIVEROS GUERRERO</t>
  </si>
  <si>
    <t>16-11-2022</t>
  </si>
  <si>
    <t>oliverosj671@gmail.com</t>
  </si>
  <si>
    <t>LORD COCHRANE 209 EDIF. NORTE DEPTO 1307</t>
  </si>
  <si>
    <t>C-8111-2026</t>
  </si>
  <si>
    <t>SGGR42</t>
  </si>
  <si>
    <t>CRISTIAN ANDRES GUTIERREZ MORALES</t>
  </si>
  <si>
    <t>24-11-2022</t>
  </si>
  <si>
    <t>2,49</t>
  </si>
  <si>
    <t>cristian.gutierrez.morales.81@gmail.com</t>
  </si>
  <si>
    <t>URSA MAYOR 1353</t>
  </si>
  <si>
    <t>C-17486-2025</t>
  </si>
  <si>
    <t>SHFR34</t>
  </si>
  <si>
    <t>RODRIGO ROLANDO SEPULVEDA MARCHANT</t>
  </si>
  <si>
    <t>23-11-2022</t>
  </si>
  <si>
    <t>POTRERILLOS 12195 21 DE MAYO</t>
  </si>
  <si>
    <t>C-8121-2026</t>
  </si>
  <si>
    <t>SKDB60</t>
  </si>
  <si>
    <t>CAROLINA ELENA MUÑOZ CAMILO</t>
  </si>
  <si>
    <t>14-12-2022</t>
  </si>
  <si>
    <t>2,68</t>
  </si>
  <si>
    <t>CAROLA.CAMILO13@GMAIL.COM</t>
  </si>
  <si>
    <t>RIO TRANCURA 9693</t>
  </si>
  <si>
    <t>C-15532-2025</t>
  </si>
  <si>
    <t>PGJD63</t>
  </si>
  <si>
    <t>PARTNER L1 HDI 1.6</t>
  </si>
  <si>
    <t>ISAAC ALFREDO RODRIGUEZ CARVAJAL</t>
  </si>
  <si>
    <t>13-10-2025</t>
  </si>
  <si>
    <t>i.rodriguezc0703@gmail.com</t>
  </si>
  <si>
    <t>LOS QUELTEHUES 2258</t>
  </si>
  <si>
    <t>C-10191-2025</t>
  </si>
  <si>
    <t>SHYZ98</t>
  </si>
  <si>
    <t>VICTOR SAMUEL PASTENES VALDES</t>
  </si>
  <si>
    <t>13-12-2022</t>
  </si>
  <si>
    <t>victorv34@hotmail.com</t>
  </si>
  <si>
    <t>PASAJE LOS MAQUIS 305</t>
  </si>
  <si>
    <t>C-8162-2026</t>
  </si>
  <si>
    <t>SKZT98</t>
  </si>
  <si>
    <t>HERNAN ALEJANDRO PEÑA ESTRADA</t>
  </si>
  <si>
    <t>1.593.299</t>
  </si>
  <si>
    <t>17-12-2022</t>
  </si>
  <si>
    <t>2,65</t>
  </si>
  <si>
    <t>Alejandro81.pena@gmail.com</t>
  </si>
  <si>
    <t>LOS TIUQUES 3976</t>
  </si>
  <si>
    <t>C-2258-2026</t>
  </si>
  <si>
    <t>SKZJ40</t>
  </si>
  <si>
    <t>SILVERADO 4X4 6.2 AUT</t>
  </si>
  <si>
    <t>VICTORINA DEL CARMEN GARAY VIVANCO</t>
  </si>
  <si>
    <t>21-12-2022</t>
  </si>
  <si>
    <t>victorina.garayvivanco@gmail.com</t>
  </si>
  <si>
    <t>VISTA HERMOSA 23</t>
  </si>
  <si>
    <t>SKDV70</t>
  </si>
  <si>
    <t>CS35 LUXURY 1.6</t>
  </si>
  <si>
    <t>PAULINA ANDREA GALVEZ ZAMBRANO</t>
  </si>
  <si>
    <t>29-12-2022</t>
  </si>
  <si>
    <t>2,09</t>
  </si>
  <si>
    <t>tapiatrabajo1@gmail.com</t>
  </si>
  <si>
    <t>PROGRESO 335 SECTOR LOMAS COLORADAS</t>
  </si>
  <si>
    <t>C-13008-2025</t>
  </si>
  <si>
    <t>SLBZ90</t>
  </si>
  <si>
    <t>M201 DOHC 1.2</t>
  </si>
  <si>
    <t>JOSE IGANCIO CARCAMO OPORTO</t>
  </si>
  <si>
    <t>ignaciocarcamo.79@gmail.com</t>
  </si>
  <si>
    <t>PJE CARLOS ARELLANO JARA 02145 VILLA CARDENAL RAUL SILVA H</t>
  </si>
  <si>
    <t>SKBG22</t>
  </si>
  <si>
    <t>MANUEL ALFONSO  ROJAS ROJAS</t>
  </si>
  <si>
    <t>manuel_rojas_20@hotmail.com</t>
  </si>
  <si>
    <t>PUERTO NATALES 6193</t>
  </si>
  <si>
    <t>C-17495-2025</t>
  </si>
  <si>
    <t>SLWB60</t>
  </si>
  <si>
    <t>NELSON FERNANDO GARRIDO GUTIERREZ</t>
  </si>
  <si>
    <t>nelsongarrido@outlook.com</t>
  </si>
  <si>
    <t>CALPULLI 1713</t>
  </si>
  <si>
    <t>C-17479-2025</t>
  </si>
  <si>
    <t>SKYX99</t>
  </si>
  <si>
    <t>JUAN CARLOS PEREIRA GERALDO</t>
  </si>
  <si>
    <t>20-01-2023</t>
  </si>
  <si>
    <t>2,71</t>
  </si>
  <si>
    <t>jp.nortig@gmail.com</t>
  </si>
  <si>
    <t>AYSEN N 5106 POBLA LAUTARO</t>
  </si>
  <si>
    <t>NUEVO</t>
  </si>
  <si>
    <t>RKKH84</t>
  </si>
  <si>
    <t>NEW V80 TM 2.5</t>
  </si>
  <si>
    <t>GENITZARET BEATRIZ LIZCANO RANGEL</t>
  </si>
  <si>
    <t>21-01-2023</t>
  </si>
  <si>
    <t>genylizcano@gmail.com</t>
  </si>
  <si>
    <t>AVENIDA CARLOS DIAZ 190 EDIFICIO CHACABUCO 111</t>
  </si>
  <si>
    <t>C-2399-2026</t>
  </si>
  <si>
    <t>SKXZ63</t>
  </si>
  <si>
    <t>JS4 1.6 COMFORT</t>
  </si>
  <si>
    <t>William Anselmo Morales Toro</t>
  </si>
  <si>
    <t>27-01-2023</t>
  </si>
  <si>
    <t>BAJA90</t>
  </si>
  <si>
    <t>william9714morales@gmial.com</t>
  </si>
  <si>
    <t>WILLIAMS REBOLLEDO 1860</t>
  </si>
  <si>
    <t>SKWR79</t>
  </si>
  <si>
    <t>GRAND I10 HB 1.2</t>
  </si>
  <si>
    <t>MAURICIO ESTEBAN KESSRA ORTIZ</t>
  </si>
  <si>
    <t>15-10-2025</t>
  </si>
  <si>
    <t>20-02-2023</t>
  </si>
  <si>
    <t>KESSRAORTIZ@GMAIL.COM</t>
  </si>
  <si>
    <t>VICTOR FARIAS</t>
  </si>
  <si>
    <t>C-2457-2026</t>
  </si>
  <si>
    <t>20 Juzgado Civil de Santiago</t>
  </si>
  <si>
    <t>H7 ELITE 2.0 AUT</t>
  </si>
  <si>
    <t>CARLA ORIANA MUÑOZ MIRANDA</t>
  </si>
  <si>
    <t>23-05-2026</t>
  </si>
  <si>
    <t>22-02-2023</t>
  </si>
  <si>
    <t>2,64</t>
  </si>
  <si>
    <t>CARLAMUNOZMIRANDA@GMAIL.COM</t>
  </si>
  <si>
    <t>SARGENTO ALDEA 904  POBLACION BORGOÑO</t>
  </si>
  <si>
    <t>C-6718-2025</t>
  </si>
  <si>
    <t>RVDD31</t>
  </si>
  <si>
    <t>X70 GLX 1.5 AUT</t>
  </si>
  <si>
    <t>JULIO ALEJANDRO HIDALGO FREDES</t>
  </si>
  <si>
    <t>24-02-2023</t>
  </si>
  <si>
    <t>2,3</t>
  </si>
  <si>
    <t>Julio.hidalgo.fredes@hotmail.com</t>
  </si>
  <si>
    <t>CALLE ESMERALDA 533</t>
  </si>
  <si>
    <t>C-3845-2026</t>
  </si>
  <si>
    <t>JKCX70</t>
  </si>
  <si>
    <t>NP300 DCAB 4WD 2.3</t>
  </si>
  <si>
    <t>BELKYS MAYERLING MARTÍNEZ PARRA</t>
  </si>
  <si>
    <t>13-03-2023</t>
  </si>
  <si>
    <t>2,29</t>
  </si>
  <si>
    <t>belkysmparra@gmail.com</t>
  </si>
  <si>
    <t>CALLE NUEVA 141</t>
  </si>
  <si>
    <t>SSWR35</t>
  </si>
  <si>
    <t>GRAND I-10 AI3 HB 1.2</t>
  </si>
  <si>
    <t>ANA MARÍA SILVA HERNÁNDEZ</t>
  </si>
  <si>
    <t>20-03-2023</t>
  </si>
  <si>
    <t>2,73</t>
  </si>
  <si>
    <t>victorhuerta026@gmail.com</t>
  </si>
  <si>
    <t>PASAJE LAS VERTIENTES 1047 PISO 0</t>
  </si>
  <si>
    <t>C-8331-2025</t>
  </si>
  <si>
    <t>KHSV89</t>
  </si>
  <si>
    <t>PARTNER HDI 1.6</t>
  </si>
  <si>
    <t>CAMILA ANDREA ESCALONA SALGADO</t>
  </si>
  <si>
    <t>camila.escalona@gmail.com</t>
  </si>
  <si>
    <t>CUADRO VERDE 020, DPTO D103</t>
  </si>
  <si>
    <t>C-13001-2025</t>
  </si>
  <si>
    <t>STWF82</t>
  </si>
  <si>
    <t>JS4 TURBO CVT 1.5 AUT</t>
  </si>
  <si>
    <t>MIGUEL ANTONIO ORTIZ RODRIGUEZ</t>
  </si>
  <si>
    <t>23-03-2023</t>
  </si>
  <si>
    <t>1,5</t>
  </si>
  <si>
    <t>MIGUEL_BOLA8@HOTMAIL.COM</t>
  </si>
  <si>
    <t>LOS JARDINES</t>
  </si>
  <si>
    <t>C-15767-2025</t>
  </si>
  <si>
    <t>PTSD38</t>
  </si>
  <si>
    <t>FABIOLA ELIZABETH CHAPARRO CHAPARRO</t>
  </si>
  <si>
    <t>LOS FLETEROS 30</t>
  </si>
  <si>
    <t>VALPARAISO</t>
  </si>
  <si>
    <t>C-2255-2026</t>
  </si>
  <si>
    <t>STGJ76</t>
  </si>
  <si>
    <t>SWIFT GL HB 1.2</t>
  </si>
  <si>
    <t>DIMONT SPA</t>
  </si>
  <si>
    <t>27-03-2023</t>
  </si>
  <si>
    <t>dimontcl@gmail.com</t>
  </si>
  <si>
    <t>Avenida Nueva Koke 1102, local 3</t>
  </si>
  <si>
    <t>STZF19</t>
  </si>
  <si>
    <t>MIDI CARGOBOX PICK UP</t>
  </si>
  <si>
    <t>YERLAIN MARIA VILLALOBOS CAMACARO</t>
  </si>
  <si>
    <t>YERLAINVILLALOBOS1988@GMAIL.COM</t>
  </si>
  <si>
    <t>PORVENIR</t>
  </si>
  <si>
    <t>AL DIA</t>
  </si>
  <si>
    <t>ISABEL ALEJANDRA POBLETE MANZUR</t>
  </si>
  <si>
    <t>19-03-2026</t>
  </si>
  <si>
    <t>18-04-2023</t>
  </si>
  <si>
    <t>isabel.poblete@gmail.com</t>
  </si>
  <si>
    <t>PUERTO NATALES 01330 P. DE VALDIVIA</t>
  </si>
  <si>
    <t>C-8117-2026</t>
  </si>
  <si>
    <t>SLVF73</t>
  </si>
  <si>
    <t>X5 PLUS DCAB E6 1.8</t>
  </si>
  <si>
    <t>CAPITAL FRUT SPA</t>
  </si>
  <si>
    <t>17-04-2023</t>
  </si>
  <si>
    <t>capitalfrutspa@gmail.com</t>
  </si>
  <si>
    <t>VILLA SAN SEBASTIAN STA ROSA 17</t>
  </si>
  <si>
    <t>SAGRADA FAMILIA</t>
  </si>
  <si>
    <t>C-688-2025</t>
  </si>
  <si>
    <t>STRC41</t>
  </si>
  <si>
    <t>REFINE M4 11 PAS. 1.9T DIESEL MT</t>
  </si>
  <si>
    <t>JORGE MARCELO TRIGO VEGA</t>
  </si>
  <si>
    <t>20-04-2023</t>
  </si>
  <si>
    <t>1,6</t>
  </si>
  <si>
    <t>TRIGOVEGA.JORGEM@GMAIL.COM</t>
  </si>
  <si>
    <t>RIO MAULE</t>
  </si>
  <si>
    <t>SIERRA GORDA</t>
  </si>
  <si>
    <t>KUV 100 HATCH BACK 1.2</t>
  </si>
  <si>
    <t>JOHANNA LUISA CERDA ROJAS</t>
  </si>
  <si>
    <t>21-04-2023</t>
  </si>
  <si>
    <t>2,93</t>
  </si>
  <si>
    <t>cerda.rojasjohanna@gmail.com</t>
  </si>
  <si>
    <t>PASAJE MOSCATEL 419</t>
  </si>
  <si>
    <t>C-3879-2026</t>
  </si>
  <si>
    <t>SRPP37</t>
  </si>
  <si>
    <t>MIDI TRUCK CAB SIMPLE 1.300CC</t>
  </si>
  <si>
    <t>RODRIGO ANDRES AVELLO FIGUEROA</t>
  </si>
  <si>
    <t>rodrigoavellof@gmail.com</t>
  </si>
  <si>
    <t>LAS NOVELIAS 1911</t>
  </si>
  <si>
    <t>SVPS20</t>
  </si>
  <si>
    <t>NEW CS15 LUXURY 1.5</t>
  </si>
  <si>
    <t>MARIELA ABIGAIL FUENTEALBA TORRES</t>
  </si>
  <si>
    <t>28-04-2023</t>
  </si>
  <si>
    <t>2,66</t>
  </si>
  <si>
    <t>mfuentealba@enfermeria.ucsc.cl</t>
  </si>
  <si>
    <t>CRISTOBAL COLON 82</t>
  </si>
  <si>
    <t>COELEMU</t>
  </si>
  <si>
    <t>C-3851-2026</t>
  </si>
  <si>
    <t>HZXH73</t>
  </si>
  <si>
    <t>NEW H1 GLS 2.5</t>
  </si>
  <si>
    <t>JUAN CARLOS LEAL LEAL</t>
  </si>
  <si>
    <t>20-06-2026</t>
  </si>
  <si>
    <t>JUANCARLOSLEAL.LEAL@GMAIL.COM</t>
  </si>
  <si>
    <t>PASAJE HIGUERITAS</t>
  </si>
  <si>
    <t>C-3939-2025</t>
  </si>
  <si>
    <t>RPTT90</t>
  </si>
  <si>
    <t>T8 CE 4X4 2.0</t>
  </si>
  <si>
    <t>NELSON IVÁN SILVA TOLEDO</t>
  </si>
  <si>
    <t>29-04-2023</t>
  </si>
  <si>
    <t>N.silva.toledo@gmail.com</t>
  </si>
  <si>
    <t>LOS CANTAROS 0880</t>
  </si>
  <si>
    <t>C-2387-2026</t>
  </si>
  <si>
    <t>CANCELADO</t>
  </si>
  <si>
    <t>20-07-2026</t>
  </si>
  <si>
    <t>KRCF31</t>
  </si>
  <si>
    <t>SAIL 1.5</t>
  </si>
  <si>
    <t>CLAUDIO ORLANDO ORTIZ FIGUEROA</t>
  </si>
  <si>
    <t>15-01-2026</t>
  </si>
  <si>
    <t>soniamege@gmail.com</t>
  </si>
  <si>
    <t>CAMILO HENRIQUEZ 150 VILLA ICALMA</t>
  </si>
  <si>
    <t>C-8120-2026</t>
  </si>
  <si>
    <t>LRHJ58</t>
  </si>
  <si>
    <t>QUBO DYNAMIC 1.4</t>
  </si>
  <si>
    <t>INGRID MERCEDES GALAZ GUTIÉRREZ</t>
  </si>
  <si>
    <t>Igalaz.mon@hotmail.com</t>
  </si>
  <si>
    <t>GRAJALES  2154</t>
  </si>
  <si>
    <t>SWSF83</t>
  </si>
  <si>
    <t>X5 4X2 1.6</t>
  </si>
  <si>
    <t>Cristian Soto Parra .</t>
  </si>
  <si>
    <t>cristianeducacion@hotmail.com</t>
  </si>
  <si>
    <t>C-15771-2025</t>
  </si>
  <si>
    <t>STPY63</t>
  </si>
  <si>
    <t>WINGLE 4P 2.2</t>
  </si>
  <si>
    <t>MONICA NATHALY CUELLAR YAÑEZ</t>
  </si>
  <si>
    <t>15-06-2026</t>
  </si>
  <si>
    <t>CUELLARMONI17@GMAIL.COM</t>
  </si>
  <si>
    <t>LO ESPINOZA</t>
  </si>
  <si>
    <t>SGXB86</t>
  </si>
  <si>
    <t>HUNTER 1.9T MT 4X4 ELITE SPORT</t>
  </si>
  <si>
    <t>LILY DEL ROCÍO  SÁNCHEZ  MUÑOZ</t>
  </si>
  <si>
    <t>15-05-2023</t>
  </si>
  <si>
    <t>1,53</t>
  </si>
  <si>
    <t>LITOLIA75@HOTMAIL.COM</t>
  </si>
  <si>
    <t>NANCAGUA</t>
  </si>
  <si>
    <t>C-682-2025</t>
  </si>
  <si>
    <t>PTVD67</t>
  </si>
  <si>
    <t>CAROLINA RENATA PEREZ</t>
  </si>
  <si>
    <t>20-05-2023</t>
  </si>
  <si>
    <t>carolinarenata9876@hotmail.com</t>
  </si>
  <si>
    <t>BASCUÑAN GUERRERO 2071</t>
  </si>
  <si>
    <t>C-8334-2025</t>
  </si>
  <si>
    <t>STPV97</t>
  </si>
  <si>
    <t>POER 2.0</t>
  </si>
  <si>
    <t>VALENTINA MICHELL AHUMADA VALDES</t>
  </si>
  <si>
    <t>1,57</t>
  </si>
  <si>
    <t>VALENTINAAHUMADAVALDES@GMAIL.COM</t>
  </si>
  <si>
    <t>AMERICO VESPUCIO</t>
  </si>
  <si>
    <t>C-2402-2026</t>
  </si>
  <si>
    <t>MARÍA ISABEL HENRÍQUEZ SARABIA</t>
  </si>
  <si>
    <t>23-05-2023</t>
  </si>
  <si>
    <t>2,99</t>
  </si>
  <si>
    <t>hhsisabel@gmail.com</t>
  </si>
  <si>
    <t>JULIO MONTT SALAMANCA 61</t>
  </si>
  <si>
    <t>C-9897-2025</t>
  </si>
  <si>
    <t>SSKT12</t>
  </si>
  <si>
    <t>KARRY</t>
  </si>
  <si>
    <t>Q22D CB 1.5</t>
  </si>
  <si>
    <t>MILENCA ESTEFANIA FLORES VELASQUEZ</t>
  </si>
  <si>
    <t>19-05-2023</t>
  </si>
  <si>
    <t>1,79</t>
  </si>
  <si>
    <t>milenca1993@gmail.com</t>
  </si>
  <si>
    <t>LAS TORCAZAS 596-2</t>
  </si>
  <si>
    <t>SVBH35</t>
  </si>
  <si>
    <t>JIMMY ALEJANDRO CORNEJO ROMO</t>
  </si>
  <si>
    <t>24-05-2023</t>
  </si>
  <si>
    <t>1,59</t>
  </si>
  <si>
    <t>JIMMY.CORNEJO.ROMO@GMAIL.COM</t>
  </si>
  <si>
    <t>PASAJE EL ANGEL</t>
  </si>
  <si>
    <t>C-8114-2026</t>
  </si>
  <si>
    <t>KUV 100</t>
  </si>
  <si>
    <t>JOCELYN GABRIELA CALFULEF LEVIO</t>
  </si>
  <si>
    <t>Fer_masias91@hotmail.com</t>
  </si>
  <si>
    <t>AVENIDA SAN JUAN 1237</t>
  </si>
  <si>
    <t>MACHALI</t>
  </si>
  <si>
    <t>C-17481-2025</t>
  </si>
  <si>
    <t>GCYP11</t>
  </si>
  <si>
    <t>NEW CERATO SX 1.6</t>
  </si>
  <si>
    <t>CARMEN ROSA MEDINA MENESES</t>
  </si>
  <si>
    <t>alonsitocm23@gmail.com</t>
  </si>
  <si>
    <t>PJE. FATIMA 324</t>
  </si>
  <si>
    <t>SWWG50</t>
  </si>
  <si>
    <t>MAURICIO ALEJANDRO DIAZ CARRIZO</t>
  </si>
  <si>
    <t>MAURICIO.75DIAZZ@GMAIL.COM</t>
  </si>
  <si>
    <t>AVDA EL MIRADOR</t>
  </si>
  <si>
    <t>C-17478-2025</t>
  </si>
  <si>
    <t>PYPG36</t>
  </si>
  <si>
    <t>X35</t>
  </si>
  <si>
    <t>TRANSPORTES KUYEN SPA</t>
  </si>
  <si>
    <t>1.435.906</t>
  </si>
  <si>
    <t>15-06-2023</t>
  </si>
  <si>
    <t>2,35</t>
  </si>
  <si>
    <t>TRANSPORTESKUYEN@GMAIL.COM</t>
  </si>
  <si>
    <t>LOS LIRIOS</t>
  </si>
  <si>
    <t>ANGOL</t>
  </si>
  <si>
    <t>C-15746-2025</t>
  </si>
  <si>
    <t>SXCF21</t>
  </si>
  <si>
    <t>SINOTRUK</t>
  </si>
  <si>
    <t>SITRAK G7</t>
  </si>
  <si>
    <t>MARCIA  ANDREA IBAÑEZ MATEO</t>
  </si>
  <si>
    <t>13-06-2023</t>
  </si>
  <si>
    <t>marcia.ibanezm@gmail.com</t>
  </si>
  <si>
    <t>VENTURA BLANCO VIEL 1321</t>
  </si>
  <si>
    <t>C-8116-2026</t>
  </si>
  <si>
    <t>SGHK16</t>
  </si>
  <si>
    <t>BRAYAN GIAMPIER  BAZAN VIGO</t>
  </si>
  <si>
    <t>brayanvigo06@gmail.com</t>
  </si>
  <si>
    <t>PASAJE SAN MARCOS 0187</t>
  </si>
  <si>
    <t>C-15736-2025</t>
  </si>
  <si>
    <t>SSSK49</t>
  </si>
  <si>
    <t>X55 1.5T AUT</t>
  </si>
  <si>
    <t>MARIA ELENA LEAL REYES</t>
  </si>
  <si>
    <t>20-06-2023</t>
  </si>
  <si>
    <t>buzaelena39@gmail.com</t>
  </si>
  <si>
    <t>QUECHU RURAL SN</t>
  </si>
  <si>
    <t>QUEILEN</t>
  </si>
  <si>
    <t>C-3847-2026</t>
  </si>
  <si>
    <t>SSKK91</t>
  </si>
  <si>
    <t>T6 CE COMFORT 2.0T DIESEL MT 4X2</t>
  </si>
  <si>
    <t>SEGUNDO MAURICIO MELLA FAUNDEZ</t>
  </si>
  <si>
    <t>30-06-2023</t>
  </si>
  <si>
    <t>smauricio.mella@gmail.com</t>
  </si>
  <si>
    <t>POUPIN 946</t>
  </si>
  <si>
    <t>C-13024-2025</t>
  </si>
  <si>
    <t>SSKZ84</t>
  </si>
  <si>
    <t>INGENIERIA, CONTROL Y GESTION SPA</t>
  </si>
  <si>
    <t>jorgeosorio@icggroup.cl</t>
  </si>
  <si>
    <t>CALLE PLUTON 107 POBL. MO</t>
  </si>
  <si>
    <t>C-8359-2026</t>
  </si>
  <si>
    <t>SRKY77</t>
  </si>
  <si>
    <t>BETSABÉ YESENIA SALAZAR QUIROZ</t>
  </si>
  <si>
    <t>17-07-2023</t>
  </si>
  <si>
    <t>RIRIFU@GMAIL.COM</t>
  </si>
  <si>
    <t>PASAJE MINERALES SUR</t>
  </si>
  <si>
    <t>C-15701-2024</t>
  </si>
  <si>
    <t>S2 1.5</t>
  </si>
  <si>
    <t>RUDYARD BARTOLOME CLIFT MUÑOZ</t>
  </si>
  <si>
    <t>22-08-2025</t>
  </si>
  <si>
    <t>22-07-2023</t>
  </si>
  <si>
    <t>2,89</t>
  </si>
  <si>
    <t>VALLE DEL SOL 3342  CONDOMINIO MONTESOL III DPTO. 401</t>
  </si>
  <si>
    <t>ALTO HOSPICIO</t>
  </si>
  <si>
    <t>C-17468-2025</t>
  </si>
  <si>
    <t>SYJP38</t>
  </si>
  <si>
    <t>KWID 1.0 HB ZEN2 4X2 MT</t>
  </si>
  <si>
    <t>JHOSEPT ALEJANDRO CARRASQUERO MONASTERIO</t>
  </si>
  <si>
    <t>27-07-2023</t>
  </si>
  <si>
    <t>jhosept224@gmail.com</t>
  </si>
  <si>
    <t>LOS SAUCES #544</t>
  </si>
  <si>
    <t>C-15757-2025</t>
  </si>
  <si>
    <t>SYBZ57</t>
  </si>
  <si>
    <t>X70 GLS MT</t>
  </si>
  <si>
    <t>FILADELFO ANTONIO  VILORIA  PEREZ</t>
  </si>
  <si>
    <t>1,7</t>
  </si>
  <si>
    <t>TONIVILORIA@GMAIL.COM</t>
  </si>
  <si>
    <t>SAN IGNACIO LOYOLA 952 DPTO 2011</t>
  </si>
  <si>
    <t>NEW VERSA ADVANCE CVT</t>
  </si>
  <si>
    <t>VICTOR HUGO MORAGA MORAGA</t>
  </si>
  <si>
    <t>14-08-2023</t>
  </si>
  <si>
    <t>2,39</t>
  </si>
  <si>
    <t>victorhugomoragamoraga1@gmail.com</t>
  </si>
  <si>
    <t>10 NORTE ENTRE 3 Y 4 ORIENTE 1040</t>
  </si>
  <si>
    <t>SYHB47</t>
  </si>
  <si>
    <t>SPRESSO 1.0</t>
  </si>
  <si>
    <t>JANNINA MAIBETT SILVA DEL CANTO</t>
  </si>
  <si>
    <t>18-08-2023</t>
  </si>
  <si>
    <t>1,65</t>
  </si>
  <si>
    <t>JANNINA.SILVA.D@GMAIL.COM</t>
  </si>
  <si>
    <t>MELIDA VASQUEZ</t>
  </si>
  <si>
    <t>MORNING 1626 1.0</t>
  </si>
  <si>
    <t>GUILLERMO ANTONIO TERRAZAS ROJAS</t>
  </si>
  <si>
    <t>15-02-2026</t>
  </si>
  <si>
    <t>21-08-2023</t>
  </si>
  <si>
    <t>TOOCHULETA@HOTMAIL.COM</t>
  </si>
  <si>
    <t>CALLE COPIAPO</t>
  </si>
  <si>
    <t>XV REGION</t>
  </si>
  <si>
    <t>C-10956-2025</t>
  </si>
  <si>
    <t>SBWJ35</t>
  </si>
  <si>
    <t>SPIN 1.8</t>
  </si>
  <si>
    <t>CARLOS ALBERTO MANRIQUEZ GARCIA</t>
  </si>
  <si>
    <t>22-08-2023</t>
  </si>
  <si>
    <t>carlos_manriquezf4@hotmail.com</t>
  </si>
  <si>
    <t>OSCAR BONILA 26 DEPTO 1603</t>
  </si>
  <si>
    <t>C-3850-2026</t>
  </si>
  <si>
    <t>SZKY81</t>
  </si>
  <si>
    <t>NEW BALENO 1.5 AT GLS</t>
  </si>
  <si>
    <t>nadia marjorie becerra roman</t>
  </si>
  <si>
    <t>nadbecerra@gmail.com</t>
  </si>
  <si>
    <t>AV ARTURO PRAT 1670 DEPTO 251</t>
  </si>
  <si>
    <t>SZRJ58</t>
  </si>
  <si>
    <t>CRETA GRAND MPI 2.0 AUT</t>
  </si>
  <si>
    <t>JOSÉ FRANCISCO RODRÍGUEZ GONZÁLEZ</t>
  </si>
  <si>
    <t>29-08-2023</t>
  </si>
  <si>
    <t>2,69</t>
  </si>
  <si>
    <t>JOSERODRIGUEZGONZALEZ.CL@GMAIL.COM</t>
  </si>
  <si>
    <t>CHACA 4170 - Ñuñoa</t>
  </si>
  <si>
    <t>C-3861-2026</t>
  </si>
  <si>
    <t>SZVP39</t>
  </si>
  <si>
    <t>ONIX</t>
  </si>
  <si>
    <t>CARLOS EDUARDO  GUERRA YAÑEZ</t>
  </si>
  <si>
    <t>28-08-2023</t>
  </si>
  <si>
    <t>guerrayanezcarlos@gmail.com</t>
  </si>
  <si>
    <t>SAN ISIDRO 250 DEPTO 2217</t>
  </si>
  <si>
    <t>C-9873-2025</t>
  </si>
  <si>
    <t>SWKW26</t>
  </si>
  <si>
    <t>JUAN CARLOS OSORIO PINTO</t>
  </si>
  <si>
    <t>2,37</t>
  </si>
  <si>
    <t>jcosoriop63@gmail.com</t>
  </si>
  <si>
    <t>LAS ROSAS4270DPTO C 102</t>
  </si>
  <si>
    <t>C-17461-2025</t>
  </si>
  <si>
    <t>RKKR32</t>
  </si>
  <si>
    <t>X55</t>
  </si>
  <si>
    <t>GONZALO JOAQUIN JEREZ PALMA</t>
  </si>
  <si>
    <t>gjerezpa@gmail.com</t>
  </si>
  <si>
    <t>San Martín 733            Dpto 1003</t>
  </si>
  <si>
    <t>C-6519-2026</t>
  </si>
  <si>
    <t>XVV060</t>
  </si>
  <si>
    <t>YZF-R7</t>
  </si>
  <si>
    <t>EDGARDO JOAQUIN RIVERA FERREIRA</t>
  </si>
  <si>
    <t>farlap@hotmail.cl</t>
  </si>
  <si>
    <t>PASAJE 6 CASA 38 VILLA ALTO PALOMARES</t>
  </si>
  <si>
    <t>C-6495-2026</t>
  </si>
  <si>
    <t>SZVH44</t>
  </si>
  <si>
    <t>GRAND I10 1.2 AUT</t>
  </si>
  <si>
    <t>MARÍA CECILIA  DÍAZ  MALDONADO</t>
  </si>
  <si>
    <t>25-09-2023</t>
  </si>
  <si>
    <t>2,5</t>
  </si>
  <si>
    <t>DIAZYMORENO@VTR.NET</t>
  </si>
  <si>
    <t>EL BOLLENAR ORIENTE 1 PARCELA 20</t>
  </si>
  <si>
    <t>C-17469-2025</t>
  </si>
  <si>
    <t>21-07-2026</t>
  </si>
  <si>
    <t>JACQUELINE ANDREA MUÑOZ PALMA</t>
  </si>
  <si>
    <t>22-09-2023</t>
  </si>
  <si>
    <t>jacquelinempalma@gmail.com</t>
  </si>
  <si>
    <t>CALLE DEL MAR 1287- LOTEO PLAZA DEL MAR</t>
  </si>
  <si>
    <t>C-11122-2025</t>
  </si>
  <si>
    <t>TBWB45</t>
  </si>
  <si>
    <t>SWIFT 4X2 1.2</t>
  </si>
  <si>
    <t>LUIS GUSTAVO PINO AROS</t>
  </si>
  <si>
    <t>LPINOAROS@GMAIL.COM</t>
  </si>
  <si>
    <t>CALLE LAS ARAUCARIAS</t>
  </si>
  <si>
    <t>C-3853-2026</t>
  </si>
  <si>
    <t>FKZS77</t>
  </si>
  <si>
    <t>Amarok</t>
  </si>
  <si>
    <t>JUAN ROBERTO VALERO VALERO</t>
  </si>
  <si>
    <t>1,25</t>
  </si>
  <si>
    <t>JVALEROV@GMAIL.COM</t>
  </si>
  <si>
    <t>MANUEL RODRIGUEZ</t>
  </si>
  <si>
    <t>XUV500 CRDE AWD 2.2</t>
  </si>
  <si>
    <t>LUIS ANDRÉS BÓRQUEZ MUÑOZ</t>
  </si>
  <si>
    <t>18-10-2023</t>
  </si>
  <si>
    <t>BORQUEZM.LUIS@GMAIL.COM</t>
  </si>
  <si>
    <t>DONALD CANTER PASAJE 17</t>
  </si>
  <si>
    <t>C-836-2026</t>
  </si>
  <si>
    <t>LGHB41</t>
  </si>
  <si>
    <t>NEW 3 1.6</t>
  </si>
  <si>
    <t>VICTORIA LEONOR HERNÁNDEZ GALAZ</t>
  </si>
  <si>
    <t>20-05-2026</t>
  </si>
  <si>
    <t>19-10-2023</t>
  </si>
  <si>
    <t>2,62</t>
  </si>
  <si>
    <t>letelier.le@gmail.com</t>
  </si>
  <si>
    <t>PASAJE 35 1651 DEPTO 31 VILLA LOS JARDINES</t>
  </si>
  <si>
    <t>C-15753-2025</t>
  </si>
  <si>
    <t>TCGS78</t>
  </si>
  <si>
    <t>T5L 1.8</t>
  </si>
  <si>
    <t>DANILO FROILAN SANCHEZ OROSTICA</t>
  </si>
  <si>
    <t>CMOLINAFLORES1981@GMAIL.COM</t>
  </si>
  <si>
    <t>PASAJE COIHUE</t>
  </si>
  <si>
    <t>CHIGUAYANTE</t>
  </si>
  <si>
    <t>C-17488-2025</t>
  </si>
  <si>
    <t>CRETA GS 1.6</t>
  </si>
  <si>
    <t>FEDERICO HUMBERTO CANAVES CANAVES</t>
  </si>
  <si>
    <t>23-10-2023</t>
  </si>
  <si>
    <t>FCO.CANAVES1955@GMAIL.COM</t>
  </si>
  <si>
    <t>PASAJE CANELO PLACILLA</t>
  </si>
  <si>
    <t>ALSVIN LUXURY</t>
  </si>
  <si>
    <t>MARÍA ELENA ARENAS VALDENEGRO</t>
  </si>
  <si>
    <t>sergiovargascifuentes@gmail.com</t>
  </si>
  <si>
    <t>SANTA TERESA DE LOS ANDES 14338</t>
  </si>
  <si>
    <t>TFHV51</t>
  </si>
  <si>
    <t>TM5 1.6L S/C E6</t>
  </si>
  <si>
    <t>FOOD SERVICE MONTENEGRO SPA</t>
  </si>
  <si>
    <t>20-04-2026</t>
  </si>
  <si>
    <t>martinagutierrez30000@gmail.com</t>
  </si>
  <si>
    <t>PEDRO AGUIRRE CERDA 781 SAN PEDRO</t>
  </si>
  <si>
    <t>C-14425-2025</t>
  </si>
  <si>
    <t>TCXW74</t>
  </si>
  <si>
    <t>GRAN MAMUT CARGO BOX</t>
  </si>
  <si>
    <t>INÉS DEL CARMEN COÑOMÁN LIZAMA</t>
  </si>
  <si>
    <t>angelgustavo1506@gmail.com</t>
  </si>
  <si>
    <t>Donatello 7073</t>
  </si>
  <si>
    <t>C-4785-2025</t>
  </si>
  <si>
    <t>SYTF62</t>
  </si>
  <si>
    <t>X70 1.5 GL MT</t>
  </si>
  <si>
    <t>MARIELA NELLY GUZMÁN CASTRO</t>
  </si>
  <si>
    <t>1,81</t>
  </si>
  <si>
    <t>MARIELAGUZMANCASTRO@HOTMAIL.COM</t>
  </si>
  <si>
    <t>AVENIDADA LA COLONIA ALERCE</t>
  </si>
  <si>
    <t>C-9000-2026</t>
  </si>
  <si>
    <t>16° JUZGADO CIVIL DE SANTIAGO</t>
  </si>
  <si>
    <t>S500</t>
  </si>
  <si>
    <t>DON RAMIRO SPA</t>
  </si>
  <si>
    <t>20-11-2023</t>
  </si>
  <si>
    <t>PREMIUM</t>
  </si>
  <si>
    <t>rami.gascorivera.78@gmail.com</t>
  </si>
  <si>
    <t>Pasaje Francisco Encina, 9225</t>
  </si>
  <si>
    <t>SZDL26</t>
  </si>
  <si>
    <t>X70 PLUS 1.6 DCT</t>
  </si>
  <si>
    <t>MARIA PIA ROJAS RAVEST</t>
  </si>
  <si>
    <t>15-11-2023</t>
  </si>
  <si>
    <t>2,57</t>
  </si>
  <si>
    <t>mariapiarojas67@gmail.com</t>
  </si>
  <si>
    <t>PASAJE LLANOS DE VARAS 6021</t>
  </si>
  <si>
    <t>C-22123-2024</t>
  </si>
  <si>
    <t>TBDD51</t>
  </si>
  <si>
    <t>CS15 VVT MT 1.5</t>
  </si>
  <si>
    <t>NELSON EDUARDO  CASTRO  MORENO</t>
  </si>
  <si>
    <t>nelson.castro.moreno@gmail.com</t>
  </si>
  <si>
    <t>AVENIDA JOSE PEDRO ALESSANDRI 1620 DPTO 708</t>
  </si>
  <si>
    <t>C-5130-2026</t>
  </si>
  <si>
    <t>TDRX47</t>
  </si>
  <si>
    <t>JOLION ELITE 1.5 AUT</t>
  </si>
  <si>
    <t>VICTOR MANUEL SEPULVEDA SCHAAF</t>
  </si>
  <si>
    <t>27-11-2023</t>
  </si>
  <si>
    <t>1,58</t>
  </si>
  <si>
    <t>VICTORSEPULVEDA23@GMAIL.COM</t>
  </si>
  <si>
    <t>EL BELLOTO</t>
  </si>
  <si>
    <t>PAPUDO</t>
  </si>
  <si>
    <t>C-19085-2024</t>
  </si>
  <si>
    <t>HONDA</t>
  </si>
  <si>
    <t>WRV EX 1.5L CVT</t>
  </si>
  <si>
    <t>CARLOS MOISES  FAUNDEZ RIVERA</t>
  </si>
  <si>
    <t>23-11-2023</t>
  </si>
  <si>
    <t>marcelo.contrerasf89@gmail.com</t>
  </si>
  <si>
    <t>MERCED 340</t>
  </si>
  <si>
    <t>TFFL63</t>
  </si>
  <si>
    <t>POER PLUS 4X4 2.0 AUT</t>
  </si>
  <si>
    <t>PATRICIA ANDREA HENRIQUEZ BERROETA</t>
  </si>
  <si>
    <t>25-02-2026</t>
  </si>
  <si>
    <t>14-12-2023</t>
  </si>
  <si>
    <t>PATRICIABERROETA@GMAIL.COM</t>
  </si>
  <si>
    <t>CALLE ESPERANZA</t>
  </si>
  <si>
    <t>C-19083-2024</t>
  </si>
  <si>
    <t>RSGF16</t>
  </si>
  <si>
    <t>JS4 1.6</t>
  </si>
  <si>
    <t>ANTONIETA MAGALI TRIGARI ZUÑIGA</t>
  </si>
  <si>
    <t>30-11-2025</t>
  </si>
  <si>
    <t>13-12-2023</t>
  </si>
  <si>
    <t>h.moraretamal@gmail.com</t>
  </si>
  <si>
    <t>CALLE 2 2711 PISO 1 CONJ CASA BLANCA LONTUE</t>
  </si>
  <si>
    <t>SYWP19</t>
  </si>
  <si>
    <t>X7 PLUS ELITE AT</t>
  </si>
  <si>
    <t>MARIELA ALEJANDRA BUSTAMANTE FLORES</t>
  </si>
  <si>
    <t>15-12-2023</t>
  </si>
  <si>
    <t>MANIBEPA@HOTMAIL.COM</t>
  </si>
  <si>
    <t>6 12 SUR</t>
  </si>
  <si>
    <t>TUCSON TL 2.0</t>
  </si>
  <si>
    <t>HIFFYT MARLENE AGUILERA  PEREZ</t>
  </si>
  <si>
    <t>hiffyta.19@gmail.com</t>
  </si>
  <si>
    <t>POZO ALMONTE 441</t>
  </si>
  <si>
    <t>C-6497-2026</t>
  </si>
  <si>
    <t>TDSK36</t>
  </si>
  <si>
    <t>SWIFT GL 1.2</t>
  </si>
  <si>
    <t>PRISCILLA FERNANDA  SALDÍAS  BARROS</t>
  </si>
  <si>
    <t>19-12-2023</t>
  </si>
  <si>
    <t>1,1</t>
  </si>
  <si>
    <t>PRISCILASALDIAS2@GMAIL.COM</t>
  </si>
  <si>
    <t>GRAL KORNER 237 DEPTO 403A</t>
  </si>
  <si>
    <t>C-4787-2025 </t>
  </si>
  <si>
    <t>NEW QASHQAI ADVANCE CVT</t>
  </si>
  <si>
    <t>DIXON HERNANDO GONZÁLEZ PUGA</t>
  </si>
  <si>
    <t>27-12-2023</t>
  </si>
  <si>
    <t>2,58</t>
  </si>
  <si>
    <t>dixon.g.puga@gmail.com</t>
  </si>
  <si>
    <t>SANTO DOMINGO 504 DEPTO 91</t>
  </si>
  <si>
    <t>C-2596-2025</t>
  </si>
  <si>
    <t>JYWX56</t>
  </si>
  <si>
    <t>RIO 5</t>
  </si>
  <si>
    <t>GABRIEL LEONARDO FUENTES NAMBRARD</t>
  </si>
  <si>
    <t>1,63</t>
  </si>
  <si>
    <t>GABNAMBRARD@GMAIL.COM</t>
  </si>
  <si>
    <t>CALLEJON CENDO SN</t>
  </si>
  <si>
    <t>C-14428-2025</t>
  </si>
  <si>
    <t>CARLA CRISTINA FUENTES CASTILLO</t>
  </si>
  <si>
    <t>15-07-2026</t>
  </si>
  <si>
    <t>22-01-2024</t>
  </si>
  <si>
    <t>CARLAFUENTESC@HOTMAIL.COM</t>
  </si>
  <si>
    <t>HERNÁN CORTÉS</t>
  </si>
  <si>
    <t>SANTA FE</t>
  </si>
  <si>
    <t>PABLO  CÉSAR LÓPEZ RIQUELME</t>
  </si>
  <si>
    <t>24-08-2025</t>
  </si>
  <si>
    <t>25-01-2024</t>
  </si>
  <si>
    <t>1,4</t>
  </si>
  <si>
    <t>PABLOLOPEZR1610@GMAIL.COM</t>
  </si>
  <si>
    <t>AMADO NERVO</t>
  </si>
  <si>
    <t>CX5 4X4 OTTO 2.0 AT</t>
  </si>
  <si>
    <t>JUAN CARLOS GOTA ROJAS</t>
  </si>
  <si>
    <t>24-11-2025</t>
  </si>
  <si>
    <t>29-01-2024</t>
  </si>
  <si>
    <t>JUANGOTAFHC@GMAIL.COM</t>
  </si>
  <si>
    <t>LOS PEHUENCHES</t>
  </si>
  <si>
    <t>C-19086-2024</t>
  </si>
  <si>
    <t>XUV 500  4X4</t>
  </si>
  <si>
    <t>MILENA JOHANA VERGARA VERGARA</t>
  </si>
  <si>
    <t>26-01-2024</t>
  </si>
  <si>
    <t>MILENAVERGARA@GMAIL.COM</t>
  </si>
  <si>
    <t>C-4711-2025</t>
  </si>
  <si>
    <t>ALL NEW CX 30  2.0 AUT</t>
  </si>
  <si>
    <t>MIGUEL ANGEL CAMPOS CID</t>
  </si>
  <si>
    <t>Paula.andreauibar@gmail.com</t>
  </si>
  <si>
    <t>Pasaje Eneas 9122</t>
  </si>
  <si>
    <t>C-8115-2026</t>
  </si>
  <si>
    <t>TGSL82</t>
  </si>
  <si>
    <t>X70</t>
  </si>
  <si>
    <t>LUIS ALEJANDRO ESPINOZA ARABIA</t>
  </si>
  <si>
    <t>luisespi@gmail.com</t>
  </si>
  <si>
    <t>PJE 10 CASA 959 T. MERINO II</t>
  </si>
  <si>
    <t>C-6490-2026</t>
  </si>
  <si>
    <t>THLC31</t>
  </si>
  <si>
    <t>KYX3 1.5L MT STD</t>
  </si>
  <si>
    <t>LUZ MARCELA LOPEZ BEAS</t>
  </si>
  <si>
    <t>16-02-2024</t>
  </si>
  <si>
    <t>CARLOSVERA4132@GMAIL.COM</t>
  </si>
  <si>
    <t>CALLE CENTRAL</t>
  </si>
  <si>
    <t>7º Juzgado Civil de Santiago</t>
  </si>
  <si>
    <t>C-16659-2024</t>
  </si>
  <si>
    <t>POER 2.0 TD 4X4</t>
  </si>
  <si>
    <t>BERNARDO ALFONSO SAGARDÍA JARA</t>
  </si>
  <si>
    <t>22-11-2025</t>
  </si>
  <si>
    <t>20-02-2024</t>
  </si>
  <si>
    <t>2,8</t>
  </si>
  <si>
    <t>balfonsosagra@outlook.com</t>
  </si>
  <si>
    <t>IGNACIO CARRERA PINTO 0489</t>
  </si>
  <si>
    <t>C-3848-2026</t>
  </si>
  <si>
    <t>TGSR99</t>
  </si>
  <si>
    <t>MIDI 1.2 C/S E6</t>
  </si>
  <si>
    <t>MAYRA MARISELA SALAS TRONCOSO</t>
  </si>
  <si>
    <t>21-02-2024</t>
  </si>
  <si>
    <t>MAYRASALAS.TS@GMAIL.COM</t>
  </si>
  <si>
    <t>VOLCAN YATES</t>
  </si>
  <si>
    <t>ARAUCO</t>
  </si>
  <si>
    <t>RSBY98</t>
  </si>
  <si>
    <t>IGNACIO ALEJANDRO NAVARRETE DIAZ</t>
  </si>
  <si>
    <t>23-02-2024</t>
  </si>
  <si>
    <t>ignaciond11@gmail.com</t>
  </si>
  <si>
    <t>CALLE LOS ALCALDES 0527</t>
  </si>
  <si>
    <t>C-15759-2025</t>
  </si>
  <si>
    <t>TCKC41</t>
  </si>
  <si>
    <t>SAMUEL RODRIGO AGUILERA CARTER</t>
  </si>
  <si>
    <t>22-02-2024</t>
  </si>
  <si>
    <t>samuel1@gmail.com</t>
  </si>
  <si>
    <t>LOS CASTAÑOS 108, SECTOR ROTONDA COLLIN</t>
  </si>
  <si>
    <t>THWX12</t>
  </si>
  <si>
    <t>ACCENT BN7i 1.5 MT PLUS</t>
  </si>
  <si>
    <t>CLAUDIA ORIETTA FREDES BARRERA</t>
  </si>
  <si>
    <t>15-05-2026</t>
  </si>
  <si>
    <t>FERNANDA@GMAIL.COM</t>
  </si>
  <si>
    <t>LA SINFONIA</t>
  </si>
  <si>
    <t>C-5515-2025</t>
  </si>
  <si>
    <t>BALENO</t>
  </si>
  <si>
    <t>DANISA JOHANNA VILCHES ROJAS</t>
  </si>
  <si>
    <t>DANISAAPR@GMAIL.COM</t>
  </si>
  <si>
    <t>JOSE VICENTE BLANCO</t>
  </si>
  <si>
    <t>C-11272-2025</t>
  </si>
  <si>
    <t>C30.1.5</t>
  </si>
  <si>
    <t>WADSON CELESTIN</t>
  </si>
  <si>
    <t>14-03-2024</t>
  </si>
  <si>
    <t>CELESTINWADSON08@GMAIL.COM</t>
  </si>
  <si>
    <t>PASAJE PADRE HURTADO</t>
  </si>
  <si>
    <t>GRAND I10 BA GLS 1.2</t>
  </si>
  <si>
    <t>JOSE DOMINGO MELLA GALVEZ</t>
  </si>
  <si>
    <t>13-03-2024</t>
  </si>
  <si>
    <t>mellafernandoipaula@gmail.com</t>
  </si>
  <si>
    <t>PASAJE ISLA MOCHA 0441</t>
  </si>
  <si>
    <t>C-6496-2026</t>
  </si>
  <si>
    <t>TGRK70</t>
  </si>
  <si>
    <t>X7 PLUS 1.5</t>
  </si>
  <si>
    <t>JOHANA ELIZABETH FUENTES VEJAR</t>
  </si>
  <si>
    <t>20-03-2024</t>
  </si>
  <si>
    <t>JOBY.FUENTES@GMAIL.COM</t>
  </si>
  <si>
    <t>LAS MERLUZAS POBLACION LOS LOBOS VIEJOS</t>
  </si>
  <si>
    <t>TALCAHUANO</t>
  </si>
  <si>
    <t>COMPASS SPORT</t>
  </si>
  <si>
    <t>YARI JONATHAN DÍAZ LICUIME</t>
  </si>
  <si>
    <t>22-02-2026</t>
  </si>
  <si>
    <t>22-03-2024</t>
  </si>
  <si>
    <t>yari_diazl@hotmail.com</t>
  </si>
  <si>
    <t>merced 1466</t>
  </si>
  <si>
    <t>VALLENAR</t>
  </si>
  <si>
    <t>JFHB73</t>
  </si>
  <si>
    <t>CHEROKEE LONGITUDE 4X4 2.4 AUT</t>
  </si>
  <si>
    <t>EDITH JAEL REINOSO MARIN</t>
  </si>
  <si>
    <t>15-11-2025</t>
  </si>
  <si>
    <t>21-03-2024</t>
  </si>
  <si>
    <t>2,46</t>
  </si>
  <si>
    <t>edithrein@yahoo.es</t>
  </si>
  <si>
    <t>CHILOE 735</t>
  </si>
  <si>
    <t>C-3844-2026</t>
  </si>
  <si>
    <t>TJDD39</t>
  </si>
  <si>
    <t>MD301 PLUS CARGO BOX AC ESP</t>
  </si>
  <si>
    <t>A</t>
  </si>
  <si>
    <t>FRANK ELIECER VILLAGRA RAMÍREZ</t>
  </si>
  <si>
    <t>15-03-2026</t>
  </si>
  <si>
    <t>25-03-2024</t>
  </si>
  <si>
    <t>2,18</t>
  </si>
  <si>
    <t>Frankvillagra262@gmail.com</t>
  </si>
  <si>
    <t>PASAJE JOSE VERASATEI 1685</t>
  </si>
  <si>
    <t>GDWR64</t>
  </si>
  <si>
    <t>FRONTIER</t>
  </si>
  <si>
    <t>JEANNETTE MIREYA PALMA POBLETE</t>
  </si>
  <si>
    <t>27-03-2024</t>
  </si>
  <si>
    <t>F.SOTOPALMA1993@GMAIL.COM</t>
  </si>
  <si>
    <t>YAEZ PINZON</t>
  </si>
  <si>
    <t>KBDD25</t>
  </si>
  <si>
    <t>CLA 220</t>
  </si>
  <si>
    <t>MARIO ALEJANDRO NAHUELPAN FIERRO</t>
  </si>
  <si>
    <t>y.carola.leiva@gmail.com</t>
  </si>
  <si>
    <t>ROSA FRANCIA 320 VILLA EL TREBOL</t>
  </si>
  <si>
    <t>TDVX63</t>
  </si>
  <si>
    <t>CS55 LUXURY MT</t>
  </si>
  <si>
    <t>LUZVENIA DEL CARMEN FIGUEROA REPOL</t>
  </si>
  <si>
    <t>27-04-2026</t>
  </si>
  <si>
    <t>HJARAMILLOF@HOTMAIL.COM</t>
  </si>
  <si>
    <t>ANGACHILLA</t>
  </si>
  <si>
    <t>C-837-2026</t>
  </si>
  <si>
    <t>T60  DCAB 4X4 2.8</t>
  </si>
  <si>
    <t>HERNAN ALEXIS LIQUITAY CORTES</t>
  </si>
  <si>
    <t>25-06-2026</t>
  </si>
  <si>
    <t>H.LIQUITAY@HOTMAIL.COM</t>
  </si>
  <si>
    <t>CORNELIO GUZMAN</t>
  </si>
  <si>
    <t>C-3903-2025</t>
  </si>
  <si>
    <t>CERATO EX 1.6</t>
  </si>
  <si>
    <t>PAUL DENIS FRANCISCO  CABEZAS  LÓPEZ</t>
  </si>
  <si>
    <t>PAULK1972K@GMAIL.COM</t>
  </si>
  <si>
    <t>PASAJE TRES PINOS 0368</t>
  </si>
  <si>
    <t>C-2590-2025</t>
  </si>
  <si>
    <t>PEDRO ANTONIO MOLINEZ CONTRERAS</t>
  </si>
  <si>
    <t>1,3</t>
  </si>
  <si>
    <t>PMOLINEZ@KOANDINA.COM</t>
  </si>
  <si>
    <t>PASAJE VOLCAN APAGADO</t>
  </si>
  <si>
    <t>C-5131-2026</t>
  </si>
  <si>
    <t>X 70 1.5</t>
  </si>
  <si>
    <t>PAULINA ANDREA BALLADARES ESTOLAZA</t>
  </si>
  <si>
    <t>pballadares@copec.cl</t>
  </si>
  <si>
    <t>ESTACION DE LOS VIENTOS 289</t>
  </si>
  <si>
    <t>C-840-2026</t>
  </si>
  <si>
    <t>TJXV53</t>
  </si>
  <si>
    <t>AEOLUS GS CROSS</t>
  </si>
  <si>
    <t>CRISTIAN EDUARDO OVANDO SEPÚLVEDA</t>
  </si>
  <si>
    <t>vgomez@gamil.com</t>
  </si>
  <si>
    <t>CALLE RIO MAULLIN PASAJE 7 N 1770</t>
  </si>
  <si>
    <t>C-3843-2026</t>
  </si>
  <si>
    <t>TJST63</t>
  </si>
  <si>
    <t>JS4 MT 1.6</t>
  </si>
  <si>
    <t>ELENA TERCIRA RIVAS JIMÉNEZ</t>
  </si>
  <si>
    <t>15-04-2024</t>
  </si>
  <si>
    <t>NATYYPRIVAS@GMAIL.COM</t>
  </si>
  <si>
    <t>LAS DALIAS</t>
  </si>
  <si>
    <t>C-22164-2024</t>
  </si>
  <si>
    <t>NEW H1 GLS  2.5</t>
  </si>
  <si>
    <t>GABRIEL ANTONIO IBAÑEZ ORTUYA</t>
  </si>
  <si>
    <t>16-04-2024</t>
  </si>
  <si>
    <t>IBANEZG451@GMAIL.COM</t>
  </si>
  <si>
    <t>VILLA LONGAVI</t>
  </si>
  <si>
    <t>C-8139-2026</t>
  </si>
  <si>
    <t>X25</t>
  </si>
  <si>
    <t>NICOL VANESSA RIVERA SANHUEZA</t>
  </si>
  <si>
    <t>17-04-2024</t>
  </si>
  <si>
    <t>NICOLE.V.RIVERAS31@GMAIL.COM</t>
  </si>
  <si>
    <t>DIRIGENTE HECTOR CORDOVA BARRAZA</t>
  </si>
  <si>
    <t>C-6729-2025</t>
  </si>
  <si>
    <t>TERESA DE JESÚS CAVADA VERGARA</t>
  </si>
  <si>
    <t>30-04-2024</t>
  </si>
  <si>
    <t>Perezcontrerask@gmail.com</t>
  </si>
  <si>
    <t>Pasaje la barcasa 2256</t>
  </si>
  <si>
    <t>C-17502-2025</t>
  </si>
  <si>
    <t>TKXS18</t>
  </si>
  <si>
    <t>X70 PLUS 1.5 AT</t>
  </si>
  <si>
    <t>JAIME ALEXIS CUELLO CARVAJAL</t>
  </si>
  <si>
    <t>jaimecuello@gmail.com</t>
  </si>
  <si>
    <t>MARCELO BACHELET 16</t>
  </si>
  <si>
    <t>TKHS39</t>
  </si>
  <si>
    <t>FERNANDO RAÚL FERNÁNDEZ ZAVALA</t>
  </si>
  <si>
    <t>EMPRESASFERNANDEZZAVALA@HOTMAIL.COM</t>
  </si>
  <si>
    <t>PUNTA ARENAS # 5938 POBL O HIGGINS</t>
  </si>
  <si>
    <t>TJVV12</t>
  </si>
  <si>
    <t>T3</t>
  </si>
  <si>
    <t>JOSÉ ALFREDO SAN MARTÍN PINTO</t>
  </si>
  <si>
    <t>24-09-2025</t>
  </si>
  <si>
    <t>24-05-2024</t>
  </si>
  <si>
    <t>jsanmartinp4@gmail.com</t>
  </si>
  <si>
    <t>nataniel cox 820</t>
  </si>
  <si>
    <t>KSWK67</t>
  </si>
  <si>
    <t>C30</t>
  </si>
  <si>
    <t>JUAN RUBEN LOPEZ ASTORGA</t>
  </si>
  <si>
    <t>22-05-2024</t>
  </si>
  <si>
    <t>rubenka2005@gmail.com</t>
  </si>
  <si>
    <t>AV. CIRCUNVALACION 1751 BLOCK 890 DPTO 102</t>
  </si>
  <si>
    <t>TLYV34</t>
  </si>
  <si>
    <t>CS55 TURBO 1.5</t>
  </si>
  <si>
    <t>MARTA ELENA  AEDO JARA</t>
  </si>
  <si>
    <t>25-05-2024</t>
  </si>
  <si>
    <t>SERENA 334 HIGUERAS</t>
  </si>
  <si>
    <t>C-8122-2026</t>
  </si>
  <si>
    <t>TLPW27</t>
  </si>
  <si>
    <t>BALENO 4X2 1.5</t>
  </si>
  <si>
    <t>MANUEL FERMÍN VERGARA ZAMORANO</t>
  </si>
  <si>
    <t>28-05-2024</t>
  </si>
  <si>
    <t>cristophervergara@gmail.com</t>
  </si>
  <si>
    <t>pasaje 10 #8 Villa nuevo amanecer</t>
  </si>
  <si>
    <t>C-17507-2025</t>
  </si>
  <si>
    <t>TFYF61</t>
  </si>
  <si>
    <t>MIDI CABINA DOBLE 1.3</t>
  </si>
  <si>
    <t>PILAR ISABEL SEPÚLVEDA OLATE</t>
  </si>
  <si>
    <t>31-05-2024</t>
  </si>
  <si>
    <t>branko.restovic.s@gmail.com</t>
  </si>
  <si>
    <t>TERESA WILMS MONTT 2260 BALTICO EDIFICIO BALTICO DEPTO 2206</t>
  </si>
  <si>
    <t>C-5517-2025</t>
  </si>
  <si>
    <t>TGKY99</t>
  </si>
  <si>
    <t>REXTON SPORT 2.2 AUT</t>
  </si>
  <si>
    <t>ROSA RAQUEL DE LOURDES VASQUEZ VASQUEZ</t>
  </si>
  <si>
    <t>rosavasquezv@gmail.com</t>
  </si>
  <si>
    <t>PUPELDE SN</t>
  </si>
  <si>
    <t>ANCUD</t>
  </si>
  <si>
    <t>SZGZ41</t>
  </si>
  <si>
    <t>JS4 1.5 LUXURY</t>
  </si>
  <si>
    <t>ARNALDO ANDRES PRADO FARFAN</t>
  </si>
  <si>
    <t>facupradof@gmail.com</t>
  </si>
  <si>
    <t>MIRAFLORES 299</t>
  </si>
  <si>
    <t>DOÑIHUE</t>
  </si>
  <si>
    <t>CS55</t>
  </si>
  <si>
    <t>EMPRESA FUNERARIA Y CINERARIO RIQUELME MARLENE PADILLA SALAS E.I.R.L.</t>
  </si>
  <si>
    <t>rodrigo.1401@gmail.com</t>
  </si>
  <si>
    <t>MANUEL ANTONIO MATTA 349</t>
  </si>
  <si>
    <t>COINCO</t>
  </si>
  <si>
    <t>C-834-2026</t>
  </si>
  <si>
    <t>TFYC52</t>
  </si>
  <si>
    <t>GRAND LION XL 4X4 AT</t>
  </si>
  <si>
    <t>JEANNETTE LUZ CARDENAS LAGOS</t>
  </si>
  <si>
    <t>yariyvicente@gmail.com</t>
  </si>
  <si>
    <t>VISTA DE PUERTO VARAS</t>
  </si>
  <si>
    <t>C-2257-2026</t>
  </si>
  <si>
    <t>JAC (05)</t>
  </si>
  <si>
    <t>PAMELA KATERIN MEDEL LIZANA</t>
  </si>
  <si>
    <t>1,62</t>
  </si>
  <si>
    <t>PKMEDEL@GMAIL.COM</t>
  </si>
  <si>
    <t>AV MACUL</t>
  </si>
  <si>
    <t>C-15763-2025</t>
  </si>
  <si>
    <t>NEW CS35 ELITE 1.4 AUT</t>
  </si>
  <si>
    <t>FRANCISCO JAVIER AYULEF LARA</t>
  </si>
  <si>
    <t>JLARAFCO.1989@GMAIL.COM</t>
  </si>
  <si>
    <t>FRESIA</t>
  </si>
  <si>
    <t>CURARREHUE</t>
  </si>
  <si>
    <t>MARIA FERNANDA RIOS A</t>
  </si>
  <si>
    <t>MARIAFERNANDARIOSABOGADA@GMAIL.COM</t>
  </si>
  <si>
    <t>MONTE ACONCAGUA</t>
  </si>
  <si>
    <t>NEW BALENO GLS HB 1.5 AUT</t>
  </si>
  <si>
    <t>NICOLE MACARENA YAÑEZ TAJAN</t>
  </si>
  <si>
    <t>13-07-2024</t>
  </si>
  <si>
    <t>nico.yanez.t@hotmail.com</t>
  </si>
  <si>
    <t>AVENIDA MARATHON 1551</t>
  </si>
  <si>
    <t>C-15755-2025</t>
  </si>
  <si>
    <t>HERNÁN ENRIQUE GONZÁLEZ MUÑOZ</t>
  </si>
  <si>
    <t>18-07-2024</t>
  </si>
  <si>
    <t>2,19</t>
  </si>
  <si>
    <t>ZAMORANORAMOSVIVIANA@GMAIL.COM</t>
  </si>
  <si>
    <t>JOSE CAROCA 2087-V</t>
  </si>
  <si>
    <t>TPZW36</t>
  </si>
  <si>
    <t>G7 4x2</t>
  </si>
  <si>
    <t>TANIA FRANCHESCA JARA MARDONES</t>
  </si>
  <si>
    <t>17-07-2024</t>
  </si>
  <si>
    <t>TANIA.JARA6@GMAIL.COM</t>
  </si>
  <si>
    <t>PALMA REAL</t>
  </si>
  <si>
    <t>CERATO 5 SX 1.6</t>
  </si>
  <si>
    <t>FRANCISCO JAVIER CHAVEZ FLORES</t>
  </si>
  <si>
    <t>19-07-2024</t>
  </si>
  <si>
    <t>cobreloinosiempre@gmail.com</t>
  </si>
  <si>
    <t>PASAJE ALEJANDRO GALAZ 1365</t>
  </si>
  <si>
    <t>C-5132-2026</t>
  </si>
  <si>
    <t>TPYL98</t>
  </si>
  <si>
    <t>T5 1.6 MT</t>
  </si>
  <si>
    <t>INGRID ALEJANDRA SANDOVAL MARDONES</t>
  </si>
  <si>
    <t>24-07-2024</t>
  </si>
  <si>
    <t>IASM1977@HOTMAIL.COM</t>
  </si>
  <si>
    <t>PASAJE</t>
  </si>
  <si>
    <t>C-13000-2025</t>
  </si>
  <si>
    <t>VENUE</t>
  </si>
  <si>
    <t>MARIANTONIETA ZUBILLAGA CACERES</t>
  </si>
  <si>
    <t>Od.mzubillaga@gmail.com</t>
  </si>
  <si>
    <t>Condell 650, departamento 1006</t>
  </si>
  <si>
    <t>SVPY49</t>
  </si>
  <si>
    <t>MAMUT CARGO V5</t>
  </si>
  <si>
    <t>VICTOR ISMAEL DIAZ RIQUELME</t>
  </si>
  <si>
    <t>victor.ismael.diaz@gmail.com</t>
  </si>
  <si>
    <t>ROSALBA PEREIRA SUR CASA 115</t>
  </si>
  <si>
    <t>C-17485-2025</t>
  </si>
  <si>
    <t>HAVAL JOLION 1.5T MT 4X2 ELITE</t>
  </si>
  <si>
    <t>LUIS ALBERTO BARRÍA TRIVIÑO</t>
  </si>
  <si>
    <t>13-08-2024</t>
  </si>
  <si>
    <t>luisalbertobarria@hotmail.com</t>
  </si>
  <si>
    <t>OHIGGINS 302</t>
  </si>
  <si>
    <t>PAILLACO</t>
  </si>
  <si>
    <t>C-15752-2025</t>
  </si>
  <si>
    <t>TRVB80</t>
  </si>
  <si>
    <t>G7 2.0L MT 4X4 E6 LITE</t>
  </si>
  <si>
    <t>JUAN SEBASTIAN ABURTO ARREDONDO</t>
  </si>
  <si>
    <t>14-08-2024</t>
  </si>
  <si>
    <t>jaburto1301@gmail.com</t>
  </si>
  <si>
    <t>HILDA CRUZ COLINA 9511</t>
  </si>
  <si>
    <t>C-8133-2026</t>
  </si>
  <si>
    <t>SHINERAY</t>
  </si>
  <si>
    <t>T32 MINI TRUCK CD 1.6 5MT ELT</t>
  </si>
  <si>
    <t>FRANCISCA KARINA LINEROS GARRIDO</t>
  </si>
  <si>
    <t>26-06-2026</t>
  </si>
  <si>
    <t>28-08-2024</t>
  </si>
  <si>
    <t>1,66</t>
  </si>
  <si>
    <t>FRANCISCA.LINEROSG@GMAIL.COM</t>
  </si>
  <si>
    <t>MINERALES SUR</t>
  </si>
  <si>
    <t>TRACKER 1.2T AUT</t>
  </si>
  <si>
    <t>FRANCO INFANTE BASTIAS</t>
  </si>
  <si>
    <t>23-08-2024</t>
  </si>
  <si>
    <t>f.infanteb@hotmail.com</t>
  </si>
  <si>
    <t>PORTUGAL 810 P21 DEPTO 2101</t>
  </si>
  <si>
    <t>C-15745-2025</t>
  </si>
  <si>
    <t>SWIFT 1.2 GL SPORT</t>
  </si>
  <si>
    <t>AXEL MAURCIO BRAVO BRAVO</t>
  </si>
  <si>
    <t>NORMALIZADO</t>
  </si>
  <si>
    <t>axel.bravo.ingeniero@gmail.com</t>
  </si>
  <si>
    <t>MIGUEL AGUIRRE PERRY 2067</t>
  </si>
  <si>
    <t>LUCIA ANDREA GAJARDO AGUILUZ</t>
  </si>
  <si>
    <t>16-09-2024</t>
  </si>
  <si>
    <t>2,14</t>
  </si>
  <si>
    <t>andrea_aguiluz1@hotmail.com</t>
  </si>
  <si>
    <t>PASAJE ODESSA 2755</t>
  </si>
  <si>
    <t>C-11260-2025</t>
  </si>
  <si>
    <t>UNI-K ELITE</t>
  </si>
  <si>
    <t>EDER AARON PINCHEIRA JERIA</t>
  </si>
  <si>
    <t>24-07-2025</t>
  </si>
  <si>
    <t>23-09-2024</t>
  </si>
  <si>
    <t>Pincheira_live@hotmail.com</t>
  </si>
  <si>
    <t>MARCELINO CHAMPAGNAT 308 D</t>
  </si>
  <si>
    <t>C-15754-2025</t>
  </si>
  <si>
    <t>TRRG68</t>
  </si>
  <si>
    <t>T5L 1.8 LUX</t>
  </si>
  <si>
    <t>ELIAS EDUARDO RIQUELME SAN JUAN</t>
  </si>
  <si>
    <t>30-08-2025</t>
  </si>
  <si>
    <t>24-09-2024</t>
  </si>
  <si>
    <t>elias.riquelme0@gmail.com</t>
  </si>
  <si>
    <t>AVDA LITORAL 335</t>
  </si>
  <si>
    <t>SANTO DOMINGO</t>
  </si>
  <si>
    <t>C-919-2026</t>
  </si>
  <si>
    <t>MANUEL ALEJANDRO MUÑOZ FIERRO</t>
  </si>
  <si>
    <t>26-09-2024</t>
  </si>
  <si>
    <t>manuel.munoz@gmail.com</t>
  </si>
  <si>
    <t>PASAJE 2 NUMERO 4185 GRAN BRETAÑA</t>
  </si>
  <si>
    <t>HUALPEN</t>
  </si>
  <si>
    <t>C-6499-2026</t>
  </si>
  <si>
    <t>TPCF92</t>
  </si>
  <si>
    <t>X35 1.5T MT COMFORT</t>
  </si>
  <si>
    <t>ALEJANDRO PATRICIO NIETO SALFATE</t>
  </si>
  <si>
    <t>16-06-2026</t>
  </si>
  <si>
    <t>MAF</t>
  </si>
  <si>
    <t>SALITRERA CONDOR 602 EL PALOMAR</t>
  </si>
  <si>
    <t>C-4039-2025</t>
  </si>
  <si>
    <t>YARIS CROSS HEV</t>
  </si>
  <si>
    <t>RAMON ANDRES VERGARA MARCHANT</t>
  </si>
  <si>
    <t>vergarar634@gmail.com</t>
  </si>
  <si>
    <t>ONCE NORTE 1272</t>
  </si>
  <si>
    <t>C-14442-2025</t>
  </si>
  <si>
    <t>HAVAL JOLION 1.5T MT 2WD ACTIVE F2</t>
  </si>
  <si>
    <t>CAMILLE BOZZO ALBORNOZ</t>
  </si>
  <si>
    <t>2,11</t>
  </si>
  <si>
    <t>CAMILLEBOZZOALBORNOZ@GMAIL.COM</t>
  </si>
  <si>
    <t>SIEMPRE VIVA 0294</t>
  </si>
  <si>
    <t>EL QUISCO</t>
  </si>
  <si>
    <t>SBVF18</t>
  </si>
  <si>
    <t>TIGGO 7 PRO GLS CVT</t>
  </si>
  <si>
    <t>DANIELA CARRIZO ESCANILLA</t>
  </si>
  <si>
    <t>danimdeys@gmail.com</t>
  </si>
  <si>
    <t>EL MOLINO 1696 49</t>
  </si>
  <si>
    <t>TPSY42</t>
  </si>
  <si>
    <t>GRAND I 10 AI3 HB 1.2 MT PLUS FL</t>
  </si>
  <si>
    <t>EDUARDO LUIS RIVERO PEÑA</t>
  </si>
  <si>
    <t>30-10-2025</t>
  </si>
  <si>
    <t>EDLUIS07@GMAIL.COM</t>
  </si>
  <si>
    <t>CALLE LA CONCEPCION</t>
  </si>
  <si>
    <t>C-2259-2026</t>
  </si>
  <si>
    <t>SEBASTIAN EDUARDO TORRES MUÑOZ</t>
  </si>
  <si>
    <t>SBASTIANTORRES.M@GMAIL.COM</t>
  </si>
  <si>
    <t>LOS MILAGROS</t>
  </si>
  <si>
    <t>C-2409-2026</t>
  </si>
  <si>
    <t>KICKS</t>
  </si>
  <si>
    <t>GERARDO AURELIO ANIÑIR ANTIMÁN</t>
  </si>
  <si>
    <t>1,8</t>
  </si>
  <si>
    <t>GERARDOANINIRA@GMAIL.COM</t>
  </si>
  <si>
    <t>AV AMERICO VESPUCIO</t>
  </si>
  <si>
    <t>QASHQAI 2.0</t>
  </si>
  <si>
    <t>AILIN ALEJANDRA GARRIDO AMARO</t>
  </si>
  <si>
    <t>28-11-2025</t>
  </si>
  <si>
    <t>ailin.gamar@hotmail.com</t>
  </si>
  <si>
    <t>CALLE 20 SUR 0234</t>
  </si>
  <si>
    <t>C-5128-2026</t>
  </si>
  <si>
    <t>SVGG14</t>
  </si>
  <si>
    <t>JS8 TURBO DCT 1.5 AUT</t>
  </si>
  <si>
    <t>JOSÉ LUIS  GARRIDO  JAÑA</t>
  </si>
  <si>
    <t>17-10-2024</t>
  </si>
  <si>
    <t>JOSEGARRIDOJANA@GMAIL.COM</t>
  </si>
  <si>
    <t>AV QUILIN 4931 P.16 DPTO.1616</t>
  </si>
  <si>
    <t>C-17492-2025</t>
  </si>
  <si>
    <t>KICKS ADVANCE MT</t>
  </si>
  <si>
    <t>MARICEL DEL CARMEN ZAPATA LARA</t>
  </si>
  <si>
    <t>24-10-2024</t>
  </si>
  <si>
    <t>lachispita.z73@gmail.com</t>
  </si>
  <si>
    <t>PJ LLANCOLEN 921 -P. CONQUISTA DE PAINE</t>
  </si>
  <si>
    <t>TORRES DEL PAINE</t>
  </si>
  <si>
    <t>C-15758-2025</t>
  </si>
  <si>
    <t>MD201 CARGO BOX PUERTA LAT</t>
  </si>
  <si>
    <t>RENE ALEJANDRO BECERRA TRONCOSO</t>
  </si>
  <si>
    <t>2,13</t>
  </si>
  <si>
    <t>renebecerra@gmail.com</t>
  </si>
  <si>
    <t>PASAJE MICHAY 0752</t>
  </si>
  <si>
    <t>C-17480-2025</t>
  </si>
  <si>
    <t>JORGE LUCIANO LOPEZ ARAYA</t>
  </si>
  <si>
    <t>jorgelopezaraya@gmail.com</t>
  </si>
  <si>
    <t>CADETE MARTÍNEZ 2039</t>
  </si>
  <si>
    <t>XUV300 W8(O)</t>
  </si>
  <si>
    <t>SEBASTIAN AARON RIVERA MONJE</t>
  </si>
  <si>
    <t>s.aaron.rivera@gmail.com</t>
  </si>
  <si>
    <t>AVENIDA SAN MARTIN 1330 132</t>
  </si>
  <si>
    <t>C-8123-2026</t>
  </si>
  <si>
    <t>MAZDA3 SP HIGH 2.5 7G 6AT</t>
  </si>
  <si>
    <t>CLAUDIO ALBERTO MOLINA CHÁVEZ</t>
  </si>
  <si>
    <t>19-04-2026</t>
  </si>
  <si>
    <t>18-11-2024</t>
  </si>
  <si>
    <t>2,15</t>
  </si>
  <si>
    <t>claudiomchz@gmail.com</t>
  </si>
  <si>
    <t>LOS GIRASOLES CASA 25</t>
  </si>
  <si>
    <t>C-5133-2026</t>
  </si>
  <si>
    <t>TWCL43</t>
  </si>
  <si>
    <t>RICH 6 4X4 2.3</t>
  </si>
  <si>
    <t>MEI LI</t>
  </si>
  <si>
    <t>27-11-2024</t>
  </si>
  <si>
    <t>abc5548588@126.com</t>
  </si>
  <si>
    <t>Padre Jaime Larrain Hurtado 592</t>
  </si>
  <si>
    <t>C-17475-2025</t>
  </si>
  <si>
    <t>TWHW15</t>
  </si>
  <si>
    <t>ANDRÉS ALEJANDRO GONZÁLEZ HERNÁNDEZ</t>
  </si>
  <si>
    <t>28-11-2024</t>
  </si>
  <si>
    <t>CHALAILA4@HOTMAIL.COM</t>
  </si>
  <si>
    <t>EPSILON</t>
  </si>
  <si>
    <t>C-6493-2026</t>
  </si>
  <si>
    <t>SPARK GT HB LT 1.2</t>
  </si>
  <si>
    <t>CARLOS ANDRÉS MATURANA SOTO</t>
  </si>
  <si>
    <t>16-12-2024</t>
  </si>
  <si>
    <t>carlosmaturana84@gmail.com</t>
  </si>
  <si>
    <t>DUQUE DE KENT 0968</t>
  </si>
  <si>
    <t>C-6488-2026</t>
  </si>
  <si>
    <t>TYBG38</t>
  </si>
  <si>
    <t>TM5 Cargo box</t>
  </si>
  <si>
    <t>JOSE JORGE COLORADO RODRIGUEZ</t>
  </si>
  <si>
    <t>JOSEJORGECOLORADO367@GMAIL.COM</t>
  </si>
  <si>
    <t>3 PONIENTE</t>
  </si>
  <si>
    <t>700 Big horn</t>
  </si>
  <si>
    <t>BEATRIZ ELIZABETH PONCE CERDA</t>
  </si>
  <si>
    <t>17-12-2024</t>
  </si>
  <si>
    <t>BETTYPONCECERDA@HOTMAIL.COM</t>
  </si>
  <si>
    <t>AVDA RAUL BITRAN NACHARY</t>
  </si>
  <si>
    <t>C-12839-2025</t>
  </si>
  <si>
    <t>RAV4</t>
  </si>
  <si>
    <t>JULIETA ADRIANA HENRÍQUEZ CAAMAÑO</t>
  </si>
  <si>
    <t>1,86</t>
  </si>
  <si>
    <t>JULIETAHENRIQUEZ2@HOTMAIL.COM</t>
  </si>
  <si>
    <t>PEDRO OSORES DE ULLOA</t>
  </si>
  <si>
    <t>C-6717-2025</t>
  </si>
  <si>
    <t>EXPLORER ECOBOOST 4X2</t>
  </si>
  <si>
    <t>COMERCIALIZADORA CLICK SpA</t>
  </si>
  <si>
    <t>20-12-2024</t>
  </si>
  <si>
    <t>SERGIOANDRES79@GMAIL.COM</t>
  </si>
  <si>
    <t>JOAQUIN LUCO</t>
  </si>
  <si>
    <t>C-11268-2025</t>
  </si>
  <si>
    <t>BERLINGO</t>
  </si>
  <si>
    <t>ROSSANA PATRICIA ARRIARÁN SILVA</t>
  </si>
  <si>
    <t>30-12-2024</t>
  </si>
  <si>
    <t>2,16</t>
  </si>
  <si>
    <t>karlapgarriaran@gmail.com</t>
  </si>
  <si>
    <t>PASAJE BRADEN 5517</t>
  </si>
  <si>
    <t>TYSR66</t>
  </si>
  <si>
    <t>RODRIGO ESTEBAN DÃAZ RIQUELME</t>
  </si>
  <si>
    <t>isayrodrigo0119@gmail.com</t>
  </si>
  <si>
    <t>VIOLETA PARRA 248</t>
  </si>
  <si>
    <t>C-3846-2026</t>
  </si>
  <si>
    <t>GRAND I-10</t>
  </si>
  <si>
    <t>JOHANNA DEL CARMEN CORNEJO ARMIJO</t>
  </si>
  <si>
    <t>24-04-2026</t>
  </si>
  <si>
    <t>13-01-2025</t>
  </si>
  <si>
    <t>juanjaq1998@gmail.com</t>
  </si>
  <si>
    <t>los copihues 5750 torre a dpto 306</t>
  </si>
  <si>
    <t>C-14434-2025</t>
  </si>
  <si>
    <t>TYYG68</t>
  </si>
  <si>
    <t>MIDI 1.2 C/D E6</t>
  </si>
  <si>
    <t>PROSMART SERVICIOS SPA SPA</t>
  </si>
  <si>
    <t>28-05-2026</t>
  </si>
  <si>
    <t>20-01-2025</t>
  </si>
  <si>
    <t>PROSMART.CHILE@GMAIL.COM</t>
  </si>
  <si>
    <t>THOMSON</t>
  </si>
  <si>
    <t>C-13010-2025</t>
  </si>
  <si>
    <t>CRETA</t>
  </si>
  <si>
    <t>VICTOR ABRAHAM VIDAL HERRERA</t>
  </si>
  <si>
    <t>15-01-2025</t>
  </si>
  <si>
    <t>hurtadopatricia96@gmail.com</t>
  </si>
  <si>
    <t>AV INDEPENDENCIA 482</t>
  </si>
  <si>
    <t>LIMACHE</t>
  </si>
  <si>
    <t>C-17500-2025</t>
  </si>
  <si>
    <t>NUEVO SPRESSO 1.0 GLX</t>
  </si>
  <si>
    <t>MARCO ANTONIO NATIVIA ESCALERA</t>
  </si>
  <si>
    <t>23-01-2025</t>
  </si>
  <si>
    <t>MARCONATIVA@GMAIL.COM</t>
  </si>
  <si>
    <t>LOS CHUNGUNGOS</t>
  </si>
  <si>
    <t>C-9879-2025</t>
  </si>
  <si>
    <t>CS 15</t>
  </si>
  <si>
    <t>BASTIAN IGNACIO TOBAR SANDOVAL</t>
  </si>
  <si>
    <t>14-01-2025</t>
  </si>
  <si>
    <t>VISTA HERMOSA 365</t>
  </si>
  <si>
    <t>C-17471-2025</t>
  </si>
  <si>
    <t>GRAND I-10 AI3 HB 1.2 MT PLUS</t>
  </si>
  <si>
    <t>XIUQIN LUO</t>
  </si>
  <si>
    <t>1.108.054</t>
  </si>
  <si>
    <t>2,26</t>
  </si>
  <si>
    <t>LXIUQIN31@GMAIL.COM</t>
  </si>
  <si>
    <t>CORINTO 1820 DEPARTAMENTO 207</t>
  </si>
  <si>
    <t>VITACURA</t>
  </si>
  <si>
    <t>LBSC65</t>
  </si>
  <si>
    <t>PORSCHE</t>
  </si>
  <si>
    <t>718 BOXSTER</t>
  </si>
  <si>
    <t>ROMINA GERALDINE ZÚÑIGA SANTIBÁÑEZ</t>
  </si>
  <si>
    <t>romy.loverj@icloud.com</t>
  </si>
  <si>
    <t>ECUADOR 1153</t>
  </si>
  <si>
    <t>C-2256-2026</t>
  </si>
  <si>
    <t>KCFH25</t>
  </si>
  <si>
    <t>X1 XDRIVE 18ST</t>
  </si>
  <si>
    <t>FELIPE ANDRES ARAVENA CALFUNAO</t>
  </si>
  <si>
    <t>FA_ARAVENA@HOTMAIL.COM</t>
  </si>
  <si>
    <t>VELERO SUSANA</t>
  </si>
  <si>
    <t>C-9866-2025</t>
  </si>
  <si>
    <t>NEW CX 5 R 2.0 AUT</t>
  </si>
  <si>
    <t>HECTOR HERNAN DANIEL ROJAS MORALES</t>
  </si>
  <si>
    <t>GABRIELAMILLA8@GMAIL.COM</t>
  </si>
  <si>
    <t>PIEDRAS DE CHILE</t>
  </si>
  <si>
    <t>SERGIO NICOLÁS  URIBE  GARCÍA</t>
  </si>
  <si>
    <t>30-01-2025</t>
  </si>
  <si>
    <t>SERGIO26URIBE@GMAIL.COM</t>
  </si>
  <si>
    <t>ARTURO PRATT</t>
  </si>
  <si>
    <t>QASHQAI 2.0 AT</t>
  </si>
  <si>
    <t>JAVIER MARCELO  CAYO  QUISPE</t>
  </si>
  <si>
    <t>18-02-2025</t>
  </si>
  <si>
    <t>DARKLINK1500@GMAIL.COM</t>
  </si>
  <si>
    <t>MIRAFLORES 1316 POBLACION LA BANDA</t>
  </si>
  <si>
    <t>QASHQAI J11 SENSE 4X2 MT</t>
  </si>
  <si>
    <t>FERNANDO ANTONIO SANTIBAÑEZ VARGAS</t>
  </si>
  <si>
    <t>24-02-2025</t>
  </si>
  <si>
    <t>nanobuggis@hotmail.cl</t>
  </si>
  <si>
    <t>AV DIP HUMBERTO ARELLANO 82 DPTO 104 EDIFICIO 3 PISO 1</t>
  </si>
  <si>
    <t>ARICA</t>
  </si>
  <si>
    <t>C-5123-2026</t>
  </si>
  <si>
    <t>HUNTER 2.0T 4X2 LUXURY</t>
  </si>
  <si>
    <t>RODRIGO GONZALO ACEVEDO CADIZ</t>
  </si>
  <si>
    <t>26-02-2025</t>
  </si>
  <si>
    <t>LAGO ONTARIO 8054</t>
  </si>
  <si>
    <t>C-17477-2025</t>
  </si>
  <si>
    <t>DFSK</t>
  </si>
  <si>
    <t>TRUCK CD C22 1.3 AC</t>
  </si>
  <si>
    <t>JUAN LUIS HERNANDEZ ALMONACID</t>
  </si>
  <si>
    <t>PASAJE 2 1949</t>
  </si>
  <si>
    <t>LA UNION</t>
  </si>
  <si>
    <t>DOMINGO ANDRÉS  PONCE  SOBARZO</t>
  </si>
  <si>
    <t>1.056.788</t>
  </si>
  <si>
    <t>DOMINGOPONCE@OUTLOOK.COM</t>
  </si>
  <si>
    <t>EL LINGUE</t>
  </si>
  <si>
    <t>C-17537-2025</t>
  </si>
  <si>
    <t>MAURICIO ANDRÉS GATICA ÁLVAREZ</t>
  </si>
  <si>
    <t>mgatica.1990@gmail.com</t>
  </si>
  <si>
    <t>TORQUEMADA 03206</t>
  </si>
  <si>
    <t>LXGD55</t>
  </si>
  <si>
    <t>ZS</t>
  </si>
  <si>
    <t>MÓNICA ELIZABETH LINEROS FUENTES</t>
  </si>
  <si>
    <t>14-04-2026</t>
  </si>
  <si>
    <t>14-03-2025</t>
  </si>
  <si>
    <t>Micharlona23@gmail.com</t>
  </si>
  <si>
    <t>salvador gutierrez 7395-33</t>
  </si>
  <si>
    <t>TZLW74</t>
  </si>
  <si>
    <t>G7 2.0L MT 4X2 E6 LITE</t>
  </si>
  <si>
    <t>PAMELA ALEJANDRA GONZALEZ ALVAREZ</t>
  </si>
  <si>
    <t>17-03-2025</t>
  </si>
  <si>
    <t>PAMELAGONZALEZALVAREZ1982@GMAIL.COM</t>
  </si>
  <si>
    <t>LOS CANELOS</t>
  </si>
  <si>
    <t>NATALI ESTEFANI FERNÁNDEZ JARAMILLO</t>
  </si>
  <si>
    <t>19-03-2025</t>
  </si>
  <si>
    <t>Natali.fernandezj@gmail.com</t>
  </si>
  <si>
    <t>Felix Zaragoza 2770</t>
  </si>
  <si>
    <t>PFRK89</t>
  </si>
  <si>
    <t>TIGGO 8</t>
  </si>
  <si>
    <t>JAIRO ABEL SAEZ NAVARRO</t>
  </si>
  <si>
    <t>JAIRO.SAEZ90@GMAIL.COM</t>
  </si>
  <si>
    <t>CALLE CAMINO INTERNACIONAL</t>
  </si>
  <si>
    <t>LUIS ENRIQUE DIAZ GUZMAN</t>
  </si>
  <si>
    <t>18-02-2026</t>
  </si>
  <si>
    <t>24-03-2025</t>
  </si>
  <si>
    <t>luis.diaz@intexgroup.cl</t>
  </si>
  <si>
    <t>PIO XI 505 DEPTO. 114</t>
  </si>
  <si>
    <t>420I GRAN COUPE M SPORT</t>
  </si>
  <si>
    <t>DANIELA FERNANDA CARROZA AGUILERA</t>
  </si>
  <si>
    <t>27-03-2025</t>
  </si>
  <si>
    <t>dani.carroza@gmail.com</t>
  </si>
  <si>
    <t>STTE. LUIS CRUZ MARTÍNEZ 551, RUCATREMO</t>
  </si>
  <si>
    <t>C-5129-2026</t>
  </si>
  <si>
    <t>CHANGAN (02)</t>
  </si>
  <si>
    <t>FREDERICK ABRAHAM BARRERO GONZALEZ</t>
  </si>
  <si>
    <t>frederickbarrerog@gmail.com</t>
  </si>
  <si>
    <t>AVENIDA ALEMANIA 30-1 P 4 DP. 45</t>
  </si>
  <si>
    <t>C-17487-2025</t>
  </si>
  <si>
    <t>SUZUKI (08)</t>
  </si>
  <si>
    <t>NEW BALENO 1.5 GLS</t>
  </si>
  <si>
    <t>JONATHAN MAURICIO ALARCON COBARRUBIAS</t>
  </si>
  <si>
    <t>0,99</t>
  </si>
  <si>
    <t>jmalarco@uc.cl</t>
  </si>
  <si>
    <t>Lo Ermita 1</t>
  </si>
  <si>
    <t>CALERA DE TANGO</t>
  </si>
  <si>
    <t>C-16740-2025</t>
  </si>
  <si>
    <t>23°JUZGADO CIVIL DE SANTIAGO</t>
  </si>
  <si>
    <t>TESLA</t>
  </si>
  <si>
    <t>MODEL 3</t>
  </si>
  <si>
    <t>IVÁN OCTAVIO CORREA DÍAZ</t>
  </si>
  <si>
    <t>1,95</t>
  </si>
  <si>
    <t>CORREADIAZIVANOCTAVIO@GMAIL.COM</t>
  </si>
  <si>
    <t>SITIO VICTORIA CANDELARIA</t>
  </si>
  <si>
    <t>JONATHAN OMAR FUENZALIDA PINTO</t>
  </si>
  <si>
    <t>1,52</t>
  </si>
  <si>
    <t>FUENZALIDA.JONATHAN.20@GMAIL.COM</t>
  </si>
  <si>
    <t>ATOLON</t>
  </si>
  <si>
    <t>C-3908-2026</t>
  </si>
  <si>
    <t>ACCENT RB GL 1.4</t>
  </si>
  <si>
    <t>HERMAN ROGELIO VELIZ ITE</t>
  </si>
  <si>
    <t>veliziteh@gmail.com</t>
  </si>
  <si>
    <t>TABAQUEROS SN 0</t>
  </si>
  <si>
    <t>RIO HURTADO</t>
  </si>
  <si>
    <t>JS2PRO MT LUXURY</t>
  </si>
  <si>
    <t>EDMUNDO JAVIER FUENTES RODRÍGUEZ</t>
  </si>
  <si>
    <t>14-04-2025</t>
  </si>
  <si>
    <t>maicol.fuentes.v@gmail.com</t>
  </si>
  <si>
    <t>WILLIAM REBOLLEDO 1566</t>
  </si>
  <si>
    <t>CURACAVI</t>
  </si>
  <si>
    <t>500 1.5 LUXURY CVT SK + LAM</t>
  </si>
  <si>
    <t>LENNYS CAROLINA CORTEZ DE HERNANDEZ</t>
  </si>
  <si>
    <t>15-04-2025</t>
  </si>
  <si>
    <t>LENNYS1216@GMAIL.COM</t>
  </si>
  <si>
    <t>ALGECIRAS</t>
  </si>
  <si>
    <t>C-15777-2025</t>
  </si>
  <si>
    <t>JOLION TURBO</t>
  </si>
  <si>
    <t>PABLO AURELIO IBAÑEZ DUARTE</t>
  </si>
  <si>
    <t>22-04-2025</t>
  </si>
  <si>
    <t>P.IBANEZ@OUTLOOK.ES</t>
  </si>
  <si>
    <t>CALLEJON SANTA JULIA SN ITAHUE</t>
  </si>
  <si>
    <t>FLOR INÉS SEPÚLVEDA MENARES</t>
  </si>
  <si>
    <t>28-04-2025</t>
  </si>
  <si>
    <t>Inespetisa41@gmail.com</t>
  </si>
  <si>
    <t>Pasaje Soldado Correa 13649</t>
  </si>
  <si>
    <t>MAGE 1.5</t>
  </si>
  <si>
    <t>AARON ARANIS MUÑOZ URIBE</t>
  </si>
  <si>
    <t>aaronaranis9@gmail.com</t>
  </si>
  <si>
    <t>CAPITAN PEDRO ESTEBAN 1375 BLOCK K DEPARTAMENTO 13</t>
  </si>
  <si>
    <t>AEOLUS Y3 MT</t>
  </si>
  <si>
    <t>ÁLVARO MOISÉS LUENGO DURÁN</t>
  </si>
  <si>
    <t>16-01-2026</t>
  </si>
  <si>
    <t>13-05-2025</t>
  </si>
  <si>
    <t>2,05</t>
  </si>
  <si>
    <t>aluengo.duran@hotmail.com</t>
  </si>
  <si>
    <t>Pasaje Chile Nuevo 1224</t>
  </si>
  <si>
    <t>MOISES ISAIAS SERRANO GOMEZ</t>
  </si>
  <si>
    <t>moises.serrano91@gmail.com</t>
  </si>
  <si>
    <t>ARQUITECTO HUGO BRAVO  494</t>
  </si>
  <si>
    <t>NEW CS35 PLUS 1.4T AT ELITE</t>
  </si>
  <si>
    <t>JIMMY MANUEL SAVICH MELENDRE</t>
  </si>
  <si>
    <t>jimmysavich@hotmail.com</t>
  </si>
  <si>
    <t>DOCTOR LUIS CALVO MACKENNA 7428</t>
  </si>
  <si>
    <t>SWIFT 1.4 DIT SPORT</t>
  </si>
  <si>
    <t>REINALDO ADAN PARRA  VARGAS</t>
  </si>
  <si>
    <t>15-05-2025</t>
  </si>
  <si>
    <t>ADANPARRA0879@GMAIL.COM</t>
  </si>
  <si>
    <t>SECTOR EL ROSARIO LA ESTRELLA SN RUTA</t>
  </si>
  <si>
    <t>C-8027-2026</t>
  </si>
  <si>
    <t>YOHANA EDITH  ANGULO  MUÑOZ</t>
  </si>
  <si>
    <t>17-05-2025</t>
  </si>
  <si>
    <t>YOHANAEDITH29@YAHOO.ES</t>
  </si>
  <si>
    <t>LAS ASTROMELIAS</t>
  </si>
  <si>
    <t>C-15770-2025</t>
  </si>
  <si>
    <t>RICHARD JORGE OLATE SUÁREZ</t>
  </si>
  <si>
    <t>24-12-2025</t>
  </si>
  <si>
    <t>23-05-2025</t>
  </si>
  <si>
    <t>Richardolate68@gmail.com</t>
  </si>
  <si>
    <t>Miguel de Olivares N°1444, Dpto 611</t>
  </si>
  <si>
    <t>C-8103-2026</t>
  </si>
  <si>
    <t>MUSSO GRAND 2.2 AUT</t>
  </si>
  <si>
    <t>JORGE LUIS ESTEBANOVICH PACHECO</t>
  </si>
  <si>
    <t>jorgeluispacheco777@gmail.com</t>
  </si>
  <si>
    <t>GENERAL FREIRE 1424</t>
  </si>
  <si>
    <t>C-14420-2025</t>
  </si>
  <si>
    <t>RIFTER</t>
  </si>
  <si>
    <t>SUSAN MARGARET MADARIAGA MOLINA</t>
  </si>
  <si>
    <t>24-05-2025</t>
  </si>
  <si>
    <t>2,07</t>
  </si>
  <si>
    <t>susanmadariaga185@gmail.com</t>
  </si>
  <si>
    <t>CALFQUEN 925</t>
  </si>
  <si>
    <t>TALAGANTE</t>
  </si>
  <si>
    <t>KZDH45</t>
  </si>
  <si>
    <t>TIGGO 2 GLX 1.5</t>
  </si>
  <si>
    <t>MÁXIMO GONZALO CÁCERES OSORIO</t>
  </si>
  <si>
    <t>26-05-2025</t>
  </si>
  <si>
    <t>ramon_cortes@live.cl</t>
  </si>
  <si>
    <t>PASAJE UNO, 2521</t>
  </si>
  <si>
    <t>X70 PLUS 1.5 DCT</t>
  </si>
  <si>
    <t>MARCELA VIVIANA OYARCE ILLANES</t>
  </si>
  <si>
    <t>20-05-2025</t>
  </si>
  <si>
    <t>MARCELAOIAP@GMAIL.COM</t>
  </si>
  <si>
    <t>AV LOS ZAPADORES</t>
  </si>
  <si>
    <t>2008 BLUE HDI 1.5</t>
  </si>
  <si>
    <t>ANGEL MOISES RAMONES HERNANDEZ</t>
  </si>
  <si>
    <t>27-05-2025</t>
  </si>
  <si>
    <t>angelmramones@hotmail.com</t>
  </si>
  <si>
    <t>PORVENIR 528</t>
  </si>
  <si>
    <t>C-17472-2025</t>
  </si>
  <si>
    <t>MIDI CABINA DOBLE 1.2</t>
  </si>
  <si>
    <t>FRANCISCO JOSE ARIAS TRECAÑANCO</t>
  </si>
  <si>
    <t>FELIPEARIAS848@GMAIL.COM</t>
  </si>
  <si>
    <t>QUINCHAMALI</t>
  </si>
  <si>
    <t>LO BARNECHEA</t>
  </si>
  <si>
    <t>C-3904-2026</t>
  </si>
  <si>
    <t>BALENO GLX</t>
  </si>
  <si>
    <t>PEDRO EDUARDO RAMIREZ VIDAL</t>
  </si>
  <si>
    <t>30-05-2025</t>
  </si>
  <si>
    <t>pedroramirezvidal@hotmail.com</t>
  </si>
  <si>
    <t>CALLEJON SAN VICENTE S/N LLIFEN</t>
  </si>
  <si>
    <t>FUTRONO</t>
  </si>
  <si>
    <t>C-6483-2026</t>
  </si>
  <si>
    <t>NEW V80 2.5</t>
  </si>
  <si>
    <t>PAMELA ANTONIETA  ALCÁNTARA  TRONCOSO</t>
  </si>
  <si>
    <t>P.ALCANTAR.T@GMAIL.COM</t>
  </si>
  <si>
    <t>25 ORIENTE  3267 PARQUE BICENTENARIO</t>
  </si>
  <si>
    <t>KICKS SENSE MT</t>
  </si>
  <si>
    <t>ALVARO AURELIO AVEIGA SOSA</t>
  </si>
  <si>
    <t>2,6</t>
  </si>
  <si>
    <t>ELEUTERIO RAMIREZ 1070</t>
  </si>
  <si>
    <t>JS2 COMFORT CVT</t>
  </si>
  <si>
    <t>RAÚL ENRIQUE ROJAS GONZÁLEZ</t>
  </si>
  <si>
    <t>MARUBENI</t>
  </si>
  <si>
    <t>C.INGAPICHASCA@GMAIL.COM</t>
  </si>
  <si>
    <t>PICHASCA S/N</t>
  </si>
  <si>
    <t>C-8118-2026</t>
  </si>
  <si>
    <t>SDVL43</t>
  </si>
  <si>
    <t>T8 DC 2.0 4X4 CE</t>
  </si>
  <si>
    <t>JOSE CARLOS LISBOA JUNIOR</t>
  </si>
  <si>
    <t>JUNIORLISBOAAJU@GMAIL.COM</t>
  </si>
  <si>
    <t>SAN DIEGO 313 DEPTO 1510</t>
  </si>
  <si>
    <t>C-3894-2026</t>
  </si>
  <si>
    <t>SPLS36</t>
  </si>
  <si>
    <t>CLAUDIO ANTONIO ARÉVALO BÓRQUEZ</t>
  </si>
  <si>
    <t>CLABORQUEZ@GMAIL.COM</t>
  </si>
  <si>
    <t>PASAJE FLORES SN SITIO CAMINO INTERNACIONAL</t>
  </si>
  <si>
    <t>LA REINA</t>
  </si>
  <si>
    <t>WRV LX 1.5 AT</t>
  </si>
  <si>
    <t>NADIA CECILIA OSORIO LUEIZA</t>
  </si>
  <si>
    <t>NADIAOSORIO1369@HOTMAIL.COM</t>
  </si>
  <si>
    <t>AVENIDA UNO AMSTERDAM 986 VILLA DON SEBASTAIN D</t>
  </si>
  <si>
    <t>SVXH91</t>
  </si>
  <si>
    <t>SOLUTO</t>
  </si>
  <si>
    <t>FELIPE ALEJANDRO ILUFFI OLIVARES</t>
  </si>
  <si>
    <t>20-09-2025</t>
  </si>
  <si>
    <t>FILUFFI@GMAIL.COM</t>
  </si>
  <si>
    <t>CALLE LAS ESCALOPIAS 2297 CONDOMINIO PARQUE DEL</t>
  </si>
  <si>
    <t>OLIVAR</t>
  </si>
  <si>
    <t>C-2404-2026</t>
  </si>
  <si>
    <t>PCBC12</t>
  </si>
  <si>
    <t>MAZDA 6 SEDAN V 6MT</t>
  </si>
  <si>
    <t>SIMÓN YOEL FREIRE RAMÍREZ</t>
  </si>
  <si>
    <t>S.FREIRERAMIREZ@GMAIL.COM</t>
  </si>
  <si>
    <t>AV. CORONEL ALEJANDRO SEPÚLVEDA 7163</t>
  </si>
  <si>
    <t>C-17644-2025</t>
  </si>
  <si>
    <t>SBCF61</t>
  </si>
  <si>
    <t>TRACKER</t>
  </si>
  <si>
    <t>ALEJANDRO AMARO ISLAS SABALAGA</t>
  </si>
  <si>
    <t>13-10-2023</t>
  </si>
  <si>
    <t>AAISLAS@HOTMAIL.COM</t>
  </si>
  <si>
    <t>EL ESTRIBO PONIENTE 3630</t>
  </si>
  <si>
    <t>LGST99</t>
  </si>
  <si>
    <t>AMAROK COMFORTLINE 4X2</t>
  </si>
  <si>
    <t>JUAN MIGUEL FREDES GOMILA</t>
  </si>
  <si>
    <t>JMFREDESGOMILA@GMAIL.COM</t>
  </si>
  <si>
    <t>OMAR HERRERA GUTIERREZ 1806 CASA 64 CONDOMINIO L</t>
  </si>
  <si>
    <t>TCYV10</t>
  </si>
  <si>
    <t>SIN MARCA</t>
  </si>
  <si>
    <t>NEW DASHING</t>
  </si>
  <si>
    <t>WLADIMIR EDUARDO PAREDES GAETE</t>
  </si>
  <si>
    <t>WLADI_P@HOTMAIL.COM</t>
  </si>
  <si>
    <t>TURQUESA 1955 POBLACION LOS MINERALES</t>
  </si>
  <si>
    <t>CONCON</t>
  </si>
  <si>
    <t>C-2400-2026</t>
  </si>
  <si>
    <t>SFKY51</t>
  </si>
  <si>
    <t>DORCA TABITA PARRA SEPÚLVEDA</t>
  </si>
  <si>
    <t>23-11-2025</t>
  </si>
  <si>
    <t>DORCAPARRA1@GMAIL.COM</t>
  </si>
  <si>
    <t>EL MOLINO 1941 VILLA BOSQUES DE SAN FRANCISCO</t>
  </si>
  <si>
    <t>C-17647-2025</t>
  </si>
  <si>
    <t>DPWV32</t>
  </si>
  <si>
    <t>SORENTO DLS 2.5 AT AC 2AB 4X4</t>
  </si>
  <si>
    <t>ANA MARÍA ACEVEDO PADILLA</t>
  </si>
  <si>
    <t>APADILLAVEDO@GMAIL.COM</t>
  </si>
  <si>
    <t>AVENIDA ESTADIO S/N</t>
  </si>
  <si>
    <t>C-8110-2026</t>
  </si>
  <si>
    <t>FKVS93</t>
  </si>
  <si>
    <t>SORENTO 2.4 AUT</t>
  </si>
  <si>
    <t>CARLOS IVÁN SILVA RUIZ</t>
  </si>
  <si>
    <t>CARLOSIVANSR11@GMAIL.COM</t>
  </si>
  <si>
    <t>HIJUELA 5 SECTOR CALLE CALLE</t>
  </si>
  <si>
    <t>C-6576-2026</t>
  </si>
  <si>
    <t>KVT30</t>
  </si>
  <si>
    <t>SAIL 1.5L LS N2</t>
  </si>
  <si>
    <t>ROSSANA ANDREA MARTÍNEZ LOBOS</t>
  </si>
  <si>
    <t>ROSSANAMARTINEZ1600@GMAIL.COM</t>
  </si>
  <si>
    <t>CANTARES 6040</t>
  </si>
  <si>
    <t>CHAÑARAL</t>
  </si>
  <si>
    <t>C-3899-2026</t>
  </si>
  <si>
    <t>KBDF79</t>
  </si>
  <si>
    <t>X55 1.5 MT COMFORTABLE</t>
  </si>
  <si>
    <t>FRANCISCO JAVIER MATAMALA ZAPATA</t>
  </si>
  <si>
    <t>FRANCISCOJMAZA99@GMAIL.COM</t>
  </si>
  <si>
    <t>VALLE CENTRAL 1944 ALAMOS DE LA CRUZ</t>
  </si>
  <si>
    <t>C-8132-2026</t>
  </si>
  <si>
    <t>KWZK41</t>
  </si>
  <si>
    <t>JOSE ESTEBAN CARREÑO MORAGA</t>
  </si>
  <si>
    <t>22-07-2024</t>
  </si>
  <si>
    <t>2,63</t>
  </si>
  <si>
    <t>CARREO.PETER@GMAIL.COM</t>
  </si>
  <si>
    <t>CALLE CALLE UNO 10</t>
  </si>
  <si>
    <t>RDWK92</t>
  </si>
  <si>
    <t>S3 1.6 4X2 6MT CE</t>
  </si>
  <si>
    <t>RODRIGO ALEXIS MELLA VARGAS</t>
  </si>
  <si>
    <t>MELLAVARGAS.RODRIGO@GMAIL.COM</t>
  </si>
  <si>
    <t>PASAJE TINGUIRIRICA 510 LLANOS DE QUINAHUE</t>
  </si>
  <si>
    <t>JJJF23</t>
  </si>
  <si>
    <t>NP 300 DC SE 2.3D MT 4WD</t>
  </si>
  <si>
    <t>MARÍA IVONNE SAA CERDA</t>
  </si>
  <si>
    <t>29-07-2024</t>
  </si>
  <si>
    <t>1,82</t>
  </si>
  <si>
    <t>IVONNE.SAA.C@GMAIL.COM</t>
  </si>
  <si>
    <t>PASAJE EL ESTERO 1540 BLOCK 4 DEPTO. 204 VILLA E</t>
  </si>
  <si>
    <t>RBDL31</t>
  </si>
  <si>
    <t>C5 AIRCROSS CVM6 STT 1.5</t>
  </si>
  <si>
    <t>ALEXIS SEBASTIÁN OSSES ESPINOZA</t>
  </si>
  <si>
    <t>ALEX.OSSES@GMAIL.COM</t>
  </si>
  <si>
    <t>TAGUITA 950 VALLE GRANDE</t>
  </si>
  <si>
    <t>TOLTEN</t>
  </si>
  <si>
    <t>C-8106-2026</t>
  </si>
  <si>
    <t>ET</t>
  </si>
  <si>
    <t>HR-V EX 1.5 AUT. 4X2</t>
  </si>
  <si>
    <t>MAURICIO ANDRÉS OLIVOS VILLALOBOS</t>
  </si>
  <si>
    <t>MOLIVOS@FYCCHILESPA.CL</t>
  </si>
  <si>
    <t>AVENIDA QUEBRADA DE TAL TAL 1734</t>
  </si>
  <si>
    <t>PFZG43</t>
  </si>
  <si>
    <t>ZS 1.5 AT COM</t>
  </si>
  <si>
    <t>JOHNNY ENRIQUE LEÓN GODOY</t>
  </si>
  <si>
    <t>30-09-2024</t>
  </si>
  <si>
    <t>JOHNNYLEONGODOY@GMAIL.COM</t>
  </si>
  <si>
    <t>CALLE PINTOR GUSTAVO CABELLO OLGUIN 864 DEPTO 30</t>
  </si>
  <si>
    <t>C-3906-2026</t>
  </si>
  <si>
    <t>LBHV66</t>
  </si>
  <si>
    <t>VIRTUS TRENDLINE 1.6</t>
  </si>
  <si>
    <t>VIVIANA SOLEDAD AGUSTO AVALOS</t>
  </si>
  <si>
    <t>13-05-2026</t>
  </si>
  <si>
    <t>VIVIANAAGUSTO@GMAIL.COM</t>
  </si>
  <si>
    <t>CHUNGARA 1502</t>
  </si>
  <si>
    <t>C-6484-2026</t>
  </si>
  <si>
    <t>TYWW67</t>
  </si>
  <si>
    <t>WRV EX 1.5 AT</t>
  </si>
  <si>
    <t>TOMÁS ALFONSO ROA ROJAS</t>
  </si>
  <si>
    <t>2,67</t>
  </si>
  <si>
    <t>TOMASROA94@GMAIL.COM</t>
  </si>
  <si>
    <t>PASAJE 1 ORIENTE 324</t>
  </si>
  <si>
    <t>PEUMO</t>
  </si>
  <si>
    <t>RSBX23</t>
  </si>
  <si>
    <t>CS15 HB 1.5</t>
  </si>
  <si>
    <t>CAROLINA ALEXANDRA MARTÍNEZ NÚÑEZ</t>
  </si>
  <si>
    <t>17-04-2025</t>
  </si>
  <si>
    <t>MARIANOANDRE679@GMAIL.COM</t>
  </si>
  <si>
    <t>SALVADOR VILCHES 22</t>
  </si>
  <si>
    <t>C-3841-2026</t>
  </si>
  <si>
    <t>RRDD18</t>
  </si>
  <si>
    <t>VERÓNICA VALERIA GONZÁLEZ VALENCIA</t>
  </si>
  <si>
    <t>22-03-2026</t>
  </si>
  <si>
    <t>21-06-2025</t>
  </si>
  <si>
    <t>enamoradavero@gmail.com</t>
  </si>
  <si>
    <t>RIO DUERO 2254</t>
  </si>
  <si>
    <t>RICH 6 2WD 2.3</t>
  </si>
  <si>
    <t>GLOBAL CONSTRUCTION GROUP CHILE SPA</t>
  </si>
  <si>
    <t>19-09-2025</t>
  </si>
  <si>
    <t>19-06-2025</t>
  </si>
  <si>
    <t>MNAVARRETE@GCGCHILE.CL</t>
  </si>
  <si>
    <t>GUARDIA VIEJA</t>
  </si>
  <si>
    <t>DELIVERY 9170</t>
  </si>
  <si>
    <t>MIGUEL ALEJANDRO THOMAS RIVADERA</t>
  </si>
  <si>
    <t>23-06-2025</t>
  </si>
  <si>
    <t>miguelthomasrivadera@gmail.com</t>
  </si>
  <si>
    <t>CUATRO NORTE 1567</t>
  </si>
  <si>
    <t>LUIS RODOLFO MILLAHUEQUE IBARRA</t>
  </si>
  <si>
    <t>muebles.mider@gmail.com</t>
  </si>
  <si>
    <t>Las Veronicas Oriente 2482</t>
  </si>
  <si>
    <t>TM3 DCAB</t>
  </si>
  <si>
    <t>ALEXANDER BANEGAS MEJIA</t>
  </si>
  <si>
    <t>1,49</t>
  </si>
  <si>
    <t>alexander.abm40@gmail.com</t>
  </si>
  <si>
    <t>GORBEA 1303</t>
  </si>
  <si>
    <t>C-17514-2025</t>
  </si>
  <si>
    <t>KONA SX2 1.6 AT HEV PLUS</t>
  </si>
  <si>
    <t>SERGIO ANDRES CARTES LIZAMA</t>
  </si>
  <si>
    <t>Scarteslizama@gmail.com</t>
  </si>
  <si>
    <t>AVENIDA CARLOS CRUZ VIERA 290</t>
  </si>
  <si>
    <t>RAV4 HV</t>
  </si>
  <si>
    <t>MANUEL ANTONIO GUTIERREZ GARRIDO</t>
  </si>
  <si>
    <t>GUTIERREZGARRIDOMANUEL@GMAIL.COM</t>
  </si>
  <si>
    <t>OCHO ORIENTE</t>
  </si>
  <si>
    <t>C-15738-2025</t>
  </si>
  <si>
    <t>HUNTER 4X4 1.9</t>
  </si>
  <si>
    <t>MATERIALES CONSTRUCCION VISTA HERMOSA SPA</t>
  </si>
  <si>
    <t>18-08-2025</t>
  </si>
  <si>
    <t>16-07-2025</t>
  </si>
  <si>
    <t>2,1</t>
  </si>
  <si>
    <t>Materialvistahermosa@gmail.com</t>
  </si>
  <si>
    <t>DOCTOR AMADOR NEGHME 03639</t>
  </si>
  <si>
    <t>C-15808-2025</t>
  </si>
  <si>
    <t xml:space="preserve"> T60 DX 4X4</t>
  </si>
  <si>
    <t>18-07-2025</t>
  </si>
  <si>
    <t>compras@distribuidoradimont.cl</t>
  </si>
  <si>
    <t>NUEVA KOKE 1102 PISO 1 DEPARTAMENTO A</t>
  </si>
  <si>
    <t>C-17473-2025</t>
  </si>
  <si>
    <t>KWJZ37</t>
  </si>
  <si>
    <t>SANTA FE 2.2 GLS 4WD AT CRDI</t>
  </si>
  <si>
    <t>JUAN RAFAEL ARENAS MARTÍNEZ</t>
  </si>
  <si>
    <t>JARENAS@ASERVEG.CL</t>
  </si>
  <si>
    <t>LAS ENCICLICAS 974</t>
  </si>
  <si>
    <t>G9 4X4 AT</t>
  </si>
  <si>
    <t>COMERCIALIZADORA DÍAZ TOLEDO SPA</t>
  </si>
  <si>
    <t>1.525.905</t>
  </si>
  <si>
    <t>18-09-2025</t>
  </si>
  <si>
    <t>diaztoledospa@gmail.com</t>
  </si>
  <si>
    <t>Manzana M Lote 14 El Algarrobal</t>
  </si>
  <si>
    <t>C-17484-2025</t>
  </si>
  <si>
    <t>MUSTANG</t>
  </si>
  <si>
    <t>JOSE EMILIO SAN MARTIN VARGAS</t>
  </si>
  <si>
    <t>15-09-2025</t>
  </si>
  <si>
    <t>14-07-2025</t>
  </si>
  <si>
    <t>JSANMARTIN@PRONOVUSC.COM</t>
  </si>
  <si>
    <t>SANTA RAQUEL</t>
  </si>
  <si>
    <t>C-17653-2025</t>
  </si>
  <si>
    <t>MANUEL ANGEL MORA BUSTOS</t>
  </si>
  <si>
    <t>29-07-2025</t>
  </si>
  <si>
    <t>morabustosmanuel@gmail.com</t>
  </si>
  <si>
    <t>PARCELA 85</t>
  </si>
  <si>
    <t>SANTA BARBARA</t>
  </si>
  <si>
    <t>C-17501-2025</t>
  </si>
  <si>
    <t>NEW CS35 PLUS 1.4T AT LUX</t>
  </si>
  <si>
    <t>ERNESTO ANTONIO GUTIERREZ PINEDA</t>
  </si>
  <si>
    <t>ernesto.antoniolobea@gmail.com</t>
  </si>
  <si>
    <t>Pasaje los Ulmos 2050</t>
  </si>
  <si>
    <t>ROMINA ALEJANDRA  TENORIO  ASTUDILLO</t>
  </si>
  <si>
    <t>1,48</t>
  </si>
  <si>
    <t>ROMINATENORIOASTUDILLO@GMAIL.COM</t>
  </si>
  <si>
    <t>RECREO PASAJE VERA</t>
  </si>
  <si>
    <t>RICARDO ANTONIO URQUETA CRUZ</t>
  </si>
  <si>
    <t>RIC.URQUETA72@GMAIL.COM</t>
  </si>
  <si>
    <t>FUTALEUFU # 9575</t>
  </si>
  <si>
    <t>DMAX</t>
  </si>
  <si>
    <t>DAVID ALEJANDRO ORELLANA PEÑA</t>
  </si>
  <si>
    <t>16-09-2025</t>
  </si>
  <si>
    <t>15-08-2025</t>
  </si>
  <si>
    <t>h33586503@gmail.com</t>
  </si>
  <si>
    <t>SANTA ANA 3135</t>
  </si>
  <si>
    <t>C-17635-2025</t>
  </si>
  <si>
    <t>MAGE</t>
  </si>
  <si>
    <t>JORGE JOEL IBÁÑEZ LÓPEZ</t>
  </si>
  <si>
    <t>22-06-2026</t>
  </si>
  <si>
    <t>21-08-2025</t>
  </si>
  <si>
    <t>2,55</t>
  </si>
  <si>
    <t>jorgeibz1989@gmail.com</t>
  </si>
  <si>
    <t>PASAJE PRINCIPE DE GALES 51</t>
  </si>
  <si>
    <t>J2</t>
  </si>
  <si>
    <t>JUAN LUIS RETAMAL PICHIPIL</t>
  </si>
  <si>
    <t>28-08-2025</t>
  </si>
  <si>
    <t>andresretamal1978@gmail.com</t>
  </si>
  <si>
    <t>miguel angel 03771</t>
  </si>
  <si>
    <t>T3 C/S 1.6</t>
  </si>
  <si>
    <t>ANGEL CHARLES CORDERO RAMIREZ</t>
  </si>
  <si>
    <t>26-08-2025</t>
  </si>
  <si>
    <t>ACCR5905@GMAIL.COM</t>
  </si>
  <si>
    <t>CLEMENTE ESCOBAR</t>
  </si>
  <si>
    <t>S-PRESSO</t>
  </si>
  <si>
    <t>REFRIGERACION Y CLIMATIZACION FC LIMITADA</t>
  </si>
  <si>
    <t>1.281.824</t>
  </si>
  <si>
    <t>27-08-2025</t>
  </si>
  <si>
    <t>landia@fcclimatizacion.cl</t>
  </si>
  <si>
    <t>SAN FRANCISCO 7726</t>
  </si>
  <si>
    <t>X5 XDRIVE40I XLINE LCI</t>
  </si>
  <si>
    <t>ANDRES EDUARDO MARTINEZ GUEVARA</t>
  </si>
  <si>
    <t>29-08-2025</t>
  </si>
  <si>
    <t>andresemartinezg2018@gmail.com</t>
  </si>
  <si>
    <t>John Kennedy 1813</t>
  </si>
  <si>
    <t>C-9008-2026</t>
  </si>
  <si>
    <t>11° Juzgado Civil de Santiago</t>
  </si>
  <si>
    <t>CARGO VAN V3</t>
  </si>
  <si>
    <t>HUMBERTO ANTONIO CORTÉS CARREÑO</t>
  </si>
  <si>
    <t>humberto27181739@gmail.com</t>
  </si>
  <si>
    <t>LAS ARARUCAS          920</t>
  </si>
  <si>
    <t>TIGGO 2</t>
  </si>
  <si>
    <t>CLAUDIA MARÍA PAZ PIZARRO TORO</t>
  </si>
  <si>
    <t>claudiamppt@gmail.com</t>
  </si>
  <si>
    <t>LOMAS DE CURACAVI LOTE 04</t>
  </si>
  <si>
    <t>SGSG16</t>
  </si>
  <si>
    <t>COLORADO</t>
  </si>
  <si>
    <t>ERIC JAVIER MARTÍNEZ CORNEJO</t>
  </si>
  <si>
    <t>1.055.712</t>
  </si>
  <si>
    <t>13-11-2025</t>
  </si>
  <si>
    <t>ericjavier.martinezcornejo94@gmail.com</t>
  </si>
  <si>
    <t>Domingo Santa María 2565 Departamento 1108A</t>
  </si>
  <si>
    <t>4435-2026</t>
  </si>
  <si>
    <t>14 Juzgado Civil de Santiago</t>
  </si>
  <si>
    <t>SILVERADO</t>
  </si>
  <si>
    <t>YONI JAVIER CONTRERAS ANZOLA</t>
  </si>
  <si>
    <t>16-11-2025</t>
  </si>
  <si>
    <t>YONICONTRERASAZOLA@GMAIL.COM</t>
  </si>
  <si>
    <t>AVENIDA BAQUEDANO 01100</t>
  </si>
  <si>
    <t>C-3855-2026</t>
  </si>
  <si>
    <t>COROLLA CROSS HEV</t>
  </si>
  <si>
    <t>DAVID ALEJANDRO JEREZ BAHAMONDES</t>
  </si>
  <si>
    <t>17-10-2025</t>
  </si>
  <si>
    <t>djerezbahamondes@gmail.com</t>
  </si>
  <si>
    <t>CALETA CHAIHUIN 1636</t>
  </si>
  <si>
    <t>*TM5 CARGO BOX</t>
  </si>
  <si>
    <t>ANDRÉS MARCELO  GAÍNZA  ARÉVALO</t>
  </si>
  <si>
    <t>23-09-2025</t>
  </si>
  <si>
    <t>2,01</t>
  </si>
  <si>
    <t>AMGAINZA@GMAIL.COM</t>
  </si>
  <si>
    <t>PASAJE PARANAL 1888 ; VILLA LOS OLIVOS</t>
  </si>
  <si>
    <t>C-8126-2026</t>
  </si>
  <si>
    <t>NEW VERSA SENSE MT</t>
  </si>
  <si>
    <t>ADRIANA DE LOURDES VIELMA MACHUCA</t>
  </si>
  <si>
    <t>adrianaseba10@gmail.com</t>
  </si>
  <si>
    <t>URMENETA 028</t>
  </si>
  <si>
    <t>*TM3 CABINA SIMPLE 1.6 Euro VI</t>
  </si>
  <si>
    <t>SANTIAGO ALONSO TASCON BARONA</t>
  </si>
  <si>
    <t>29-09-2025</t>
  </si>
  <si>
    <t>Santiagotaskon2020@gmail.com</t>
  </si>
  <si>
    <t>El Abanico 9601</t>
  </si>
  <si>
    <t>*T5L 1.8 TURBO Euro VI</t>
  </si>
  <si>
    <t>LUIS ALEJANDRO NOVEROY MADRID</t>
  </si>
  <si>
    <t>alejandronoveroy@hotmail.com</t>
  </si>
  <si>
    <t>Av. Curauma Sur 1021</t>
  </si>
  <si>
    <t>*AEOLUS Y3 MT</t>
  </si>
  <si>
    <t>DANIEL JIMY SILVA CAMPOS</t>
  </si>
  <si>
    <t>dragichi@hotmail.com</t>
  </si>
  <si>
    <t>ALTE NEFF NTE 360</t>
  </si>
  <si>
    <t>JIMNY 5P 1.5 AT GLX</t>
  </si>
  <si>
    <t>CARLOS ENRIQUE ROJO TAPIA</t>
  </si>
  <si>
    <t>2007.rojo@gmail.com</t>
  </si>
  <si>
    <t>LOBERIA 64</t>
  </si>
  <si>
    <t>C-6501-2026</t>
  </si>
  <si>
    <t>LAZARO ABURTO A</t>
  </si>
  <si>
    <t>lazaroaburto01@gmail.com</t>
  </si>
  <si>
    <t>CONSTITUCION</t>
  </si>
  <si>
    <t>C-5122-2026</t>
  </si>
  <si>
    <t>PEDRO EMILIO SANDOVAL MELLA</t>
  </si>
  <si>
    <t>21-10-2025</t>
  </si>
  <si>
    <t>sandovalmpedroemilio@gmail.com</t>
  </si>
  <si>
    <t>CALLE LLANTEN 2069</t>
  </si>
  <si>
    <t>C-3852-2026</t>
  </si>
  <si>
    <t>BORIS JOSE ALMENDRAS SANCHEZ</t>
  </si>
  <si>
    <t>NICASIO RETAMALES 1705 DEPTO 115</t>
  </si>
  <si>
    <t>C-5126-2026</t>
  </si>
  <si>
    <t>CX-5 SIGNATURE 2.5T AWD 6AT SPE E6C</t>
  </si>
  <si>
    <t>DANIEL EMILIO YOANOVICH NICOLICH</t>
  </si>
  <si>
    <t>danielnicolich2@gmail.com</t>
  </si>
  <si>
    <t>Calle Patagual 01689</t>
  </si>
  <si>
    <t>C-3860-2026</t>
  </si>
  <si>
    <t>L200 KATANA XR</t>
  </si>
  <si>
    <t>GIFTMANIA SPA</t>
  </si>
  <si>
    <t>20-11-2025</t>
  </si>
  <si>
    <t>gifmania.cl@gmail.com</t>
  </si>
  <si>
    <t>SANTA ROSA 575 OF 31</t>
  </si>
  <si>
    <t>PUERTO VARAS</t>
  </si>
  <si>
    <t>C-3901-2026</t>
  </si>
  <si>
    <t>CS55 PLUS IDD LUXURY</t>
  </si>
  <si>
    <t>MARIA ALICIA ESTEVANOVIC NIETO</t>
  </si>
  <si>
    <t>29-10-2025</t>
  </si>
  <si>
    <t>cliente@dumay.cl</t>
  </si>
  <si>
    <t>TITÁN 4900 ESTACIÓN CENTRAL CARLOS LUIS GONZÁLEZ 3144</t>
  </si>
  <si>
    <t>NEW FRONX 1.5 AT GLX HYBRID</t>
  </si>
  <si>
    <t>JESUS ABRAHAM JORGE LABALOVICH</t>
  </si>
  <si>
    <t>ajlabalovich@gmail.com</t>
  </si>
  <si>
    <t>EDUARDO BARRIOS 229</t>
  </si>
  <si>
    <t>SWIFT 1.4 DIT AT SPORT</t>
  </si>
  <si>
    <t>BELÉN DE LA BARRERA MUÑOZ</t>
  </si>
  <si>
    <t>18-12-2025</t>
  </si>
  <si>
    <t>17-11-2025</t>
  </si>
  <si>
    <t>Respaldogsmotos@gmail.com</t>
  </si>
  <si>
    <t>San Francisco 350 departamento 1201</t>
  </si>
  <si>
    <t>CHARGER</t>
  </si>
  <si>
    <t>JEAN PAUL JURADO CAICEDO</t>
  </si>
  <si>
    <t>1,54</t>
  </si>
  <si>
    <t>JEANPAULLJC28@GMAIL.COM</t>
  </si>
  <si>
    <t>PASAJE LOS NARANJOS</t>
  </si>
  <si>
    <t>C-6516-2026</t>
  </si>
  <si>
    <t>RIO 5 1.4</t>
  </si>
  <si>
    <t>PATRICIA DEL CARMEN MUÑOZ MEDINA</t>
  </si>
  <si>
    <t>22-01-2026</t>
  </si>
  <si>
    <t>19-11-2025</t>
  </si>
  <si>
    <t>bravofacu544@gmail.com</t>
  </si>
  <si>
    <t>PEDRO LAGOS 9491</t>
  </si>
  <si>
    <t>CHRISTIAN JOEL SANTAELLA GUTIERREZ</t>
  </si>
  <si>
    <t>CORONEL SOUPER 4222 P 25 DP. 2505</t>
  </si>
  <si>
    <t>SOLUTO LX 1.4L 5MT G LL</t>
  </si>
  <si>
    <t>LILIANA ELIZABETH LOURDES VILCHES JARA</t>
  </si>
  <si>
    <t>29-11-2025</t>
  </si>
  <si>
    <t>isavhidromalig@gmail.com</t>
  </si>
  <si>
    <t>CAPITÁN ORELLA 2216</t>
  </si>
  <si>
    <t>FELIPE EDUARDO MOYA PIZARRO</t>
  </si>
  <si>
    <t>fmoya72@gmail.com</t>
  </si>
  <si>
    <t>AVENIDA DEL ATARDECER 4561, CASA 56</t>
  </si>
  <si>
    <t>JAIME DEL CARMEN HERRERA DELGADO</t>
  </si>
  <si>
    <t>jaimeherrerad@hotmail.com</t>
  </si>
  <si>
    <t>Tabolango  SN</t>
  </si>
  <si>
    <t>SANTA MARIA</t>
  </si>
  <si>
    <t>C-8119-2026</t>
  </si>
  <si>
    <t>LYNK CO</t>
  </si>
  <si>
    <t>*06 Plus</t>
  </si>
  <si>
    <t>ROCIO ANDREA VAZOLI ARISTICH</t>
  </si>
  <si>
    <t>31-12-2025</t>
  </si>
  <si>
    <t>rocio21vazoli@gmail.com</t>
  </si>
  <si>
    <t>CALAMA 1914</t>
  </si>
  <si>
    <t>C-9012-2026</t>
  </si>
  <si>
    <t>9° Juzgado Civil de Santiago</t>
  </si>
  <si>
    <t>MAZDA3 SP HIGH 2.5 7G 6AT E6C</t>
  </si>
  <si>
    <t>GABRIEL ALFONSO DESIMONE GODOY</t>
  </si>
  <si>
    <t>gabodg@gmail.com</t>
  </si>
  <si>
    <t>AVENIDA CHILE 330 DPT 310 EDIFICIO JARDIN BOTANICO</t>
  </si>
  <si>
    <t>I-20 BI3 1.4 MT PLUS</t>
  </si>
  <si>
    <t>BORIS OMAR DINAMARCA CONTRERAS</t>
  </si>
  <si>
    <t>Contrerasboris1089@gmail.com</t>
  </si>
  <si>
    <t>AV LINARES 1001</t>
  </si>
  <si>
    <t>TUCAPEL</t>
  </si>
  <si>
    <t>C-6494-2026</t>
  </si>
  <si>
    <t>D1 LUXURY 4X4 2.3</t>
  </si>
  <si>
    <t>HIHARABY MAYTTE DÍAZ CARRASCO</t>
  </si>
  <si>
    <t>24-02-2026</t>
  </si>
  <si>
    <t>14-01-2026</t>
  </si>
  <si>
    <t>hiharaby.maytte20@gmail.com</t>
  </si>
  <si>
    <t>AHORRO 8533</t>
  </si>
  <si>
    <t>C-6491-2026</t>
  </si>
  <si>
    <t>DAMIAN ALFONSO CARVAJAL PEREZ</t>
  </si>
  <si>
    <t>20-03-2026</t>
  </si>
  <si>
    <t>20-01-2026</t>
  </si>
  <si>
    <t>DAMIAN.CARVAJAL1989@GMAIL.COM</t>
  </si>
  <si>
    <t>MILLARAY</t>
  </si>
  <si>
    <t>ANDACOLLO</t>
  </si>
  <si>
    <t>ANA MARIA MOYA INOSTROZA</t>
  </si>
  <si>
    <t>27-01-2026</t>
  </si>
  <si>
    <t>anamariamoya.1924@gmail.com</t>
  </si>
  <si>
    <t>AVENIDA EUCALIPTUS 324</t>
  </si>
  <si>
    <t>C-8113-2026</t>
  </si>
  <si>
    <t>C4</t>
  </si>
  <si>
    <t>JUAN PABLO DELGADO SAVICH</t>
  </si>
  <si>
    <t>juandelgado.kle@gmail.com</t>
  </si>
  <si>
    <t>YERBAS BUENAS 168</t>
  </si>
  <si>
    <t>GABRIELA BELEN CORDOVA SANCHEZ</t>
  </si>
  <si>
    <t>GABRIELABELEN.CORDOVA@GMAIL.COM</t>
  </si>
  <si>
    <t>LOS NOGALES</t>
  </si>
  <si>
    <t>MARCELA ZÚÑIGA COLOMA</t>
  </si>
  <si>
    <t>zunigacoloma@gmail.com</t>
  </si>
  <si>
    <t>AVENIDA HERMANOS CARRERA 1792</t>
  </si>
  <si>
    <t>HILUX</t>
  </si>
  <si>
    <t>CLAUDIA JAVIERA ARAYA CORTES</t>
  </si>
  <si>
    <t>20-02-2026</t>
  </si>
  <si>
    <t>claudiajavieraac@gmail.com</t>
  </si>
  <si>
    <t>LOS PERALES 1467</t>
  </si>
  <si>
    <t>SWIFT 1.2 GLX SMART HYBRID</t>
  </si>
  <si>
    <t>DIAMANTINA ESMERALDA PANTIC GÓMEZ</t>
  </si>
  <si>
    <t>2,4</t>
  </si>
  <si>
    <t>esmeraldapanticg@gmail.com</t>
  </si>
  <si>
    <t>CARLOS CARIOLA 11484</t>
  </si>
  <si>
    <t>RIFTER 1.5 ALLURE BLUEHDI DIESEL 130HP AT</t>
  </si>
  <si>
    <t>HUGO DEL CARMEN CEBALLOS CEBALLOS</t>
  </si>
  <si>
    <t>18-03-2026</t>
  </si>
  <si>
    <t>2,48</t>
  </si>
  <si>
    <t>hugoceballostorreones@gmail.com</t>
  </si>
  <si>
    <t>TENERIFE 2280</t>
  </si>
  <si>
    <t>SWIFT 1.2 GLS MT</t>
  </si>
  <si>
    <t>DAFNE DENISSE REYES LEIVA</t>
  </si>
  <si>
    <t>23-04-2026</t>
  </si>
  <si>
    <t>23-03-2026</t>
  </si>
  <si>
    <t>JAVIERRELE_@HOTMAIL.COM</t>
  </si>
  <si>
    <t>SANTA MAGDALENA1292, DEPARTAMENTO 44</t>
  </si>
  <si>
    <t>TSZX78</t>
  </si>
  <si>
    <t>LLAMADA</t>
  </si>
  <si>
    <t>MARCELA DEL CARMEN CARTES GONZALEZ</t>
  </si>
  <si>
    <t>25-06-2021</t>
  </si>
  <si>
    <t>MÉXICO 3246</t>
  </si>
  <si>
    <t>C-3919-2025</t>
  </si>
  <si>
    <t>RBVC26</t>
  </si>
  <si>
    <t>SWIFT GL SPORT HB 1.2</t>
  </si>
  <si>
    <t>LUIS ALFREDO TAPIA FERNANDEZ</t>
  </si>
  <si>
    <t>ltapi032@codelco.cl</t>
  </si>
  <si>
    <t>IVAN VIAL 1735</t>
  </si>
  <si>
    <t>SPHB75</t>
  </si>
  <si>
    <t>MARÍA ANGÉLICA  GÓMEZ  GUZMÁN</t>
  </si>
  <si>
    <t>rodrigobravogomez@gmail.com</t>
  </si>
  <si>
    <t>LAS CHILCAS 9500</t>
  </si>
  <si>
    <t>RSLG31</t>
  </si>
  <si>
    <t>X70 1.5 GLX AT</t>
  </si>
  <si>
    <t>LOREDANA DANICELA  MERY  SEIDA</t>
  </si>
  <si>
    <t>DANICELA.2004@HOTMAIL.COM</t>
  </si>
  <si>
    <t>AVENIDA NUEVA UNO 3194, VILLA TALINAY</t>
  </si>
  <si>
    <t>C-22136-2024</t>
  </si>
  <si>
    <t>X-TRAIL SENSE 2ROW 4X2</t>
  </si>
  <si>
    <t>MIGUEL ALEJANDRO FLORES OJEDA</t>
  </si>
  <si>
    <t>miguelalejhandro@gmail.com</t>
  </si>
  <si>
    <t>Maria Gonzalez Navarro 285</t>
  </si>
  <si>
    <t>C-2602-2025</t>
  </si>
  <si>
    <t>PZCS29</t>
  </si>
  <si>
    <t>ITALO JOSE SILVA SALAMANCA</t>
  </si>
  <si>
    <t>salamancaitalo@gmail.com</t>
  </si>
  <si>
    <t>AVENIDA LA COMPAÑIA 361</t>
  </si>
  <si>
    <t>GRANEROS</t>
  </si>
  <si>
    <t>C-14414-2025</t>
  </si>
  <si>
    <t>JS2</t>
  </si>
  <si>
    <t>Applied filters:
TIPO_COBRANZA is JUDICIAL</t>
  </si>
  <si>
    <t>Filtros aplicados:
TIPO_COBRANZA es JUDICIAL</t>
  </si>
  <si>
    <t>8</t>
  </si>
  <si>
    <t>SEBASTIÁN ESTEBAN VILLAGRA CISTERNAS</t>
  </si>
  <si>
    <t>933429038</t>
  </si>
  <si>
    <t>svillagra1984@gmail.com</t>
  </si>
  <si>
    <t>SAN PABLO 4025, DEPTO 1814</t>
  </si>
  <si>
    <t>QUINTA NORMAL</t>
  </si>
  <si>
    <t>PYSF60</t>
  </si>
  <si>
    <t>NUEVO VOYAGE HIGHLINE 1.6</t>
  </si>
  <si>
    <t>4</t>
  </si>
  <si>
    <t>ITALO ADOLFO  MUÑOZ PAREDES MUÑOZ PAREDES</t>
  </si>
  <si>
    <t>971949267</t>
  </si>
  <si>
    <t>ITALOMPAREDES1987@ICLOUD.COM</t>
  </si>
  <si>
    <t>PASAJE CASTELLÓN 1993 ALTO OSORNO</t>
  </si>
  <si>
    <t>C-21976-2024</t>
  </si>
  <si>
    <t>PZTC12</t>
  </si>
  <si>
    <t>9</t>
  </si>
  <si>
    <t>998656256</t>
  </si>
  <si>
    <t>6</t>
  </si>
  <si>
    <t>959863045</t>
  </si>
  <si>
    <t>7</t>
  </si>
  <si>
    <t>962588898</t>
  </si>
  <si>
    <t>5</t>
  </si>
  <si>
    <t>9987229864</t>
  </si>
  <si>
    <t>957500333</t>
  </si>
  <si>
    <t>944758247</t>
  </si>
  <si>
    <t>968259519</t>
  </si>
  <si>
    <t>0</t>
  </si>
  <si>
    <t>979125999</t>
  </si>
  <si>
    <t>977915708</t>
  </si>
  <si>
    <t>975171907</t>
  </si>
  <si>
    <t>+56953547488</t>
  </si>
  <si>
    <t>25º JUZGADO CIVIL DE SANTIAGO</t>
  </si>
  <si>
    <t>959766639</t>
  </si>
  <si>
    <t>942283930</t>
  </si>
  <si>
    <t>971808740</t>
  </si>
  <si>
    <t>981279138</t>
  </si>
  <si>
    <t>948899401</t>
  </si>
  <si>
    <t>964496387</t>
  </si>
  <si>
    <t>992941506</t>
  </si>
  <si>
    <t>56955195058</t>
  </si>
  <si>
    <t>CREDITO</t>
  </si>
  <si>
    <t xml:space="preserve">NOMBRE </t>
  </si>
  <si>
    <t xml:space="preserve">TRAMO </t>
  </si>
  <si>
    <t xml:space="preserve">TRAMO ACTUAL </t>
  </si>
  <si>
    <t>TRAMO PEGA</t>
  </si>
  <si>
    <t xml:space="preserve">SOLUCION </t>
  </si>
  <si>
    <t xml:space="preserve">N° CUOTAS </t>
  </si>
  <si>
    <t xml:space="preserve">DIAS MORA </t>
  </si>
  <si>
    <t xml:space="preserve">VALOR CUOTA </t>
  </si>
  <si>
    <t>CAPITAL</t>
  </si>
  <si>
    <t>VALOR APROX DE PAGO</t>
  </si>
  <si>
    <t>FECHA COMPROMISO</t>
  </si>
  <si>
    <t xml:space="preserve">ESTADO </t>
  </si>
  <si>
    <t>FECHA PAGO</t>
  </si>
  <si>
    <t xml:space="preserve">RECUPERADO </t>
  </si>
  <si>
    <t>OBSERVACIONES</t>
  </si>
  <si>
    <t>audios</t>
  </si>
  <si>
    <t>Oficio</t>
  </si>
  <si>
    <t>90+</t>
  </si>
  <si>
    <t>PAGO CUOTAS</t>
  </si>
  <si>
    <t>PAGADO</t>
  </si>
  <si>
    <t>tt pago 1 y pagara otrael 15 y a fin de mes, 2do.pago 17/07</t>
  </si>
  <si>
    <t>C3</t>
  </si>
  <si>
    <t>PENDIENTE</t>
  </si>
  <si>
    <t>trasf. M$250. pago 2 cuotas 15/07</t>
  </si>
  <si>
    <t>15/07 y 30/07 paga 1 cuota +</t>
  </si>
  <si>
    <t>transferencia M$2098.</t>
  </si>
  <si>
    <t>PREPAGO</t>
  </si>
  <si>
    <t>Tit. espera pagar otra cuota 25/07</t>
  </si>
  <si>
    <t>RENEGOCIACIÓN</t>
  </si>
  <si>
    <t>VOLVER A LLAMAR VIERNES 10</t>
  </si>
  <si>
    <t>Tit. pago 1 cta. 09/07 + 1 cta.31/07</t>
  </si>
  <si>
    <t>Tit. pago 2 ctas. + 1 cuota 24/07</t>
  </si>
  <si>
    <t>paga 1 cuota el 17 y otra la siguiente semana</t>
  </si>
  <si>
    <t>pago 4ctas.c/fecha 14/07, falta 1, pago 1 cuota + 17/07</t>
  </si>
  <si>
    <t>C4 TUBO</t>
  </si>
  <si>
    <t>META</t>
  </si>
  <si>
    <t>% TUBO</t>
  </si>
  <si>
    <t>C4 PAGADO</t>
  </si>
  <si>
    <t>% PAGADO</t>
  </si>
  <si>
    <t>90+ TUBO</t>
  </si>
  <si>
    <t>90+ PAGADO</t>
  </si>
  <si>
    <t>INSOLUTO</t>
  </si>
  <si>
    <t>CUOTAS EN EL MES</t>
  </si>
  <si>
    <t>CUOTA</t>
  </si>
  <si>
    <t>CUOTA PAGADA</t>
  </si>
  <si>
    <t>AUDIO</t>
  </si>
  <si>
    <t>6/48</t>
  </si>
  <si>
    <t>sin subir a flokzu</t>
  </si>
  <si>
    <t>u pago</t>
  </si>
  <si>
    <t>3/24</t>
  </si>
  <si>
    <t>7/48</t>
  </si>
  <si>
    <t>7/16</t>
  </si>
  <si>
    <t>10</t>
  </si>
  <si>
    <t>8/18</t>
  </si>
  <si>
    <t>7/36</t>
  </si>
  <si>
    <t>nc</t>
  </si>
  <si>
    <t>2/24</t>
  </si>
  <si>
    <t>PUT EN PARTES</t>
  </si>
  <si>
    <t>2/4</t>
  </si>
  <si>
    <t>NUEVO PLAN DE PAGO</t>
  </si>
  <si>
    <t>abono 250 + 800</t>
  </si>
  <si>
    <t>1/18</t>
  </si>
  <si>
    <t>paga por upago</t>
  </si>
  <si>
    <t>EXCEPCION PUT</t>
  </si>
  <si>
    <t>DACION</t>
  </si>
  <si>
    <t>INTENCION DE PAGO</t>
  </si>
  <si>
    <t>%</t>
  </si>
  <si>
    <t>leila</t>
  </si>
  <si>
    <t xml:space="preserve">volver a llamar </t>
  </si>
  <si>
    <t>andrea, pidiendo credito para put</t>
  </si>
  <si>
    <t>llamar todos los dias</t>
  </si>
  <si>
    <t xml:space="preserve">posible pago, en espera de seguro </t>
  </si>
  <si>
    <t>francisco gaica, llamar el lunes 30</t>
  </si>
  <si>
    <t>llamar el 13-07 contacto de Ely</t>
  </si>
  <si>
    <t>guillermo andres bahamondes, se le ofrece plan de pago con 1500.000, dice que tiene 1.200.000 insistir</t>
  </si>
  <si>
    <t>insistir</t>
  </si>
  <si>
    <t>luis magallanes se envio oferta se envio oferta a tercero, insistir</t>
  </si>
  <si>
    <t>cliente trabajado por ariel, volver a llamar el lunes 28</t>
  </si>
  <si>
    <t xml:space="preserve">se envio oferta a tercero </t>
  </si>
  <si>
    <t>VALOR DE PAGO</t>
  </si>
  <si>
    <t>EJECUTIVA</t>
  </si>
  <si>
    <t>RECUPERO</t>
  </si>
  <si>
    <t>META PH</t>
  </si>
  <si>
    <t>ingresado 05-05-2026</t>
  </si>
  <si>
    <t xml:space="preserve">pagado 05-05-2026 </t>
  </si>
  <si>
    <t>paga</t>
  </si>
  <si>
    <t>1/5</t>
  </si>
  <si>
    <t xml:space="preserve">Pendiente </t>
  </si>
  <si>
    <t xml:space="preserve">pagado </t>
  </si>
  <si>
    <t>4/16</t>
  </si>
  <si>
    <t xml:space="preserve">pago total </t>
  </si>
  <si>
    <t>pagado</t>
  </si>
  <si>
    <t>no llamar</t>
  </si>
  <si>
    <t>Pendiente</t>
  </si>
  <si>
    <t>mensaje por ws</t>
  </si>
  <si>
    <t>falta aplicar</t>
  </si>
  <si>
    <t>1/12</t>
  </si>
  <si>
    <t>8/</t>
  </si>
  <si>
    <t>9/24</t>
  </si>
  <si>
    <t>ID</t>
  </si>
  <si>
    <t xml:space="preserve">DEUDA INICIAL </t>
  </si>
  <si>
    <t>PIE</t>
  </si>
  <si>
    <t>N° DE CUOTA</t>
  </si>
  <si>
    <t>CUOTAS PAGADAS A ABRIL</t>
  </si>
  <si>
    <t>30-</t>
  </si>
  <si>
    <t>upago</t>
  </si>
  <si>
    <t xml:space="preserve">CUOTA PAGADA </t>
  </si>
  <si>
    <t>6/36</t>
  </si>
  <si>
    <t>10/48</t>
  </si>
  <si>
    <t>24-06</t>
  </si>
  <si>
    <t xml:space="preserve">p fines de mes </t>
  </si>
  <si>
    <t>8/53</t>
  </si>
  <si>
    <t xml:space="preserve">3/6/2026 PAGAHOY </t>
  </si>
  <si>
    <t xml:space="preserve">paga los 5 pr dias </t>
  </si>
  <si>
    <t>11/24</t>
  </si>
  <si>
    <t>rut de quien transfier 13334301-6</t>
  </si>
  <si>
    <t xml:space="preserve">subido </t>
  </si>
  <si>
    <t>nuevo plan de pago</t>
  </si>
  <si>
    <t xml:space="preserve">0/18 </t>
  </si>
  <si>
    <t>1/13</t>
  </si>
  <si>
    <t>30-05-2026</t>
  </si>
  <si>
    <t>2/13</t>
  </si>
  <si>
    <t xml:space="preserve">fines de mes </t>
  </si>
  <si>
    <t xml:space="preserve">put pendiente  viendo un seguro llamar la proxima semana </t>
  </si>
  <si>
    <t>8/062026</t>
  </si>
  <si>
    <t>abonado dos millones</t>
  </si>
  <si>
    <t>abonos realizados 2.000000</t>
  </si>
  <si>
    <t xml:space="preserve">put </t>
  </si>
  <si>
    <t xml:space="preserve">DACION POST INCAUTACION </t>
  </si>
  <si>
    <t>dacion pura</t>
  </si>
  <si>
    <t>pun en 4 partes</t>
  </si>
  <si>
    <t>2.723.220</t>
  </si>
  <si>
    <t>9/18</t>
  </si>
  <si>
    <t>4/24</t>
  </si>
  <si>
    <t xml:space="preserve">plan de pago </t>
  </si>
  <si>
    <t>1/30</t>
  </si>
  <si>
    <t>|</t>
  </si>
  <si>
    <t>posibles pagos</t>
  </si>
  <si>
    <t>plan de pago</t>
  </si>
  <si>
    <t>OP</t>
  </si>
  <si>
    <t>NOMBRE</t>
  </si>
  <si>
    <t>JUZGADO</t>
  </si>
  <si>
    <t>MANDAMIENTO</t>
  </si>
  <si>
    <t>PATENTE</t>
  </si>
  <si>
    <t>fecha oficio</t>
  </si>
  <si>
    <t>resultado</t>
  </si>
  <si>
    <t>TRAMO</t>
  </si>
  <si>
    <t>15236244-7</t>
  </si>
  <si>
    <t>16644-2024</t>
  </si>
  <si>
    <t>RTFH.40-5</t>
  </si>
  <si>
    <t>LA HUASCA N°10834</t>
  </si>
  <si>
    <t>13492280-K</t>
  </si>
  <si>
    <t>CLAUDIO ANDRÉS TAPIA QUEZADA</t>
  </si>
  <si>
    <t>16655-2024</t>
  </si>
  <si>
    <t>3 JZDO CIVIL STGO</t>
  </si>
  <si>
    <t>TKDC.78-7</t>
  </si>
  <si>
    <t>Los Comandos 5040, comuna de PEDRO AGUIRRE CERDA</t>
  </si>
  <si>
    <t>10709514-4</t>
  </si>
  <si>
    <t>MANUEL JESÚS VERGARA IBACACHE</t>
  </si>
  <si>
    <t> 15º Juzgado Civil de Santiago</t>
  </si>
  <si>
    <t>SFPH.48-2</t>
  </si>
  <si>
    <t>EL PARRON 1751 DPTO 2, comuna de SAN RAMON</t>
  </si>
  <si>
    <t xml:space="preserve">SAN RAMON </t>
  </si>
  <si>
    <t>15929792-6</t>
  </si>
  <si>
    <t> C-19071-2024</t>
  </si>
  <si>
    <t>KKWD.17-2</t>
  </si>
  <si>
    <t>LOS TALLADORES 10407, comuna de La Florida</t>
  </si>
  <si>
    <t>26440312-K</t>
  </si>
  <si>
    <t>Leonardo Javier Vallera Reyes</t>
  </si>
  <si>
    <t> 8º Juzgado Civil de Santiago</t>
  </si>
  <si>
    <t>RLGC.76-9</t>
  </si>
  <si>
    <t>HIPODROMO 1310 DEPTO 608, comuna de Independencia</t>
  </si>
  <si>
    <t xml:space="preserve">INDEPENDENCIA </t>
  </si>
  <si>
    <t>16746764-4</t>
  </si>
  <si>
    <t>PTSS.82-9</t>
  </si>
  <si>
    <t>DECIMA AVENIDA 1430, comuna de SAN MIGUEL</t>
  </si>
  <si>
    <t>MANUEL JESUS VERGARA IBACACHE</t>
  </si>
  <si>
    <t>FHZP.90-7</t>
  </si>
  <si>
    <t>LO OVALLE N°240, comuna de Quilicura</t>
  </si>
  <si>
    <t>13910860-4</t>
  </si>
  <si>
    <t>SUSANA VALESKA ARIAS GAETE</t>
  </si>
  <si>
    <t> C-19076-2024</t>
  </si>
  <si>
    <t>RBCR.34-0</t>
  </si>
  <si>
    <t>PAMPA N° 6234, comuna de Renca</t>
  </si>
  <si>
    <t>14249393-4</t>
  </si>
  <si>
    <t>SWSF.83-3</t>
  </si>
  <si>
    <t>GRAJALES 2154, comuna de Santiago</t>
  </si>
  <si>
    <t>26030033-4</t>
  </si>
  <si>
    <t>ANDRE TERTULIEN</t>
  </si>
  <si>
    <t>RVDH.69-2</t>
  </si>
  <si>
    <t>CALLE TRES MONTE 714 DPTO 306, comuna de Quilicura</t>
  </si>
  <si>
    <t>18046771-8</t>
  </si>
  <si>
    <t>JONATHAN EDUARDO ARAVENA SÁNCHEZ</t>
  </si>
  <si>
    <t>RZSP.98-6</t>
  </si>
  <si>
    <t>LUIS MATTE LARRAIN 1485, comuna de PUENTE ALTO</t>
  </si>
  <si>
    <t>77259568-9</t>
  </si>
  <si>
    <t>PIEDRA AZUL SPA</t>
  </si>
  <si>
    <t>GXTK.70-4</t>
  </si>
  <si>
    <t>Santa Aída N° 21, comuna de COLINA</t>
  </si>
  <si>
    <t>PAGO</t>
  </si>
  <si>
    <t>17307356-9</t>
  </si>
  <si>
    <t>JONATHAN GERSON CORTES BURGOS</t>
  </si>
  <si>
    <t>c-20317-2024</t>
  </si>
  <si>
    <t>5° Juzgado Civil de Santiago</t>
  </si>
  <si>
    <t>PPTY.75-5</t>
  </si>
  <si>
    <t>Pasaje Los Yales 508, comuna de Pudahuel</t>
  </si>
  <si>
    <t>17069258-6</t>
  </si>
  <si>
    <t>Tamara Scarlet Soto Vallejos</t>
  </si>
  <si>
    <t>TRYG.76-K</t>
  </si>
  <si>
    <t>AVENIDA JOSE MANUEL BALMACEDA N° 5169, renca</t>
  </si>
  <si>
    <t>13489611-6</t>
  </si>
  <si>
    <t>KXTC.55-3</t>
  </si>
  <si>
    <t>ALMIRANTE LATORRE 0367, comuna de PUENTE ALTO</t>
  </si>
  <si>
    <t>16409957-1</t>
  </si>
  <si>
    <t> C-22132-2024</t>
  </si>
  <si>
    <t> 25º Juzgado Civil de Santiago</t>
  </si>
  <si>
    <t>RRRF.12-7</t>
  </si>
  <si>
    <t>PASAJE LOS ARAUCANOS 01351, comuna de PUENTE ALTO</t>
  </si>
  <si>
    <t>ROBADO</t>
  </si>
  <si>
    <t>26517020-K</t>
  </si>
  <si>
    <t>PEDRO HUGO ALVARADO PIÑEDO</t>
  </si>
  <si>
    <t>SWWC.84-5</t>
  </si>
  <si>
    <t>COQUIMBO 1189 DEPTO 1136, comuna de Santiago</t>
  </si>
  <si>
    <t>25456204-1</t>
  </si>
  <si>
    <t>ARMANDO JOSE VELASQUEZ ORSINI</t>
  </si>
  <si>
    <t>RKYV.85-9</t>
  </si>
  <si>
    <t>PASAJE SANTA CARMEN N°02742, comuna de PUENTE ALTO</t>
  </si>
  <si>
    <t>12408989-1</t>
  </si>
  <si>
    <t>Mauricio Luciano Moran Mujica</t>
  </si>
  <si>
    <t>JCVV.73-K</t>
  </si>
  <si>
    <t>Las Golondrinas Poniente 4081, comuna de Maipú</t>
  </si>
  <si>
    <t>18051143-1</t>
  </si>
  <si>
    <t>ANGELA ALEJANDRA REBECO PÉREZ</t>
  </si>
  <si>
    <t>RHJR.26-K</t>
  </si>
  <si>
    <t>Pasaje. Antofagasta 2161 Departamento. 306, comuna de Maipú</t>
  </si>
  <si>
    <t>16121390-K</t>
  </si>
  <si>
    <t>NICOLÁS PATRICIO ARRAU SOTO</t>
  </si>
  <si>
    <t>RKXF.13-K</t>
  </si>
  <si>
    <t>MANQUEHUE NORTE 1635 DPTO 104, comuna de Vitacura</t>
  </si>
  <si>
    <t>15035046-8</t>
  </si>
  <si>
    <t>YUYUNIS ELIZABETH LOPEHANDÍA GAJARDO</t>
  </si>
  <si>
    <t>18690010-3</t>
  </si>
  <si>
    <t>Brian Abdon Romero Saavedra</t>
  </si>
  <si>
    <t>E-1974-2025</t>
  </si>
  <si>
    <t>1º Juzgado de Letras de la Serena</t>
  </si>
  <si>
    <t>PFRL.77-5</t>
  </si>
  <si>
    <t>MARIO VANNI SANDOVAL N° 1737, COMUNA DE LA SERENA</t>
  </si>
  <si>
    <t>16552562-0</t>
  </si>
  <si>
    <t>GUILLERMO ANDRÉS BAHAMONDES LORCA</t>
  </si>
  <si>
    <t>RFYY.61-2</t>
  </si>
  <si>
    <t>LOS ATACAMEÑOS 2577, comuna de RENCA</t>
  </si>
  <si>
    <t>26929191-5</t>
  </si>
  <si>
    <t>RKJL.71-9</t>
  </si>
  <si>
    <t>AVENIDA PUNTA NOGALES 1384, comuna de Huechuraba</t>
  </si>
  <si>
    <t>15943535-0</t>
  </si>
  <si>
    <t>LUIS CAMILO  ITURRA  EICHIN</t>
  </si>
  <si>
    <t>C-3907-2025</t>
  </si>
  <si>
    <t>16º JUZGADO CIVIL DE SANTIAGO</t>
  </si>
  <si>
    <t>TCWJ.59-1</t>
  </si>
  <si>
    <t>CALLE EL MAICILLO 4334 ISLA DE MAIPO</t>
  </si>
  <si>
    <t>19898341-1</t>
  </si>
  <si>
    <t>CHRISTOPHER ROMMEL SANTOS ÑANCO</t>
  </si>
  <si>
    <t>15º JUZGADO CIVIL DE SANTIAGO</t>
  </si>
  <si>
    <t>RRGV.44-8</t>
  </si>
  <si>
    <t>PASAJE DIEZ N°5836, comuna de La Florida</t>
  </si>
  <si>
    <t>12885296-4</t>
  </si>
  <si>
    <t>CLAUDIO ALEJANDRO VARGAS PÉREZ</t>
  </si>
  <si>
    <t>SKBG.51-K</t>
  </si>
  <si>
    <t>Espinalillo S/N Lote 1, comuna de San Fernando</t>
  </si>
  <si>
    <t>SAN FERNANDO</t>
  </si>
  <si>
    <t>13038018-2</t>
  </si>
  <si>
    <t>ANA LIDIA BASTÍAS ARAYA</t>
  </si>
  <si>
    <t>KDBV.46-9,</t>
  </si>
  <si>
    <t>AV CHESTERTON N°7172 Dpt 142, comuna de Las Condes</t>
  </si>
  <si>
    <t>16174268-6</t>
  </si>
  <si>
    <t>JACQUELINE ANDREA GONZÁLEZ CALDERON</t>
  </si>
  <si>
    <t>LPFT.73-6</t>
  </si>
  <si>
    <t>Pasaje El Estrecho 1951, comuna de Peñalolén</t>
  </si>
  <si>
    <t>77081782-K</t>
  </si>
  <si>
    <t>SRTD.89-3</t>
  </si>
  <si>
    <t>ANTILLANCA N°9087 DPT 901, comuna de Vitacura</t>
  </si>
  <si>
    <t>18151055-2</t>
  </si>
  <si>
    <t>Carlos Andres Silva Lopez</t>
  </si>
  <si>
    <t>HRGF.52-7</t>
  </si>
  <si>
    <t>Libertad N°1273, comuna de LAMPA</t>
  </si>
  <si>
    <t>16075823-6</t>
  </si>
  <si>
    <t>SFKW.72-9</t>
  </si>
  <si>
    <t>MAR EGO N°1772, comuna de EL BOSQUE</t>
  </si>
  <si>
    <t xml:space="preserve">EL BOSQUE </t>
  </si>
  <si>
    <t>17.633.955-1</t>
  </si>
  <si>
    <t>TYZB.63-5</t>
  </si>
  <si>
    <t>EL ALCAZAR ORIENTE 305, comuna de Maipú</t>
  </si>
  <si>
    <t>17.696.201-1</t>
  </si>
  <si>
    <t>LEONARDO ANTONIO ROA GUZMÃN</t>
  </si>
  <si>
    <t>PDPT.52-2</t>
  </si>
  <si>
    <t>Apóstol Santiago N°2347 Dpto 24 Block 8</t>
  </si>
  <si>
    <t>77.436.846-9</t>
  </si>
  <si>
    <t>Sociedad De Servicios Dedes Sepulveda Spa</t>
  </si>
  <si>
    <t>E-793-2025</t>
  </si>
  <si>
    <t>Juzgado de Letras de San Javier</t>
  </si>
  <si>
    <t>HLYR.49-2</t>
  </si>
  <si>
    <t>Soldado Guerra del Pacífico N°451, comuna San Javier</t>
  </si>
  <si>
    <t>SAN JAVIER</t>
  </si>
  <si>
    <t>8.167.513-9</t>
  </si>
  <si>
    <t>ESTELA ROSA NÚÑEZ QUINTANA</t>
  </si>
  <si>
    <t>LWWP.62-3</t>
  </si>
  <si>
    <t>Nonato Coo N°3298, comuna de PUENTE ALTO</t>
  </si>
  <si>
    <t>19.056.039-2</t>
  </si>
  <si>
    <t>LRWP.41-2</t>
  </si>
  <si>
    <t>PSJE. BENJAMIN QUEZADA N°1238, comuna de Conchalí</t>
  </si>
  <si>
    <t>17.904.802-7</t>
  </si>
  <si>
    <t>TSLH.96-0</t>
  </si>
  <si>
    <t>San Jose 2538 Departamento 306, comuna de Maipú</t>
  </si>
  <si>
    <t>12.401.950-8</t>
  </si>
  <si>
    <t>TCRY.73-1</t>
  </si>
  <si>
    <t>SANTA BERTA N°2680, comuna de Maipú</t>
  </si>
  <si>
    <t>24.025.013-6</t>
  </si>
  <si>
    <t>NATHALIE URIBE ZUÑIGA</t>
  </si>
  <si>
    <t>E-720-2026</t>
  </si>
  <si>
    <t>1º Juzgado Civil de Puente Alto</t>
  </si>
  <si>
    <t>KXGK.80-8</t>
  </si>
  <si>
    <t>BALMACEDA N° 371 DPT 411, comuna de PUENTE ALTO</t>
  </si>
  <si>
    <t>26.445.123-K</t>
  </si>
  <si>
    <t xml:space="preserve">EDDY SIMON </t>
  </si>
  <si>
    <t>E-140-2026</t>
  </si>
  <si>
    <t>Juzgado de Letras de Colina</t>
  </si>
  <si>
    <t>RLCK.51-5</t>
  </si>
  <si>
    <t>LOS INGLESES N°166</t>
  </si>
  <si>
    <t>12.886.726-0</t>
  </si>
  <si>
    <t>GUILLERMO ENRIQUE MIRANDA FLORES</t>
  </si>
  <si>
    <t>PSZB.25-5</t>
  </si>
  <si>
    <t>San Pedro Departamento 37 Block 3611, comuna de PUENTE ALTO</t>
  </si>
  <si>
    <t>PENSION</t>
  </si>
  <si>
    <t>16.636.916-9</t>
  </si>
  <si>
    <t>JOSÉ DOMINGO OSORIO ROMERO</t>
  </si>
  <si>
    <t>C-20328-2024</t>
  </si>
  <si>
    <t>JCDG.38-0</t>
  </si>
  <si>
    <t>GREGORIO DE LA FUENTE 3268 DEPTO 1704 A, comuna de Macul</t>
  </si>
  <si>
    <t>19.061.423-9</t>
  </si>
  <si>
    <t>LAURA SOFIA CUBILLOS REYES</t>
  </si>
  <si>
    <t>C-11270-2025</t>
  </si>
  <si>
    <t>RVZR.39-8</t>
  </si>
  <si>
    <t>PEDRO MIRA N°431, comuna de SAN JOAQUIN</t>
  </si>
  <si>
    <t>SAN JOAQUIN</t>
  </si>
  <si>
    <t>15.618.940-5</t>
  </si>
  <si>
    <t>SVHP.70-8</t>
  </si>
  <si>
    <t>19 Norte 1004, comuna de Independencia</t>
  </si>
  <si>
    <t>77.069.582-1</t>
  </si>
  <si>
    <t>CONSTRUCCIONES PTS LIMITADA</t>
  </si>
  <si>
    <t>PBFW.24-2</t>
  </si>
  <si>
    <t>CHOSHUENCO N° 1399, comuna de La Florida</t>
  </si>
  <si>
    <t>26.300.999-1</t>
  </si>
  <si>
    <t>VCPR.85-K</t>
  </si>
  <si>
    <t>SAN NICOLAS 1380 EDIFICIO A DPTO 406, comuna de SAN MIGUEL</t>
  </si>
  <si>
    <t>26.423.358-5</t>
  </si>
  <si>
    <t>CARLOS EDUARDO GUERRA YAÑEZ</t>
  </si>
  <si>
    <t>SWKW.26-4</t>
  </si>
  <si>
    <t>SAN ISIDRO 250 DEPTO 2217, comuna de SANTIAGO</t>
  </si>
  <si>
    <t>14.190.835-9</t>
  </si>
  <si>
    <t>FBRX.10-2</t>
  </si>
  <si>
    <t>TURQUESTAN N°795, comuna de MAIPU</t>
  </si>
  <si>
    <t>17.484.899-8</t>
  </si>
  <si>
    <t>ANGÉLICA ESTER NARVÁEZ CASTRO</t>
  </si>
  <si>
    <t>RRJV.47-3</t>
  </si>
  <si>
    <t>VIOLETA PARRA 1954 DPTO TORRE I DEPTO 212, comuna de LA PINTANA</t>
  </si>
  <si>
    <t>7.044.994-3</t>
  </si>
  <si>
    <t>JJXL.31-3</t>
  </si>
  <si>
    <t>Huérfanos Nº 714, Of. 116, comuna de Santiago</t>
  </si>
  <si>
    <t>20.138.902-K</t>
  </si>
  <si>
    <t>30º Juzgado Civil de Santiago</t>
  </si>
  <si>
    <t>LKXR.77-9</t>
  </si>
  <si>
    <t>DIAGONAL TRAVESIA N° 8721 Depto 204 Torre Florencia, comuna de Pudahuel</t>
  </si>
  <si>
    <t>17.250.462-0</t>
  </si>
  <si>
    <t>PABLO CÉSAR LÓPEZ RIQUELME</t>
  </si>
  <si>
    <t>RSTX.44</t>
  </si>
  <si>
    <t>ÑUBLE N°985, comuna de Santiago</t>
  </si>
  <si>
    <t>26.312.380-8</t>
  </si>
  <si>
    <t>JYZK.93-2</t>
  </si>
  <si>
    <t>Aragonés 5 Poniente Casa 1065, comuna de PUENTE ALTO</t>
  </si>
  <si>
    <t>10.101.870-9</t>
  </si>
  <si>
    <t>E-232-2026</t>
  </si>
  <si>
    <t>Juzgado de Letras de La Ligua</t>
  </si>
  <si>
    <t>KLJY.76-K</t>
  </si>
  <si>
    <t>EL BELLOTO 70 COMUNA DE PAPUDO</t>
  </si>
  <si>
    <t>12.325.963-7</t>
  </si>
  <si>
    <t>E-294-2026</t>
  </si>
  <si>
    <t>1º Juzgado de Letras de Los Angeles</t>
  </si>
  <si>
    <t>TWKK.13-9</t>
  </si>
  <si>
    <t xml:space="preserve">LOS OMAGUACAS N°1720 VILLA LAS AMERICAS, LOS ANGELES </t>
  </si>
  <si>
    <t>17.395.256-2</t>
  </si>
  <si>
    <t>E-6359-2025</t>
  </si>
  <si>
    <t>3º Juzgado Civil de Concepción</t>
  </si>
  <si>
    <t>SHYD.64-8</t>
  </si>
  <si>
    <t xml:space="preserve">Calle Almirante Rivero Norte Nº1875 Block B Departamento 203, Concepcion </t>
  </si>
  <si>
    <t>CONCEPACION</t>
  </si>
  <si>
    <t>14.398.506-7</t>
  </si>
  <si>
    <t>E-1955-2025</t>
  </si>
  <si>
    <t>2º Juzgado de Letras Civil de Antofagasta</t>
  </si>
  <si>
    <t>TPCJ.93-0</t>
  </si>
  <si>
    <t>Oscar Bonilla N° 9211 comuna Antofagasta</t>
  </si>
  <si>
    <t>ANTOGASTA</t>
  </si>
  <si>
    <t>26.178.249-9</t>
  </si>
  <si>
    <t>EDWIN ALBERTO SALINAS LEON</t>
  </si>
  <si>
    <t>RPXP.90-1</t>
  </si>
  <si>
    <t>Avda. Espa a #62, casa 10, comuna de Santiago</t>
  </si>
  <si>
    <t>26.496.146-7</t>
  </si>
  <si>
    <t>KARLA DIANNETT COLMENARES MORA</t>
  </si>
  <si>
    <t>C-11271-2025</t>
  </si>
  <si>
    <t>RHVS.58-3</t>
  </si>
  <si>
    <t>VILLASANA 2045 DP 43 TORRE D, comuna de Quinta Normal</t>
  </si>
  <si>
    <t>10.357.961-9</t>
  </si>
  <si>
    <t>E-5182-2025</t>
  </si>
  <si>
    <t>2º Juzgado Civil de Rancagua</t>
  </si>
  <si>
    <t>RVRB.23-7</t>
  </si>
  <si>
    <t>CALLE CENTRAL N° 27 B, POBLACION EL ÁLAMO, COYA, comuna de MACHALI</t>
  </si>
  <si>
    <t>15.018.806-7</t>
  </si>
  <si>
    <t>E-2812-2025</t>
  </si>
  <si>
    <t>PGRC.55-4</t>
  </si>
  <si>
    <t xml:space="preserve">Río Maule N°9575, Antofagasta </t>
  </si>
  <si>
    <t>12.178.968-K</t>
  </si>
  <si>
    <t>RPWP.65-5</t>
  </si>
  <si>
    <t>Santa Filomena 172 Casa 62, comuna de Recoleta</t>
  </si>
  <si>
    <t>10.639.738-4</t>
  </si>
  <si>
    <t>RGXJ.94-1</t>
  </si>
  <si>
    <t>Pudeto 6579 Departamento 1706, comuna de La Florida</t>
  </si>
  <si>
    <t>25.588.177-9</t>
  </si>
  <si>
    <t>RDKT.58-2</t>
  </si>
  <si>
    <t>AV ZAÑARTU N°1315 DEPARTAMENTO N°1319, comuna de Ñuñoa</t>
  </si>
  <si>
    <t>catalpa 1461</t>
  </si>
  <si>
    <t>san bernardo</t>
  </si>
  <si>
    <t>16.392.150-2</t>
  </si>
  <si>
    <t>PATRICIA ALEJANDRA ZEPEDA RIVEROS</t>
  </si>
  <si>
    <t>C-8354-2025</t>
  </si>
  <si>
    <t>RCCK.77-7</t>
  </si>
  <si>
    <t>GENERAL BUENDIA #431 BLOCK 109 DEPARTAMENTO 11 VILLA VILLA ARTURO PRAT, comuna de Lo Prado</t>
  </si>
  <si>
    <t>Lo Prado</t>
  </si>
  <si>
    <t>18.957.719-2</t>
  </si>
  <si>
    <t>E-514-2026</t>
  </si>
  <si>
    <t>2º Juzgado Civil de Concepción</t>
  </si>
  <si>
    <t>RTRZ.90-K</t>
  </si>
  <si>
    <t>Calle 2, casa 749, Boca Sur, San Pedro de la Paz</t>
  </si>
  <si>
    <t>San Pedro de La Paz</t>
  </si>
  <si>
    <t>16.922.010-7</t>
  </si>
  <si>
    <t>E-458-2026</t>
  </si>
  <si>
    <t>1º Juzgado Civil de Valdivia</t>
  </si>
  <si>
    <t>RLRZ.31-7</t>
  </si>
  <si>
    <t>PEDRO AGUIRRE CERDA 206 AUTOMOTORA BERRIOS, VALDIVIA</t>
  </si>
  <si>
    <t>15.396.541-2</t>
  </si>
  <si>
    <t>E-101-2026</t>
  </si>
  <si>
    <t>1º Juzgado Civil de San Miguel</t>
  </si>
  <si>
    <t>SHBP.19-5</t>
  </si>
  <si>
    <t>Paicavi N 0820, comuna de La Pintana</t>
  </si>
  <si>
    <t>13.422.825-3</t>
  </si>
  <si>
    <t>E-87-2026</t>
  </si>
  <si>
    <t>2º Juzgado de Letras de Copiapó</t>
  </si>
  <si>
    <t>RVRF.34-1</t>
  </si>
  <si>
    <t>CARLOS VAN BUREN 823, COPIAPO</t>
  </si>
  <si>
    <t>25.013.996-9</t>
  </si>
  <si>
    <t>E-2293-2025</t>
  </si>
  <si>
    <t>RVRH.84-0</t>
  </si>
  <si>
    <t>calle Diagonal Norte N°5706, comuna de Antofagasta</t>
  </si>
  <si>
    <t>15.621.497-3</t>
  </si>
  <si>
    <t>PAULINA ANDREA HENRIQUEZ TELLO</t>
  </si>
  <si>
    <t>E-1967-2025</t>
  </si>
  <si>
    <t>KVJW.91-2</t>
  </si>
  <si>
    <t>LOMAS DE CATAPILCO SITIO N°58, COMUNA DE ZAPALLAR</t>
  </si>
  <si>
    <t>76.823.538-4</t>
  </si>
  <si>
    <t>COMERCIALIZADORA CORRALES DEL CAMPO CL SPA</t>
  </si>
  <si>
    <t>E-2352-2025</t>
  </si>
  <si>
    <t>3º Juzgado de Letras de Talca</t>
  </si>
  <si>
    <t>SCXD.60-1</t>
  </si>
  <si>
    <t>LOS MAITENES 1974 LA FORESTA III, TALCA</t>
  </si>
  <si>
    <t>77.290.431-2</t>
  </si>
  <si>
    <t>PSXX.27-9</t>
  </si>
  <si>
    <t>Av Cuadro Verde 160, Torre1 Departamento24, comuna de Estación Central</t>
  </si>
  <si>
    <t>29-05-2026 </t>
  </si>
  <si>
    <t>pago una sola cuota</t>
  </si>
  <si>
    <t>pago por transferencia</t>
  </si>
  <si>
    <t>se aplica pago a flokzu</t>
  </si>
  <si>
    <t>trasnferencia</t>
  </si>
  <si>
    <t>ROTO</t>
  </si>
  <si>
    <t>abono por transferencia de 800000</t>
  </si>
  <si>
    <t>seguro</t>
  </si>
  <si>
    <t>PROYECCION JULIO</t>
  </si>
  <si>
    <t>PROYECCION DACION</t>
  </si>
  <si>
    <t>Gestor</t>
  </si>
  <si>
    <t>N° proyección</t>
  </si>
  <si>
    <t xml:space="preserve">RUT </t>
  </si>
  <si>
    <t>FECHA FIRMA</t>
  </si>
  <si>
    <t xml:space="preserve">FECHA ENTREGA </t>
  </si>
  <si>
    <t xml:space="preserve"> TIPO DE TRANSACCION </t>
  </si>
  <si>
    <t xml:space="preserve">CARTERA </t>
  </si>
  <si>
    <t xml:space="preserve"> FECHA ENVIO </t>
  </si>
  <si>
    <t xml:space="preserve">  SALDO  </t>
  </si>
  <si>
    <t xml:space="preserve">ESTADO JUDICIAL </t>
  </si>
  <si>
    <t>17-07.2026</t>
  </si>
  <si>
    <t>dacion firmada</t>
  </si>
  <si>
    <t>vigente</t>
  </si>
  <si>
    <t>falta coordinar entrega</t>
  </si>
  <si>
    <t>DACION POST INCAUTACION </t>
  </si>
  <si>
    <t>PROYECCION RENEGOCIACION</t>
  </si>
  <si>
    <t>campaña</t>
  </si>
  <si>
    <t>sin campaña</t>
  </si>
  <si>
    <t>RENEGOCIACION FIRMADA</t>
  </si>
  <si>
    <t>firmada</t>
  </si>
  <si>
    <t xml:space="preserve">ESTUDIO </t>
  </si>
  <si>
    <t>META MM $</t>
  </si>
  <si>
    <t>RECUPERO MM$</t>
  </si>
  <si>
    <t>PROYECCION SEMANAL MM$</t>
  </si>
  <si>
    <t>PROYECCION CIERRE MM$</t>
  </si>
  <si>
    <t>PROYECCION /META %</t>
  </si>
  <si>
    <r>
      <t>RECUPERO MM $</t>
    </r>
    <r>
      <rPr>
        <b/>
        <sz val="9"/>
        <color rgb="FF000000"/>
        <rFont val="Calibri"/>
        <family val="2"/>
      </rPr>
      <t>    </t>
    </r>
  </si>
  <si>
    <t>PROYECCION SEMANAL MM $</t>
  </si>
  <si>
    <t>PROYECCION CIERRE MM</t>
  </si>
  <si>
    <t xml:space="preserve">%CIERRE  </t>
  </si>
  <si>
    <t>31.928.666</t>
  </si>
  <si>
    <t xml:space="preserve"> $                                  37.011.987</t>
  </si>
  <si>
    <t xml:space="preserve">PLAN DE PAGO </t>
  </si>
  <si>
    <t xml:space="preserve">TUBO </t>
  </si>
  <si>
    <t xml:space="preserve">ID </t>
  </si>
  <si>
    <t>PUT/PEC</t>
  </si>
  <si>
    <t xml:space="preserve">DACION </t>
  </si>
  <si>
    <t>DACION CON VUELTO</t>
  </si>
  <si>
    <t>DACION POST INCAUTACION</t>
  </si>
  <si>
    <t>CHEQUES REMATES POR TERCEROS</t>
  </si>
  <si>
    <t>$13.446.356</t>
  </si>
  <si>
    <t xml:space="preserve">FACTURA CARGO AL CREDITO </t>
  </si>
  <si>
    <t>SINIESTRO</t>
  </si>
  <si>
    <t xml:space="preserve">TOTALES  </t>
  </si>
  <si>
    <t xml:space="preserve">CHEQUE  TANNER JUNIO  2026 </t>
  </si>
  <si>
    <t>TSF</t>
  </si>
  <si>
    <t>$3.351.681</t>
  </si>
  <si>
    <t>proyección junio 2026</t>
  </si>
  <si>
    <t>rendición de cuenta en escritos por resolver</t>
  </si>
  <si>
    <t xml:space="preserve">CASTIGO </t>
  </si>
  <si>
    <t>$4.665.000</t>
  </si>
  <si>
    <t>tribunal ordena que martillero acompañe acta para proveer</t>
  </si>
  <si>
    <t> </t>
  </si>
  <si>
    <t>Calle Copiapo, , XV REGION</t>
  </si>
  <si>
    <t>fragata esmeralda 161 chiguayante sur 3</t>
  </si>
  <si>
    <t>Corinto 1820 Departamento 207, Vitacura, REGION METROPOLITANA</t>
  </si>
  <si>
    <t>benavente 92 ovalle centro</t>
  </si>
  <si>
    <t>Doctor Luis Calvo Mackenna 7428, La Florida, REGION METROPOLITANA</t>
  </si>
  <si>
    <t>embargo</t>
  </si>
  <si>
    <t>Ahorro 8533, Cerro Navia, REGION METROPOLITANA</t>
  </si>
  <si>
    <t>Pasaje Alcala 326, Quilicura, REGION METROPOLITANA</t>
  </si>
  <si>
    <t>credito</t>
  </si>
  <si>
    <t xml:space="preserve">observacion </t>
  </si>
  <si>
    <t>comentario</t>
  </si>
  <si>
    <t>se hace busqueda en infoguet se logra contactar con la mama quien indica que es una estafa su hijo nunca ha tenido un crdito en otros nro no contesta</t>
  </si>
  <si>
    <t>posible estafa</t>
  </si>
  <si>
    <t>Gitano, sin numeros en info get, no ha pagado ninguna cuota. Monto alto</t>
  </si>
  <si>
    <t>cliente inubicable en nros de busqueda en infoget</t>
  </si>
  <si>
    <t>cliente inubicable en todos los nros se hace busqueda en infoget</t>
  </si>
  <si>
    <t>numeros de info get no contestan, apellido Gitano. No ha pagado ninguna cuota. Monto alto</t>
  </si>
  <si>
    <t>no contesta se hace busqueda en infoguet nro de empresa relacionada a cliente no contesta</t>
  </si>
  <si>
    <t>certificado defuncion</t>
  </si>
  <si>
    <t>fallecido</t>
  </si>
  <si>
    <t xml:space="preserve">
3575468</t>
  </si>
  <si>
    <t>cliente inubicable no contesta tlf se llama reiteradas veces se contacta un familiar que ahora dice que no tiene contacto con el caballero</t>
  </si>
  <si>
    <t xml:space="preserve">
3462511</t>
  </si>
  <si>
    <t>no contesta ningun nro registrado se hace busqueda en infoget</t>
  </si>
  <si>
    <t xml:space="preserve">
2558898</t>
  </si>
  <si>
    <t>se deja registro desde infoget se agregan numeros y no conocen a deudor</t>
  </si>
  <si>
    <t xml:space="preserve">
3595358</t>
  </si>
  <si>
    <t>se deja registro de infoget se agregan 5 numeros y ninguno comtesta solamente uno contesto y no conoce a deudor</t>
  </si>
  <si>
    <t xml:space="preserve">
3475457</t>
  </si>
  <si>
    <t>inubicable en todos los nros se hace busqueda en infoguet</t>
  </si>
  <si>
    <t xml:space="preserve">
3547176</t>
  </si>
  <si>
    <t>pareja Cesar Salas inf. tit se encuentra cesante hace 5 meses, ademas tuvieron problema c/el motor y quedaron en enviar mecanico</t>
  </si>
  <si>
    <t>se hace busqueda en infoget no se logra ubicar a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</si>
</sst>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;[Red]&quot;$&quot;\-#,##0"/>
    <numFmt numFmtId="165" formatCode="_ &quot;$&quot;* #,##0_ ;_ &quot;$&quot;* \-#,##0_ ;_ &quot;$&quot;* &quot;-&quot;_ ;_ @_ "/>
    <numFmt numFmtId="166" formatCode="dd\-mm\-yyyy;@"/>
    <numFmt numFmtId="167" formatCode="&quot;$&quot;#,##0.00"/>
  </numFmts>
  <fonts count="54">
    <font>
      <sz val="11"/>
      <name val="Aptos Narrow"/>
    </font>
    <font>
      <sz val="11"/>
      <color theme="1"/>
      <name val="Aptos Narrow"/>
      <family val="2"/>
      <scheme val="minor"/>
    </font>
    <font>
      <sz val="11"/>
      <name val="Aptos Narrow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</font>
    <font>
      <b/>
      <sz val="11"/>
      <name val="Aptos Narrow"/>
      <family val="2"/>
      <scheme val="minor"/>
    </font>
    <font>
      <sz val="10"/>
      <color theme="1"/>
      <name val="Times New Roman"/>
      <family val="1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9"/>
      <name val="Calibri"/>
      <family val="2"/>
    </font>
    <font>
      <sz val="11"/>
      <name val="Aptos Narrow"/>
      <family val="2"/>
      <scheme val="minor"/>
    </font>
    <font>
      <b/>
      <sz val="11"/>
      <color rgb="FFFFFFFF"/>
      <name val="Aptos Narrow"/>
      <family val="2"/>
    </font>
    <font>
      <sz val="9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</font>
    <font>
      <b/>
      <sz val="11"/>
      <color rgb="FF000000"/>
      <name val="Aptos Narrow"/>
      <family val="2"/>
      <scheme val="minor"/>
    </font>
    <font>
      <sz val="11"/>
      <name val="Segoe UI"/>
      <family val="2"/>
    </font>
    <font>
      <b/>
      <sz val="11"/>
      <color rgb="FFFFFFFF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242424"/>
      <name val="Segoe UI"/>
      <family val="2"/>
    </font>
    <font>
      <b/>
      <sz val="11"/>
      <color theme="0"/>
      <name val="Calibri"/>
      <family val="2"/>
    </font>
    <font>
      <sz val="12"/>
      <color theme="0"/>
      <name val="Calibri"/>
      <family val="2"/>
    </font>
    <font>
      <b/>
      <sz val="9"/>
      <color theme="0"/>
      <name val="Calibri"/>
      <family val="2"/>
    </font>
    <font>
      <b/>
      <sz val="10"/>
      <color theme="0"/>
      <name val="Calibri"/>
      <family val="2"/>
    </font>
    <font>
      <sz val="11"/>
      <color theme="0"/>
      <name val="Aptos Narrow"/>
      <family val="2"/>
    </font>
    <font>
      <sz val="11"/>
      <name val="Calibri"/>
      <family val="2"/>
    </font>
    <font>
      <sz val="10"/>
      <name val="Aptos Narrow"/>
      <family val="2"/>
      <scheme val="minor"/>
    </font>
    <font>
      <b/>
      <sz val="12"/>
      <color theme="0"/>
      <name val="Calibri"/>
      <family val="2"/>
    </font>
    <font>
      <b/>
      <sz val="11"/>
      <color theme="0"/>
      <name val="Aptos Narrow"/>
      <family val="2"/>
    </font>
    <font>
      <b/>
      <sz val="11"/>
      <color rgb="FF000000"/>
      <name val="Calibri"/>
      <family val="2"/>
    </font>
    <font>
      <sz val="11"/>
      <color theme="0"/>
      <name val="Aptos Narrow"/>
    </font>
    <font>
      <b/>
      <sz val="11"/>
      <name val="Aptos Narrow"/>
      <family val="2"/>
    </font>
    <font>
      <sz val="11"/>
      <color rgb="FFFF0000"/>
      <name val="Aptos Narrow"/>
    </font>
    <font>
      <b/>
      <sz val="11"/>
      <color rgb="FFFF0000"/>
      <name val="Calibri"/>
      <family val="2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sz val="11"/>
      <color rgb="FFFF0000"/>
      <name val="Calibri"/>
      <family val="2"/>
    </font>
    <font>
      <sz val="10"/>
      <color rgb="FFFF0000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1"/>
      <color rgb="FFFF0000"/>
      <name val="Aptos Narrow"/>
      <family val="2"/>
    </font>
    <font>
      <sz val="11"/>
      <color rgb="FF000000"/>
      <name val="Calibri"/>
      <family val="2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charset val="1"/>
    </font>
    <font>
      <sz val="12"/>
      <name val="Aptos"/>
      <family val="2"/>
      <charset val="1"/>
    </font>
    <font>
      <sz val="11"/>
      <color rgb="FF000000"/>
      <name val="Aptos Narrow"/>
    </font>
    <font>
      <u/>
      <sz val="11"/>
      <color theme="10"/>
      <name val="Aptos Narrow"/>
    </font>
    <font>
      <sz val="11"/>
      <color rgb="FF333333"/>
      <name val="Source Sans Pro"/>
      <charset val="1"/>
    </font>
    <font>
      <sz val="11"/>
      <color theme="10"/>
      <name val="Aptos Narrow"/>
    </font>
    <font>
      <sz val="8"/>
      <name val="Aptos Narrow"/>
    </font>
    <font>
      <sz val="12"/>
      <color rgb="FF242424"/>
      <name val="Segoe UI"/>
      <family val="2"/>
    </font>
  </fonts>
  <fills count="3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rgb="FF000000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9" fillId="0" borderId="0" applyNumberFormat="0" applyFill="0" applyBorder="0" applyAlignment="0" applyProtection="0"/>
  </cellStyleXfs>
  <cellXfs count="541">
    <xf numFmtId="0" fontId="0" fillId="0" borderId="0" xfId="0"/>
    <xf numFmtId="0" fontId="0" fillId="0" borderId="1" xfId="0" applyBorder="1"/>
    <xf numFmtId="1" fontId="0" fillId="0" borderId="0" xfId="0" applyNumberFormat="1"/>
    <xf numFmtId="14" fontId="0" fillId="0" borderId="0" xfId="0" applyNumberFormat="1"/>
    <xf numFmtId="3" fontId="0" fillId="0" borderId="0" xfId="0" applyNumberFormat="1"/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164" fontId="0" fillId="0" borderId="0" xfId="0" applyNumberFormat="1"/>
    <xf numFmtId="0" fontId="0" fillId="0" borderId="2" xfId="0" applyBorder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165" fontId="8" fillId="3" borderId="3" xfId="1" applyFont="1" applyFill="1" applyBorder="1" applyAlignme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9" fillId="0" borderId="0" xfId="0" applyFont="1"/>
    <xf numFmtId="165" fontId="9" fillId="0" borderId="0" xfId="1" applyFont="1"/>
    <xf numFmtId="165" fontId="9" fillId="0" borderId="0" xfId="0" applyNumberFormat="1" applyFont="1"/>
    <xf numFmtId="165" fontId="9" fillId="3" borderId="0" xfId="0" applyNumberFormat="1" applyFont="1" applyFill="1"/>
    <xf numFmtId="0" fontId="7" fillId="2" borderId="3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0" fillId="0" borderId="3" xfId="0" applyBorder="1"/>
    <xf numFmtId="0" fontId="11" fillId="4" borderId="3" xfId="0" applyFont="1" applyFill="1" applyBorder="1" applyAlignment="1">
      <alignment horizontal="center" vertical="center"/>
    </xf>
    <xf numFmtId="165" fontId="11" fillId="3" borderId="0" xfId="0" applyNumberFormat="1" applyFont="1" applyFill="1" applyAlignment="1">
      <alignment horizontal="center" vertical="center"/>
    </xf>
    <xf numFmtId="165" fontId="12" fillId="3" borderId="3" xfId="1" applyFont="1" applyFill="1" applyBorder="1" applyAlignment="1"/>
    <xf numFmtId="165" fontId="10" fillId="3" borderId="0" xfId="1" applyFont="1" applyFill="1" applyBorder="1" applyAlignment="1">
      <alignment horizontal="center" vertical="center"/>
    </xf>
    <xf numFmtId="165" fontId="13" fillId="3" borderId="3" xfId="1" applyFont="1" applyFill="1" applyBorder="1" applyAlignment="1"/>
    <xf numFmtId="165" fontId="10" fillId="3" borderId="0" xfId="0" applyNumberFormat="1" applyFont="1" applyFill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65" fontId="16" fillId="0" borderId="3" xfId="1" applyFont="1" applyBorder="1" applyAlignment="1"/>
    <xf numFmtId="9" fontId="7" fillId="4" borderId="3" xfId="0" applyNumberFormat="1" applyFont="1" applyFill="1" applyBorder="1" applyAlignment="1">
      <alignment horizontal="center" vertical="center"/>
    </xf>
    <xf numFmtId="9" fontId="10" fillId="3" borderId="0" xfId="2" applyFont="1" applyFill="1" applyBorder="1" applyAlignment="1">
      <alignment horizontal="center" vertical="center"/>
    </xf>
    <xf numFmtId="9" fontId="9" fillId="0" borderId="0" xfId="2" applyFont="1" applyAlignment="1">
      <alignment horizontal="center"/>
    </xf>
    <xf numFmtId="0" fontId="0" fillId="3" borderId="0" xfId="0" applyFill="1" applyAlignment="1">
      <alignment horizontal="center"/>
    </xf>
    <xf numFmtId="0" fontId="17" fillId="3" borderId="0" xfId="0" applyFont="1" applyFill="1"/>
    <xf numFmtId="165" fontId="0" fillId="0" borderId="0" xfId="1" applyFont="1"/>
    <xf numFmtId="1" fontId="17" fillId="3" borderId="3" xfId="0" applyNumberFormat="1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8" fillId="6" borderId="0" xfId="0" applyFont="1" applyFill="1" applyAlignment="1">
      <alignment vertical="center"/>
    </xf>
    <xf numFmtId="0" fontId="13" fillId="3" borderId="0" xfId="0" applyFont="1" applyFill="1"/>
    <xf numFmtId="0" fontId="13" fillId="0" borderId="0" xfId="0" applyFont="1"/>
    <xf numFmtId="0" fontId="19" fillId="0" borderId="0" xfId="0" applyFont="1" applyAlignment="1">
      <alignment horizontal="left"/>
    </xf>
    <xf numFmtId="0" fontId="18" fillId="5" borderId="3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14" fontId="13" fillId="6" borderId="3" xfId="0" applyNumberFormat="1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vertical="center"/>
    </xf>
    <xf numFmtId="0" fontId="13" fillId="6" borderId="3" xfId="0" applyFont="1" applyFill="1" applyBorder="1"/>
    <xf numFmtId="14" fontId="13" fillId="6" borderId="3" xfId="0" applyNumberFormat="1" applyFont="1" applyFill="1" applyBorder="1"/>
    <xf numFmtId="0" fontId="13" fillId="0" borderId="4" xfId="0" applyFont="1" applyBorder="1" applyAlignment="1">
      <alignment horizontal="left"/>
    </xf>
    <xf numFmtId="0" fontId="13" fillId="0" borderId="7" xfId="0" applyFont="1" applyBorder="1"/>
    <xf numFmtId="0" fontId="13" fillId="0" borderId="3" xfId="0" applyFont="1" applyBorder="1"/>
    <xf numFmtId="0" fontId="13" fillId="0" borderId="1" xfId="0" applyFont="1" applyBorder="1" applyAlignment="1">
      <alignment horizontal="left"/>
    </xf>
    <xf numFmtId="0" fontId="13" fillId="0" borderId="3" xfId="0" applyFont="1" applyBorder="1" applyAlignment="1">
      <alignment horizontal="center" vertical="center" wrapText="1"/>
    </xf>
    <xf numFmtId="0" fontId="13" fillId="0" borderId="9" xfId="0" applyFont="1" applyBorder="1"/>
    <xf numFmtId="0" fontId="13" fillId="0" borderId="3" xfId="0" applyFont="1" applyBorder="1" applyAlignment="1">
      <alignment horizontal="center"/>
    </xf>
    <xf numFmtId="14" fontId="13" fillId="0" borderId="3" xfId="0" applyNumberFormat="1" applyFont="1" applyBorder="1" applyAlignment="1">
      <alignment horizontal="center"/>
    </xf>
    <xf numFmtId="0" fontId="4" fillId="0" borderId="3" xfId="0" applyFont="1" applyBorder="1"/>
    <xf numFmtId="0" fontId="13" fillId="3" borderId="4" xfId="0" applyFont="1" applyFill="1" applyBorder="1" applyAlignment="1">
      <alignment horizontal="left"/>
    </xf>
    <xf numFmtId="0" fontId="13" fillId="3" borderId="11" xfId="0" applyFont="1" applyFill="1" applyBorder="1" applyAlignment="1">
      <alignment horizontal="center"/>
    </xf>
    <xf numFmtId="0" fontId="13" fillId="3" borderId="16" xfId="0" applyFont="1" applyFill="1" applyBorder="1" applyAlignment="1">
      <alignment horizontal="left"/>
    </xf>
    <xf numFmtId="0" fontId="16" fillId="3" borderId="3" xfId="0" applyFont="1" applyFill="1" applyBorder="1" applyAlignment="1">
      <alignment horizontal="center" vertical="center"/>
    </xf>
    <xf numFmtId="0" fontId="13" fillId="3" borderId="14" xfId="0" applyFont="1" applyFill="1" applyBorder="1"/>
    <xf numFmtId="14" fontId="13" fillId="3" borderId="3" xfId="0" applyNumberFormat="1" applyFont="1" applyFill="1" applyBorder="1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0" fontId="17" fillId="0" borderId="0" xfId="0" applyFont="1"/>
    <xf numFmtId="0" fontId="21" fillId="7" borderId="3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horizontal="left" vertical="center"/>
    </xf>
    <xf numFmtId="0" fontId="21" fillId="8" borderId="10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0" fontId="21" fillId="8" borderId="12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17" fillId="0" borderId="3" xfId="0" applyFont="1" applyBorder="1"/>
    <xf numFmtId="0" fontId="5" fillId="3" borderId="3" xfId="0" applyFont="1" applyFill="1" applyBorder="1" applyAlignment="1">
      <alignment horizontal="center" vertical="center"/>
    </xf>
    <xf numFmtId="0" fontId="17" fillId="3" borderId="3" xfId="0" applyFont="1" applyFill="1" applyBorder="1"/>
    <xf numFmtId="0" fontId="17" fillId="11" borderId="0" xfId="0" applyFont="1" applyFill="1"/>
    <xf numFmtId="0" fontId="22" fillId="0" borderId="3" xfId="0" applyFont="1" applyBorder="1" applyAlignment="1">
      <alignment horizontal="center"/>
    </xf>
    <xf numFmtId="0" fontId="22" fillId="0" borderId="3" xfId="0" applyFont="1" applyBorder="1" applyAlignment="1">
      <alignment horizontal="left"/>
    </xf>
    <xf numFmtId="165" fontId="17" fillId="3" borderId="7" xfId="0" applyNumberFormat="1" applyFont="1" applyFill="1" applyBorder="1" applyAlignment="1">
      <alignment horizontal="center"/>
    </xf>
    <xf numFmtId="0" fontId="5" fillId="13" borderId="3" xfId="0" applyFont="1" applyFill="1" applyBorder="1" applyAlignment="1">
      <alignment vertical="center"/>
    </xf>
    <xf numFmtId="0" fontId="18" fillId="12" borderId="3" xfId="0" applyFont="1" applyFill="1" applyBorder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3" fillId="13" borderId="3" xfId="0" applyFont="1" applyFill="1" applyBorder="1"/>
    <xf numFmtId="0" fontId="13" fillId="12" borderId="3" xfId="0" applyFont="1" applyFill="1" applyBorder="1"/>
    <xf numFmtId="0" fontId="13" fillId="13" borderId="0" xfId="0" applyFont="1" applyFill="1"/>
    <xf numFmtId="0" fontId="13" fillId="13" borderId="8" xfId="0" applyFont="1" applyFill="1" applyBorder="1"/>
    <xf numFmtId="0" fontId="28" fillId="3" borderId="3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9" fillId="3" borderId="3" xfId="0" applyFont="1" applyFill="1" applyBorder="1"/>
    <xf numFmtId="165" fontId="28" fillId="3" borderId="3" xfId="1" applyFont="1" applyFill="1" applyBorder="1" applyAlignment="1">
      <alignment horizontal="left"/>
    </xf>
    <xf numFmtId="0" fontId="13" fillId="6" borderId="3" xfId="0" applyFont="1" applyFill="1" applyBorder="1" applyAlignment="1">
      <alignment horizontal="center"/>
    </xf>
    <xf numFmtId="165" fontId="13" fillId="3" borderId="3" xfId="1" applyFont="1" applyFill="1" applyBorder="1"/>
    <xf numFmtId="0" fontId="28" fillId="3" borderId="3" xfId="0" applyFont="1" applyFill="1" applyBorder="1"/>
    <xf numFmtId="0" fontId="13" fillId="3" borderId="3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66" fontId="13" fillId="6" borderId="3" xfId="0" applyNumberFormat="1" applyFont="1" applyFill="1" applyBorder="1" applyAlignment="1">
      <alignment horizontal="right"/>
    </xf>
    <xf numFmtId="0" fontId="27" fillId="3" borderId="0" xfId="0" applyFont="1" applyFill="1"/>
    <xf numFmtId="0" fontId="23" fillId="14" borderId="17" xfId="0" applyFont="1" applyFill="1" applyBorder="1" applyAlignment="1">
      <alignment horizontal="center"/>
    </xf>
    <xf numFmtId="0" fontId="24" fillId="14" borderId="17" xfId="0" applyFont="1" applyFill="1" applyBorder="1" applyAlignment="1">
      <alignment horizontal="center"/>
    </xf>
    <xf numFmtId="0" fontId="25" fillId="14" borderId="17" xfId="0" applyFont="1" applyFill="1" applyBorder="1"/>
    <xf numFmtId="0" fontId="27" fillId="7" borderId="1" xfId="0" applyFont="1" applyFill="1" applyBorder="1"/>
    <xf numFmtId="0" fontId="26" fillId="14" borderId="17" xfId="0" applyFont="1" applyFill="1" applyBorder="1" applyAlignment="1">
      <alignment horizontal="center"/>
    </xf>
    <xf numFmtId="165" fontId="23" fillId="14" borderId="17" xfId="1" applyFont="1" applyFill="1" applyBorder="1" applyAlignment="1">
      <alignment horizontal="left"/>
    </xf>
    <xf numFmtId="165" fontId="24" fillId="14" borderId="17" xfId="1" applyFont="1" applyFill="1" applyBorder="1" applyAlignment="1">
      <alignment horizontal="left"/>
    </xf>
    <xf numFmtId="166" fontId="23" fillId="14" borderId="17" xfId="0" applyNumberFormat="1" applyFont="1" applyFill="1" applyBorder="1" applyAlignment="1">
      <alignment horizontal="right"/>
    </xf>
    <xf numFmtId="14" fontId="23" fillId="14" borderId="17" xfId="0" applyNumberFormat="1" applyFont="1" applyFill="1" applyBorder="1" applyAlignment="1">
      <alignment horizontal="center" vertical="center"/>
    </xf>
    <xf numFmtId="165" fontId="23" fillId="14" borderId="17" xfId="1" applyFont="1" applyFill="1" applyBorder="1" applyAlignment="1">
      <alignment horizontal="center"/>
    </xf>
    <xf numFmtId="0" fontId="23" fillId="14" borderId="18" xfId="0" applyFont="1" applyFill="1" applyBorder="1" applyAlignment="1">
      <alignment horizontal="left"/>
    </xf>
    <xf numFmtId="0" fontId="27" fillId="14" borderId="17" xfId="0" applyFont="1" applyFill="1" applyBorder="1"/>
    <xf numFmtId="0" fontId="3" fillId="7" borderId="0" xfId="0" applyFont="1" applyFill="1"/>
    <xf numFmtId="0" fontId="28" fillId="0" borderId="3" xfId="0" applyFont="1" applyBorder="1" applyAlignment="1">
      <alignment horizontal="center"/>
    </xf>
    <xf numFmtId="0" fontId="29" fillId="0" borderId="3" xfId="0" applyFont="1" applyBorder="1"/>
    <xf numFmtId="165" fontId="13" fillId="0" borderId="3" xfId="1" applyFont="1" applyFill="1" applyBorder="1" applyAlignment="1">
      <alignment horizontal="left"/>
    </xf>
    <xf numFmtId="165" fontId="28" fillId="0" borderId="3" xfId="1" applyFont="1" applyFill="1" applyBorder="1" applyAlignment="1">
      <alignment horizontal="left"/>
    </xf>
    <xf numFmtId="14" fontId="13" fillId="0" borderId="3" xfId="0" applyNumberFormat="1" applyFont="1" applyBorder="1" applyAlignment="1">
      <alignment horizontal="center" vertical="center"/>
    </xf>
    <xf numFmtId="165" fontId="13" fillId="0" borderId="3" xfId="1" applyFont="1" applyFill="1" applyBorder="1"/>
    <xf numFmtId="0" fontId="28" fillId="0" borderId="3" xfId="0" applyFont="1" applyBorder="1"/>
    <xf numFmtId="0" fontId="13" fillId="0" borderId="3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13" fillId="0" borderId="3" xfId="1" applyNumberFormat="1" applyFont="1" applyFill="1" applyBorder="1"/>
    <xf numFmtId="0" fontId="23" fillId="15" borderId="0" xfId="0" applyFont="1" applyFill="1" applyAlignment="1">
      <alignment horizontal="left"/>
    </xf>
    <xf numFmtId="0" fontId="30" fillId="15" borderId="0" xfId="0" applyFont="1" applyFill="1" applyAlignment="1">
      <alignment horizontal="left"/>
    </xf>
    <xf numFmtId="0" fontId="30" fillId="15" borderId="0" xfId="0" applyFont="1" applyFill="1" applyAlignment="1">
      <alignment horizontal="center"/>
    </xf>
    <xf numFmtId="0" fontId="23" fillId="15" borderId="0" xfId="0" applyFont="1" applyFill="1" applyAlignment="1">
      <alignment horizontal="center"/>
    </xf>
    <xf numFmtId="165" fontId="23" fillId="15" borderId="0" xfId="1" applyFont="1" applyFill="1" applyAlignment="1">
      <alignment horizontal="center"/>
    </xf>
    <xf numFmtId="14" fontId="23" fillId="15" borderId="0" xfId="0" applyNumberFormat="1" applyFont="1" applyFill="1" applyAlignment="1">
      <alignment horizontal="left"/>
    </xf>
    <xf numFmtId="14" fontId="23" fillId="15" borderId="0" xfId="0" applyNumberFormat="1" applyFont="1" applyFill="1" applyAlignment="1">
      <alignment horizontal="center" vertical="center"/>
    </xf>
    <xf numFmtId="0" fontId="31" fillId="15" borderId="0" xfId="0" applyFont="1" applyFill="1"/>
    <xf numFmtId="0" fontId="3" fillId="15" borderId="0" xfId="0" applyFont="1" applyFill="1"/>
    <xf numFmtId="0" fontId="3" fillId="15" borderId="19" xfId="0" applyFont="1" applyFill="1" applyBorder="1"/>
    <xf numFmtId="0" fontId="3" fillId="15" borderId="20" xfId="0" applyFont="1" applyFill="1" applyBorder="1"/>
    <xf numFmtId="0" fontId="18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/>
    <xf numFmtId="0" fontId="18" fillId="0" borderId="0" xfId="0" applyFont="1" applyAlignment="1">
      <alignment horizontal="center"/>
    </xf>
    <xf numFmtId="165" fontId="18" fillId="0" borderId="0" xfId="1" applyFont="1" applyFill="1" applyAlignment="1">
      <alignment horizontal="right"/>
    </xf>
    <xf numFmtId="165" fontId="32" fillId="0" borderId="0" xfId="1" applyFont="1" applyFill="1" applyAlignment="1">
      <alignment horizontal="right"/>
    </xf>
    <xf numFmtId="49" fontId="32" fillId="0" borderId="0" xfId="1" applyNumberFormat="1" applyFont="1" applyFill="1" applyAlignment="1">
      <alignment horizontal="center"/>
    </xf>
    <xf numFmtId="14" fontId="18" fillId="0" borderId="0" xfId="0" applyNumberFormat="1" applyFont="1" applyAlignment="1">
      <alignment horizontal="center" vertical="center"/>
    </xf>
    <xf numFmtId="165" fontId="18" fillId="0" borderId="0" xfId="1" applyFont="1" applyFill="1"/>
    <xf numFmtId="0" fontId="18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14" fontId="18" fillId="0" borderId="0" xfId="1" applyNumberFormat="1" applyFont="1" applyFill="1"/>
    <xf numFmtId="0" fontId="18" fillId="0" borderId="0" xfId="0" applyFont="1"/>
    <xf numFmtId="164" fontId="18" fillId="0" borderId="0" xfId="0" applyNumberFormat="1" applyFont="1"/>
    <xf numFmtId="0" fontId="32" fillId="0" borderId="0" xfId="1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 indent="1"/>
    </xf>
    <xf numFmtId="165" fontId="0" fillId="0" borderId="0" xfId="1" applyFont="1" applyAlignment="1">
      <alignment horizontal="center"/>
    </xf>
    <xf numFmtId="165" fontId="0" fillId="0" borderId="0" xfId="1" applyFont="1" applyAlignment="1">
      <alignment horizontal="left"/>
    </xf>
    <xf numFmtId="0" fontId="0" fillId="0" borderId="0" xfId="0" pivotButton="1" applyAlignment="1">
      <alignment horizontal="left"/>
    </xf>
    <xf numFmtId="165" fontId="0" fillId="0" borderId="0" xfId="0" applyNumberFormat="1" applyAlignment="1">
      <alignment horizontal="left"/>
    </xf>
    <xf numFmtId="0" fontId="27" fillId="7" borderId="0" xfId="0" applyFont="1" applyFill="1"/>
    <xf numFmtId="165" fontId="0" fillId="0" borderId="1" xfId="1" applyFont="1" applyBorder="1"/>
    <xf numFmtId="0" fontId="17" fillId="16" borderId="3" xfId="0" applyFont="1" applyFill="1" applyBorder="1"/>
    <xf numFmtId="0" fontId="17" fillId="10" borderId="11" xfId="0" applyFont="1" applyFill="1" applyBorder="1"/>
    <xf numFmtId="165" fontId="13" fillId="3" borderId="3" xfId="1" applyFont="1" applyFill="1" applyBorder="1" applyAlignment="1">
      <alignment horizontal="left"/>
    </xf>
    <xf numFmtId="166" fontId="13" fillId="3" borderId="3" xfId="0" applyNumberFormat="1" applyFont="1" applyFill="1" applyBorder="1" applyAlignment="1">
      <alignment horizontal="right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3" xfId="1" applyNumberFormat="1" applyFont="1" applyFill="1" applyBorder="1"/>
    <xf numFmtId="14" fontId="17" fillId="10" borderId="4" xfId="0" applyNumberFormat="1" applyFont="1" applyFill="1" applyBorder="1" applyAlignment="1">
      <alignment horizontal="center"/>
    </xf>
    <xf numFmtId="14" fontId="17" fillId="16" borderId="3" xfId="0" applyNumberFormat="1" applyFont="1" applyFill="1" applyBorder="1" applyAlignment="1">
      <alignment horizontal="center"/>
    </xf>
    <xf numFmtId="14" fontId="17" fillId="10" borderId="13" xfId="0" applyNumberFormat="1" applyFont="1" applyFill="1" applyBorder="1" applyAlignment="1">
      <alignment horizontal="center"/>
    </xf>
    <xf numFmtId="0" fontId="33" fillId="13" borderId="0" xfId="0" applyFont="1" applyFill="1" applyAlignment="1">
      <alignment horizontal="left"/>
    </xf>
    <xf numFmtId="49" fontId="32" fillId="0" borderId="0" xfId="1" applyNumberFormat="1" applyFont="1" applyAlignment="1">
      <alignment horizontal="center"/>
    </xf>
    <xf numFmtId="0" fontId="0" fillId="17" borderId="0" xfId="0" applyFill="1"/>
    <xf numFmtId="0" fontId="18" fillId="17" borderId="0" xfId="0" applyFont="1" applyFill="1" applyAlignment="1">
      <alignment horizontal="left"/>
    </xf>
    <xf numFmtId="0" fontId="32" fillId="17" borderId="0" xfId="0" applyFont="1" applyFill="1" applyAlignment="1">
      <alignment horizontal="left"/>
    </xf>
    <xf numFmtId="0" fontId="32" fillId="17" borderId="0" xfId="0" applyFont="1" applyFill="1"/>
    <xf numFmtId="0" fontId="18" fillId="17" borderId="0" xfId="0" applyFont="1" applyFill="1" applyAlignment="1">
      <alignment horizontal="center"/>
    </xf>
    <xf numFmtId="165" fontId="18" fillId="17" borderId="0" xfId="1" applyFont="1" applyFill="1" applyAlignment="1">
      <alignment horizontal="right"/>
    </xf>
    <xf numFmtId="165" fontId="32" fillId="17" borderId="0" xfId="1" applyFont="1" applyFill="1" applyAlignment="1">
      <alignment horizontal="right"/>
    </xf>
    <xf numFmtId="49" fontId="32" fillId="17" borderId="0" xfId="1" applyNumberFormat="1" applyFont="1" applyFill="1" applyAlignment="1">
      <alignment horizontal="center"/>
    </xf>
    <xf numFmtId="14" fontId="18" fillId="17" borderId="0" xfId="0" applyNumberFormat="1" applyFont="1" applyFill="1" applyAlignment="1">
      <alignment horizontal="center" vertical="center"/>
    </xf>
    <xf numFmtId="0" fontId="13" fillId="3" borderId="9" xfId="0" applyFont="1" applyFill="1" applyBorder="1" applyAlignment="1">
      <alignment horizontal="left"/>
    </xf>
    <xf numFmtId="0" fontId="5" fillId="3" borderId="3" xfId="0" applyFont="1" applyFill="1" applyBorder="1" applyAlignment="1">
      <alignment vertical="center"/>
    </xf>
    <xf numFmtId="0" fontId="13" fillId="6" borderId="3" xfId="0" applyFont="1" applyFill="1" applyBorder="1" applyAlignment="1">
      <alignment horizontal="center" vertical="center" wrapText="1"/>
    </xf>
    <xf numFmtId="14" fontId="13" fillId="6" borderId="3" xfId="0" applyNumberFormat="1" applyFont="1" applyFill="1" applyBorder="1" applyAlignment="1">
      <alignment horizontal="center" vertical="center" wrapText="1"/>
    </xf>
    <xf numFmtId="0" fontId="13" fillId="3" borderId="7" xfId="0" applyFont="1" applyFill="1" applyBorder="1"/>
    <xf numFmtId="0" fontId="13" fillId="3" borderId="3" xfId="0" applyFont="1" applyFill="1" applyBorder="1"/>
    <xf numFmtId="0" fontId="13" fillId="6" borderId="4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left"/>
    </xf>
    <xf numFmtId="0" fontId="13" fillId="3" borderId="13" xfId="0" applyFont="1" applyFill="1" applyBorder="1" applyAlignment="1">
      <alignment horizontal="left"/>
    </xf>
    <xf numFmtId="0" fontId="17" fillId="3" borderId="4" xfId="0" applyFont="1" applyFill="1" applyBorder="1" applyAlignment="1">
      <alignment horizontal="center"/>
    </xf>
    <xf numFmtId="0" fontId="18" fillId="12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8" fillId="12" borderId="1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vertical="center"/>
    </xf>
    <xf numFmtId="0" fontId="5" fillId="13" borderId="7" xfId="0" applyFont="1" applyFill="1" applyBorder="1" applyAlignment="1">
      <alignment vertical="center"/>
    </xf>
    <xf numFmtId="0" fontId="5" fillId="0" borderId="7" xfId="0" applyFont="1" applyBorder="1" applyAlignment="1">
      <alignment vertical="center"/>
    </xf>
    <xf numFmtId="167" fontId="0" fillId="0" borderId="2" xfId="0" applyNumberFormat="1" applyBorder="1" applyAlignment="1">
      <alignment horizontal="center"/>
    </xf>
    <xf numFmtId="167" fontId="0" fillId="0" borderId="21" xfId="0" applyNumberFormat="1" applyBorder="1"/>
    <xf numFmtId="0" fontId="17" fillId="10" borderId="3" xfId="0" applyFont="1" applyFill="1" applyBorder="1" applyAlignment="1">
      <alignment horizontal="center"/>
    </xf>
    <xf numFmtId="165" fontId="12" fillId="3" borderId="3" xfId="1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165" fontId="8" fillId="3" borderId="24" xfId="1" applyFont="1" applyFill="1" applyBorder="1" applyAlignment="1"/>
    <xf numFmtId="0" fontId="7" fillId="10" borderId="25" xfId="0" applyFont="1" applyFill="1" applyBorder="1"/>
    <xf numFmtId="9" fontId="7" fillId="4" borderId="24" xfId="2" applyFont="1" applyFill="1" applyBorder="1" applyAlignment="1">
      <alignment horizontal="left" vertical="center"/>
    </xf>
    <xf numFmtId="0" fontId="17" fillId="18" borderId="11" xfId="0" applyFont="1" applyFill="1" applyBorder="1"/>
    <xf numFmtId="0" fontId="13" fillId="11" borderId="3" xfId="0" applyFont="1" applyFill="1" applyBorder="1" applyAlignment="1">
      <alignment horizontal="center"/>
    </xf>
    <xf numFmtId="14" fontId="17" fillId="3" borderId="4" xfId="0" applyNumberFormat="1" applyFont="1" applyFill="1" applyBorder="1" applyAlignment="1">
      <alignment horizontal="center"/>
    </xf>
    <xf numFmtId="0" fontId="5" fillId="13" borderId="3" xfId="0" applyFont="1" applyFill="1" applyBorder="1" applyAlignment="1">
      <alignment horizontal="center" vertical="center"/>
    </xf>
    <xf numFmtId="1" fontId="0" fillId="0" borderId="0" xfId="0" applyNumberFormat="1" applyAlignment="1">
      <alignment horizontal="left"/>
    </xf>
    <xf numFmtId="14" fontId="18" fillId="17" borderId="0" xfId="0" applyNumberFormat="1" applyFont="1" applyFill="1"/>
    <xf numFmtId="14" fontId="18" fillId="0" borderId="0" xfId="0" applyNumberFormat="1" applyFont="1"/>
    <xf numFmtId="14" fontId="0" fillId="17" borderId="0" xfId="0" applyNumberFormat="1" applyFill="1"/>
    <xf numFmtId="0" fontId="13" fillId="17" borderId="3" xfId="0" applyFont="1" applyFill="1" applyBorder="1" applyAlignment="1">
      <alignment horizontal="center"/>
    </xf>
    <xf numFmtId="0" fontId="28" fillId="17" borderId="3" xfId="0" applyFont="1" applyFill="1" applyBorder="1" applyAlignment="1">
      <alignment horizontal="center"/>
    </xf>
    <xf numFmtId="0" fontId="29" fillId="17" borderId="3" xfId="0" applyFont="1" applyFill="1" applyBorder="1"/>
    <xf numFmtId="165" fontId="13" fillId="17" borderId="3" xfId="1" applyFont="1" applyFill="1" applyBorder="1" applyAlignment="1">
      <alignment horizontal="left"/>
    </xf>
    <xf numFmtId="165" fontId="28" fillId="17" borderId="3" xfId="1" applyFont="1" applyFill="1" applyBorder="1" applyAlignment="1">
      <alignment horizontal="left"/>
    </xf>
    <xf numFmtId="166" fontId="13" fillId="17" borderId="3" xfId="0" applyNumberFormat="1" applyFont="1" applyFill="1" applyBorder="1" applyAlignment="1">
      <alignment horizontal="right"/>
    </xf>
    <xf numFmtId="14" fontId="13" fillId="17" borderId="3" xfId="0" applyNumberFormat="1" applyFont="1" applyFill="1" applyBorder="1" applyAlignment="1">
      <alignment horizontal="center" vertical="center"/>
    </xf>
    <xf numFmtId="165" fontId="13" fillId="17" borderId="3" xfId="1" applyFont="1" applyFill="1" applyBorder="1"/>
    <xf numFmtId="0" fontId="17" fillId="17" borderId="3" xfId="0" applyFont="1" applyFill="1" applyBorder="1"/>
    <xf numFmtId="0" fontId="28" fillId="17" borderId="3" xfId="0" applyFont="1" applyFill="1" applyBorder="1"/>
    <xf numFmtId="0" fontId="13" fillId="17" borderId="3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13" fillId="17" borderId="3" xfId="1" applyNumberFormat="1" applyFont="1" applyFill="1" applyBorder="1"/>
    <xf numFmtId="0" fontId="13" fillId="17" borderId="0" xfId="0" applyFont="1" applyFill="1"/>
    <xf numFmtId="1" fontId="35" fillId="0" borderId="0" xfId="0" applyNumberFormat="1" applyFont="1" applyAlignment="1">
      <alignment horizontal="left"/>
    </xf>
    <xf numFmtId="0" fontId="36" fillId="0" borderId="0" xfId="0" applyFont="1" applyAlignment="1">
      <alignment horizontal="left"/>
    </xf>
    <xf numFmtId="0" fontId="36" fillId="0" borderId="0" xfId="0" applyFont="1"/>
    <xf numFmtId="0" fontId="37" fillId="0" borderId="0" xfId="0" applyFont="1" applyAlignment="1">
      <alignment horizontal="center"/>
    </xf>
    <xf numFmtId="0" fontId="35" fillId="0" borderId="0" xfId="0" applyFont="1"/>
    <xf numFmtId="165" fontId="37" fillId="0" borderId="0" xfId="1" applyFont="1" applyFill="1" applyAlignment="1">
      <alignment horizontal="right"/>
    </xf>
    <xf numFmtId="165" fontId="36" fillId="0" borderId="0" xfId="1" applyFont="1" applyFill="1" applyAlignment="1">
      <alignment horizontal="right"/>
    </xf>
    <xf numFmtId="49" fontId="36" fillId="0" borderId="0" xfId="1" applyNumberFormat="1" applyFont="1" applyAlignment="1">
      <alignment horizontal="center"/>
    </xf>
    <xf numFmtId="14" fontId="35" fillId="0" borderId="0" xfId="0" applyNumberFormat="1" applyFont="1"/>
    <xf numFmtId="3" fontId="35" fillId="0" borderId="0" xfId="0" applyNumberFormat="1" applyFont="1"/>
    <xf numFmtId="0" fontId="18" fillId="19" borderId="0" xfId="0" applyFont="1" applyFill="1" applyAlignment="1">
      <alignment horizontal="left"/>
    </xf>
    <xf numFmtId="49" fontId="32" fillId="3" borderId="0" xfId="1" applyNumberFormat="1" applyFont="1" applyFill="1" applyAlignment="1">
      <alignment horizontal="center"/>
    </xf>
    <xf numFmtId="1" fontId="0" fillId="3" borderId="0" xfId="0" applyNumberFormat="1" applyFill="1" applyAlignment="1">
      <alignment horizontal="left"/>
    </xf>
    <xf numFmtId="0" fontId="32" fillId="3" borderId="0" xfId="0" applyFont="1" applyFill="1" applyAlignment="1">
      <alignment horizontal="left"/>
    </xf>
    <xf numFmtId="0" fontId="32" fillId="3" borderId="0" xfId="0" applyFont="1" applyFill="1"/>
    <xf numFmtId="0" fontId="18" fillId="3" borderId="0" xfId="0" applyFont="1" applyFill="1" applyAlignment="1">
      <alignment horizontal="center"/>
    </xf>
    <xf numFmtId="0" fontId="0" fillId="3" borderId="0" xfId="0" applyFill="1"/>
    <xf numFmtId="165" fontId="18" fillId="3" borderId="0" xfId="1" applyFont="1" applyFill="1" applyAlignment="1">
      <alignment horizontal="right"/>
    </xf>
    <xf numFmtId="165" fontId="32" fillId="3" borderId="0" xfId="1" applyFont="1" applyFill="1" applyAlignment="1">
      <alignment horizontal="right"/>
    </xf>
    <xf numFmtId="14" fontId="0" fillId="3" borderId="0" xfId="0" applyNumberFormat="1" applyFill="1"/>
    <xf numFmtId="3" fontId="0" fillId="3" borderId="0" xfId="0" applyNumberFormat="1" applyFill="1"/>
    <xf numFmtId="0" fontId="32" fillId="20" borderId="0" xfId="0" applyFont="1" applyFill="1" applyAlignment="1">
      <alignment horizontal="left"/>
    </xf>
    <xf numFmtId="0" fontId="32" fillId="20" borderId="0" xfId="0" applyFont="1" applyFill="1"/>
    <xf numFmtId="0" fontId="18" fillId="20" borderId="0" xfId="0" applyFont="1" applyFill="1" applyAlignment="1">
      <alignment horizontal="center"/>
    </xf>
    <xf numFmtId="0" fontId="0" fillId="20" borderId="0" xfId="0" applyFill="1"/>
    <xf numFmtId="165" fontId="18" fillId="20" borderId="0" xfId="1" applyFont="1" applyFill="1" applyAlignment="1">
      <alignment horizontal="right"/>
    </xf>
    <xf numFmtId="165" fontId="32" fillId="20" borderId="0" xfId="1" applyFont="1" applyFill="1" applyAlignment="1">
      <alignment horizontal="right"/>
    </xf>
    <xf numFmtId="49" fontId="32" fillId="20" borderId="0" xfId="1" applyNumberFormat="1" applyFont="1" applyFill="1" applyAlignment="1">
      <alignment horizontal="center"/>
    </xf>
    <xf numFmtId="14" fontId="0" fillId="20" borderId="0" xfId="0" applyNumberFormat="1" applyFill="1"/>
    <xf numFmtId="3" fontId="0" fillId="20" borderId="0" xfId="0" applyNumberFormat="1" applyFill="1"/>
    <xf numFmtId="0" fontId="18" fillId="3" borderId="0" xfId="0" applyFont="1" applyFill="1" applyAlignment="1">
      <alignment horizontal="left"/>
    </xf>
    <xf numFmtId="0" fontId="34" fillId="3" borderId="0" xfId="0" applyFont="1" applyFill="1"/>
    <xf numFmtId="0" fontId="13" fillId="6" borderId="10" xfId="0" applyFont="1" applyFill="1" applyBorder="1" applyAlignment="1">
      <alignment horizontal="center"/>
    </xf>
    <xf numFmtId="0" fontId="28" fillId="3" borderId="10" xfId="0" applyFont="1" applyFill="1" applyBorder="1" applyAlignment="1">
      <alignment horizontal="center"/>
    </xf>
    <xf numFmtId="0" fontId="13" fillId="3" borderId="10" xfId="0" applyFont="1" applyFill="1" applyBorder="1" applyAlignment="1">
      <alignment horizontal="center"/>
    </xf>
    <xf numFmtId="0" fontId="29" fillId="3" borderId="10" xfId="0" applyFont="1" applyFill="1" applyBorder="1"/>
    <xf numFmtId="165" fontId="13" fillId="3" borderId="10" xfId="1" applyFont="1" applyFill="1" applyBorder="1" applyAlignment="1">
      <alignment horizontal="left"/>
    </xf>
    <xf numFmtId="165" fontId="28" fillId="3" borderId="10" xfId="1" applyFont="1" applyFill="1" applyBorder="1" applyAlignment="1">
      <alignment horizontal="left"/>
    </xf>
    <xf numFmtId="166" fontId="13" fillId="6" borderId="10" xfId="0" applyNumberFormat="1" applyFont="1" applyFill="1" applyBorder="1" applyAlignment="1">
      <alignment horizontal="right"/>
    </xf>
    <xf numFmtId="14" fontId="13" fillId="6" borderId="10" xfId="0" applyNumberFormat="1" applyFont="1" applyFill="1" applyBorder="1" applyAlignment="1">
      <alignment horizontal="center" vertical="center"/>
    </xf>
    <xf numFmtId="165" fontId="13" fillId="3" borderId="10" xfId="1" applyFont="1" applyFill="1" applyBorder="1"/>
    <xf numFmtId="0" fontId="17" fillId="3" borderId="10" xfId="0" applyFont="1" applyFill="1" applyBorder="1"/>
    <xf numFmtId="0" fontId="28" fillId="3" borderId="10" xfId="0" applyFont="1" applyFill="1" applyBorder="1"/>
    <xf numFmtId="0" fontId="13" fillId="3" borderId="10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13" fillId="3" borderId="10" xfId="1" applyNumberFormat="1" applyFont="1" applyFill="1" applyBorder="1"/>
    <xf numFmtId="0" fontId="28" fillId="11" borderId="3" xfId="0" applyFont="1" applyFill="1" applyBorder="1" applyAlignment="1">
      <alignment horizontal="center"/>
    </xf>
    <xf numFmtId="0" fontId="29" fillId="11" borderId="3" xfId="0" applyFont="1" applyFill="1" applyBorder="1"/>
    <xf numFmtId="165" fontId="13" fillId="11" borderId="3" xfId="1" applyFont="1" applyFill="1" applyBorder="1" applyAlignment="1">
      <alignment horizontal="left"/>
    </xf>
    <xf numFmtId="165" fontId="28" fillId="11" borderId="3" xfId="1" applyFont="1" applyFill="1" applyBorder="1" applyAlignment="1">
      <alignment horizontal="left"/>
    </xf>
    <xf numFmtId="166" fontId="13" fillId="11" borderId="3" xfId="0" applyNumberFormat="1" applyFont="1" applyFill="1" applyBorder="1" applyAlignment="1">
      <alignment horizontal="right"/>
    </xf>
    <xf numFmtId="14" fontId="13" fillId="11" borderId="3" xfId="0" applyNumberFormat="1" applyFont="1" applyFill="1" applyBorder="1" applyAlignment="1">
      <alignment horizontal="center" vertical="center"/>
    </xf>
    <xf numFmtId="165" fontId="13" fillId="11" borderId="3" xfId="1" applyFont="1" applyFill="1" applyBorder="1"/>
    <xf numFmtId="0" fontId="17" fillId="11" borderId="3" xfId="0" applyFont="1" applyFill="1" applyBorder="1"/>
    <xf numFmtId="0" fontId="28" fillId="11" borderId="3" xfId="0" applyFont="1" applyFill="1" applyBorder="1"/>
    <xf numFmtId="0" fontId="13" fillId="11" borderId="3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13" fillId="11" borderId="3" xfId="1" applyNumberFormat="1" applyFont="1" applyFill="1" applyBorder="1"/>
    <xf numFmtId="0" fontId="13" fillId="11" borderId="0" xfId="0" applyFont="1" applyFill="1"/>
    <xf numFmtId="0" fontId="0" fillId="11" borderId="3" xfId="0" applyFill="1" applyBorder="1"/>
    <xf numFmtId="0" fontId="0" fillId="3" borderId="3" xfId="0" applyFill="1" applyBorder="1"/>
    <xf numFmtId="14" fontId="17" fillId="18" borderId="13" xfId="0" applyNumberFormat="1" applyFont="1" applyFill="1" applyBorder="1" applyAlignment="1">
      <alignment horizontal="center"/>
    </xf>
    <xf numFmtId="0" fontId="17" fillId="18" borderId="13" xfId="0" applyFont="1" applyFill="1" applyBorder="1" applyAlignment="1">
      <alignment horizontal="center"/>
    </xf>
    <xf numFmtId="0" fontId="13" fillId="18" borderId="3" xfId="0" applyFont="1" applyFill="1" applyBorder="1" applyAlignment="1">
      <alignment horizontal="center"/>
    </xf>
    <xf numFmtId="166" fontId="13" fillId="18" borderId="3" xfId="0" applyNumberFormat="1" applyFont="1" applyFill="1" applyBorder="1" applyAlignment="1">
      <alignment horizontal="right"/>
    </xf>
    <xf numFmtId="14" fontId="13" fillId="18" borderId="3" xfId="0" applyNumberFormat="1" applyFont="1" applyFill="1" applyBorder="1" applyAlignment="1">
      <alignment horizontal="center" vertical="center"/>
    </xf>
    <xf numFmtId="0" fontId="13" fillId="11" borderId="3" xfId="0" applyFont="1" applyFill="1" applyBorder="1"/>
    <xf numFmtId="0" fontId="13" fillId="21" borderId="3" xfId="0" applyFont="1" applyFill="1" applyBorder="1" applyAlignment="1">
      <alignment horizontal="center"/>
    </xf>
    <xf numFmtId="0" fontId="28" fillId="21" borderId="3" xfId="0" applyFont="1" applyFill="1" applyBorder="1" applyAlignment="1">
      <alignment horizontal="center"/>
    </xf>
    <xf numFmtId="0" fontId="29" fillId="21" borderId="3" xfId="0" applyFont="1" applyFill="1" applyBorder="1"/>
    <xf numFmtId="165" fontId="13" fillId="21" borderId="3" xfId="1" applyFont="1" applyFill="1" applyBorder="1" applyAlignment="1">
      <alignment horizontal="left"/>
    </xf>
    <xf numFmtId="165" fontId="28" fillId="21" borderId="3" xfId="1" applyFont="1" applyFill="1" applyBorder="1" applyAlignment="1">
      <alignment horizontal="left"/>
    </xf>
    <xf numFmtId="165" fontId="13" fillId="21" borderId="3" xfId="1" applyFont="1" applyFill="1" applyBorder="1"/>
    <xf numFmtId="0" fontId="28" fillId="21" borderId="3" xfId="0" applyFont="1" applyFill="1" applyBorder="1"/>
    <xf numFmtId="0" fontId="13" fillId="21" borderId="3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13" fillId="21" borderId="3" xfId="1" applyNumberFormat="1" applyFont="1" applyFill="1" applyBorder="1"/>
    <xf numFmtId="0" fontId="13" fillId="22" borderId="3" xfId="0" applyFont="1" applyFill="1" applyBorder="1" applyAlignment="1">
      <alignment horizontal="center"/>
    </xf>
    <xf numFmtId="166" fontId="13" fillId="22" borderId="3" xfId="0" applyNumberFormat="1" applyFont="1" applyFill="1" applyBorder="1" applyAlignment="1">
      <alignment horizontal="right"/>
    </xf>
    <xf numFmtId="14" fontId="13" fillId="22" borderId="3" xfId="0" applyNumberFormat="1" applyFont="1" applyFill="1" applyBorder="1" applyAlignment="1">
      <alignment horizontal="center" vertical="center"/>
    </xf>
    <xf numFmtId="0" fontId="13" fillId="21" borderId="3" xfId="0" applyFont="1" applyFill="1" applyBorder="1"/>
    <xf numFmtId="0" fontId="41" fillId="24" borderId="3" xfId="0" applyFont="1" applyFill="1" applyBorder="1" applyAlignment="1">
      <alignment horizontal="center"/>
    </xf>
    <xf numFmtId="0" fontId="1" fillId="24" borderId="3" xfId="0" applyFont="1" applyFill="1" applyBorder="1" applyAlignment="1">
      <alignment horizontal="center"/>
    </xf>
    <xf numFmtId="0" fontId="42" fillId="24" borderId="3" xfId="0" applyFont="1" applyFill="1" applyBorder="1"/>
    <xf numFmtId="165" fontId="1" fillId="24" borderId="3" xfId="1" applyFont="1" applyFill="1" applyBorder="1" applyAlignment="1">
      <alignment horizontal="left"/>
    </xf>
    <xf numFmtId="165" fontId="41" fillId="24" borderId="3" xfId="1" applyFont="1" applyFill="1" applyBorder="1" applyAlignment="1">
      <alignment horizontal="left"/>
    </xf>
    <xf numFmtId="165" fontId="1" fillId="24" borderId="3" xfId="1" applyFont="1" applyFill="1" applyBorder="1"/>
    <xf numFmtId="0" fontId="41" fillId="24" borderId="3" xfId="0" applyFont="1" applyFill="1" applyBorder="1"/>
    <xf numFmtId="0" fontId="1" fillId="24" borderId="3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1" fillId="24" borderId="3" xfId="1" applyNumberFormat="1" applyFont="1" applyFill="1" applyBorder="1"/>
    <xf numFmtId="0" fontId="0" fillId="21" borderId="3" xfId="0" applyFill="1" applyBorder="1"/>
    <xf numFmtId="0" fontId="32" fillId="11" borderId="0" xfId="0" applyFont="1" applyFill="1" applyAlignment="1">
      <alignment horizontal="left"/>
    </xf>
    <xf numFmtId="0" fontId="32" fillId="11" borderId="0" xfId="0" applyFont="1" applyFill="1"/>
    <xf numFmtId="0" fontId="18" fillId="11" borderId="0" xfId="0" applyFont="1" applyFill="1" applyAlignment="1">
      <alignment horizontal="center"/>
    </xf>
    <xf numFmtId="0" fontId="0" fillId="11" borderId="0" xfId="0" applyFill="1"/>
    <xf numFmtId="165" fontId="18" fillId="11" borderId="0" xfId="1" applyFont="1" applyFill="1" applyAlignment="1">
      <alignment horizontal="right"/>
    </xf>
    <xf numFmtId="165" fontId="32" fillId="11" borderId="0" xfId="1" applyFont="1" applyFill="1" applyAlignment="1">
      <alignment horizontal="right"/>
    </xf>
    <xf numFmtId="49" fontId="32" fillId="11" borderId="0" xfId="1" applyNumberFormat="1" applyFont="1" applyFill="1" applyAlignment="1">
      <alignment horizontal="center"/>
    </xf>
    <xf numFmtId="14" fontId="0" fillId="11" borderId="0" xfId="0" applyNumberFormat="1" applyFill="1"/>
    <xf numFmtId="3" fontId="0" fillId="11" borderId="0" xfId="0" applyNumberFormat="1" applyFill="1"/>
    <xf numFmtId="0" fontId="4" fillId="3" borderId="3" xfId="0" applyFont="1" applyFill="1" applyBorder="1" applyAlignment="1">
      <alignment horizontal="center"/>
    </xf>
    <xf numFmtId="0" fontId="39" fillId="3" borderId="3" xfId="0" applyFont="1" applyFill="1" applyBorder="1" applyAlignment="1">
      <alignment horizontal="center"/>
    </xf>
    <xf numFmtId="0" fontId="40" fillId="3" borderId="3" xfId="0" applyFont="1" applyFill="1" applyBorder="1"/>
    <xf numFmtId="165" fontId="4" fillId="3" borderId="3" xfId="1" applyFont="1" applyFill="1" applyBorder="1" applyAlignment="1">
      <alignment horizontal="left"/>
    </xf>
    <xf numFmtId="165" fontId="39" fillId="3" borderId="3" xfId="1" applyFont="1" applyFill="1" applyBorder="1" applyAlignment="1">
      <alignment horizontal="left"/>
    </xf>
    <xf numFmtId="166" fontId="4" fillId="3" borderId="3" xfId="0" applyNumberFormat="1" applyFont="1" applyFill="1" applyBorder="1" applyAlignment="1">
      <alignment horizontal="right"/>
    </xf>
    <xf numFmtId="14" fontId="4" fillId="3" borderId="3" xfId="0" applyNumberFormat="1" applyFont="1" applyFill="1" applyBorder="1" applyAlignment="1">
      <alignment horizontal="center" vertical="center"/>
    </xf>
    <xf numFmtId="165" fontId="4" fillId="3" borderId="3" xfId="1" applyFont="1" applyFill="1" applyBorder="1"/>
    <xf numFmtId="0" fontId="35" fillId="3" borderId="3" xfId="0" applyFont="1" applyFill="1" applyBorder="1"/>
    <xf numFmtId="0" fontId="39" fillId="3" borderId="3" xfId="0" applyFont="1" applyFill="1" applyBorder="1"/>
    <xf numFmtId="0" fontId="4" fillId="3" borderId="3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4" fillId="3" borderId="3" xfId="1" applyNumberFormat="1" applyFont="1" applyFill="1" applyBorder="1"/>
    <xf numFmtId="0" fontId="4" fillId="3" borderId="0" xfId="0" applyFont="1" applyFill="1"/>
    <xf numFmtId="0" fontId="43" fillId="3" borderId="3" xfId="0" applyFont="1" applyFill="1" applyBorder="1"/>
    <xf numFmtId="0" fontId="4" fillId="6" borderId="3" xfId="0" applyFont="1" applyFill="1" applyBorder="1" applyAlignment="1">
      <alignment horizontal="center"/>
    </xf>
    <xf numFmtId="166" fontId="4" fillId="6" borderId="3" xfId="0" applyNumberFormat="1" applyFont="1" applyFill="1" applyBorder="1" applyAlignment="1">
      <alignment horizontal="right"/>
    </xf>
    <xf numFmtId="14" fontId="4" fillId="6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/>
    <xf numFmtId="3" fontId="0" fillId="17" borderId="0" xfId="0" applyNumberFormat="1" applyFill="1"/>
    <xf numFmtId="0" fontId="38" fillId="23" borderId="11" xfId="0" applyFont="1" applyFill="1" applyBorder="1"/>
    <xf numFmtId="14" fontId="38" fillId="23" borderId="13" xfId="0" applyNumberFormat="1" applyFont="1" applyFill="1" applyBorder="1" applyAlignment="1">
      <alignment horizontal="center"/>
    </xf>
    <xf numFmtId="14" fontId="1" fillId="24" borderId="3" xfId="0" applyNumberFormat="1" applyFont="1" applyFill="1" applyBorder="1" applyAlignment="1">
      <alignment horizontal="center" vertical="center"/>
    </xf>
    <xf numFmtId="0" fontId="38" fillId="24" borderId="3" xfId="0" applyFont="1" applyFill="1" applyBorder="1"/>
    <xf numFmtId="0" fontId="1" fillId="24" borderId="0" xfId="0" applyFont="1" applyFill="1"/>
    <xf numFmtId="166" fontId="4" fillId="3" borderId="3" xfId="0" applyNumberFormat="1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44" fillId="3" borderId="3" xfId="0" applyFont="1" applyFill="1" applyBorder="1" applyAlignment="1">
      <alignment horizontal="center"/>
    </xf>
    <xf numFmtId="0" fontId="45" fillId="3" borderId="3" xfId="0" applyFont="1" applyFill="1" applyBorder="1"/>
    <xf numFmtId="165" fontId="16" fillId="3" borderId="3" xfId="1" applyFont="1" applyFill="1" applyBorder="1" applyAlignment="1">
      <alignment horizontal="left"/>
    </xf>
    <xf numFmtId="165" fontId="44" fillId="3" borderId="3" xfId="1" applyFont="1" applyFill="1" applyBorder="1" applyAlignment="1">
      <alignment horizontal="left"/>
    </xf>
    <xf numFmtId="166" fontId="16" fillId="3" borderId="3" xfId="0" applyNumberFormat="1" applyFont="1" applyFill="1" applyBorder="1" applyAlignment="1">
      <alignment horizontal="right"/>
    </xf>
    <xf numFmtId="14" fontId="16" fillId="3" borderId="3" xfId="0" applyNumberFormat="1" applyFont="1" applyFill="1" applyBorder="1" applyAlignment="1">
      <alignment horizontal="center" vertical="center"/>
    </xf>
    <xf numFmtId="165" fontId="16" fillId="3" borderId="3" xfId="1" applyFont="1" applyFill="1" applyBorder="1"/>
    <xf numFmtId="0" fontId="10" fillId="3" borderId="3" xfId="0" applyFont="1" applyFill="1" applyBorder="1"/>
    <xf numFmtId="0" fontId="44" fillId="3" borderId="3" xfId="0" applyFont="1" applyFill="1" applyBorder="1"/>
    <xf numFmtId="0" fontId="16" fillId="3" borderId="3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16" fillId="3" borderId="3" xfId="1" applyNumberFormat="1" applyFont="1" applyFill="1" applyBorder="1"/>
    <xf numFmtId="0" fontId="16" fillId="3" borderId="0" xfId="0" applyFont="1" applyFill="1"/>
    <xf numFmtId="165" fontId="0" fillId="9" borderId="10" xfId="0" applyNumberFormat="1" applyFill="1" applyBorder="1" applyAlignment="1">
      <alignment horizontal="center"/>
    </xf>
    <xf numFmtId="0" fontId="0" fillId="9" borderId="10" xfId="0" applyFill="1" applyBorder="1"/>
    <xf numFmtId="165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13" borderId="0" xfId="0" applyFill="1"/>
    <xf numFmtId="165" fontId="0" fillId="13" borderId="0" xfId="0" applyNumberFormat="1" applyFill="1" applyAlignment="1">
      <alignment horizontal="center"/>
    </xf>
    <xf numFmtId="0" fontId="0" fillId="13" borderId="3" xfId="0" applyFill="1" applyBorder="1"/>
    <xf numFmtId="165" fontId="0" fillId="0" borderId="7" xfId="0" applyNumberFormat="1" applyBorder="1" applyAlignment="1">
      <alignment horizontal="center"/>
    </xf>
    <xf numFmtId="165" fontId="0" fillId="13" borderId="7" xfId="0" applyNumberFormat="1" applyFill="1" applyBorder="1" applyAlignment="1">
      <alignment horizontal="center"/>
    </xf>
    <xf numFmtId="165" fontId="0" fillId="3" borderId="7" xfId="0" applyNumberFormat="1" applyFill="1" applyBorder="1" applyAlignment="1">
      <alignment horizontal="center"/>
    </xf>
    <xf numFmtId="14" fontId="0" fillId="3" borderId="0" xfId="0" applyNumberFormat="1" applyFill="1" applyAlignment="1">
      <alignment horizontal="center" vertical="center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7" xfId="0" applyBorder="1"/>
    <xf numFmtId="0" fontId="13" fillId="3" borderId="7" xfId="0" applyFont="1" applyFill="1" applyBorder="1" applyAlignment="1">
      <alignment horizontal="center"/>
    </xf>
    <xf numFmtId="0" fontId="0" fillId="0" borderId="3" xfId="0" applyBorder="1" applyAlignment="1">
      <alignment vertical="center" wrapText="1"/>
    </xf>
    <xf numFmtId="3" fontId="0" fillId="25" borderId="0" xfId="0" applyNumberFormat="1" applyFill="1"/>
    <xf numFmtId="14" fontId="0" fillId="3" borderId="0" xfId="0" applyNumberFormat="1" applyFill="1" applyAlignment="1">
      <alignment horizontal="left"/>
    </xf>
    <xf numFmtId="0" fontId="18" fillId="11" borderId="0" xfId="0" applyFont="1" applyFill="1" applyAlignment="1">
      <alignment horizontal="left"/>
    </xf>
    <xf numFmtId="0" fontId="34" fillId="11" borderId="0" xfId="0" applyFont="1" applyFill="1"/>
    <xf numFmtId="14" fontId="0" fillId="11" borderId="0" xfId="0" applyNumberFormat="1" applyFill="1" applyAlignment="1">
      <alignment horizontal="left"/>
    </xf>
    <xf numFmtId="0" fontId="0" fillId="0" borderId="0" xfId="0" applyAlignment="1">
      <alignment vertical="center" wrapText="1"/>
    </xf>
    <xf numFmtId="0" fontId="46" fillId="26" borderId="26" xfId="0" applyFont="1" applyFill="1" applyBorder="1"/>
    <xf numFmtId="0" fontId="46" fillId="26" borderId="27" xfId="0" applyFont="1" applyFill="1" applyBorder="1"/>
    <xf numFmtId="0" fontId="46" fillId="26" borderId="28" xfId="0" applyFont="1" applyFill="1" applyBorder="1"/>
    <xf numFmtId="0" fontId="46" fillId="26" borderId="29" xfId="0" applyFont="1" applyFill="1" applyBorder="1"/>
    <xf numFmtId="0" fontId="47" fillId="0" borderId="0" xfId="0" applyFont="1"/>
    <xf numFmtId="0" fontId="51" fillId="4" borderId="2" xfId="3" applyFont="1" applyFill="1" applyBorder="1" applyAlignment="1">
      <alignment horizontal="center" wrapText="1"/>
    </xf>
    <xf numFmtId="0" fontId="50" fillId="0" borderId="2" xfId="0" applyFont="1" applyBorder="1"/>
    <xf numFmtId="0" fontId="50" fillId="27" borderId="2" xfId="0" applyFont="1" applyFill="1" applyBorder="1" applyAlignment="1">
      <alignment wrapText="1"/>
    </xf>
    <xf numFmtId="0" fontId="51" fillId="4" borderId="2" xfId="3" applyFont="1" applyFill="1" applyBorder="1" applyAlignment="1">
      <alignment wrapText="1"/>
    </xf>
    <xf numFmtId="0" fontId="0" fillId="0" borderId="30" xfId="0" applyBorder="1"/>
    <xf numFmtId="0" fontId="51" fillId="0" borderId="17" xfId="3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51" fillId="0" borderId="17" xfId="3" applyFont="1" applyBorder="1"/>
    <xf numFmtId="0" fontId="34" fillId="17" borderId="0" xfId="0" applyFont="1" applyFill="1"/>
    <xf numFmtId="0" fontId="0" fillId="0" borderId="17" xfId="0" applyBorder="1" applyAlignment="1">
      <alignment horizontal="center"/>
    </xf>
    <xf numFmtId="0" fontId="13" fillId="3" borderId="3" xfId="0" applyFont="1" applyFill="1" applyBorder="1" applyAlignment="1">
      <alignment horizontal="left" vertical="center"/>
    </xf>
    <xf numFmtId="0" fontId="0" fillId="3" borderId="8" xfId="0" applyFill="1" applyBorder="1" applyAlignment="1">
      <alignment horizontal="left"/>
    </xf>
    <xf numFmtId="14" fontId="0" fillId="17" borderId="0" xfId="0" applyNumberFormat="1" applyFill="1" applyAlignment="1">
      <alignment horizontal="left"/>
    </xf>
    <xf numFmtId="165" fontId="32" fillId="28" borderId="0" xfId="1" applyFont="1" applyFill="1" applyAlignment="1">
      <alignment horizontal="right"/>
    </xf>
    <xf numFmtId="0" fontId="0" fillId="28" borderId="0" xfId="0" applyFill="1"/>
    <xf numFmtId="165" fontId="0" fillId="0" borderId="20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/>
    </xf>
    <xf numFmtId="1" fontId="23" fillId="15" borderId="0" xfId="0" applyNumberFormat="1" applyFont="1" applyFill="1" applyAlignment="1">
      <alignment horizontal="left"/>
    </xf>
    <xf numFmtId="1" fontId="16" fillId="17" borderId="0" xfId="0" applyNumberFormat="1" applyFont="1" applyFill="1" applyAlignment="1">
      <alignment horizontal="left"/>
    </xf>
    <xf numFmtId="1" fontId="16" fillId="0" borderId="0" xfId="0" applyNumberFormat="1" applyFont="1" applyAlignment="1">
      <alignment horizontal="left"/>
    </xf>
    <xf numFmtId="1" fontId="16" fillId="3" borderId="0" xfId="0" applyNumberFormat="1" applyFont="1" applyFill="1" applyAlignment="1">
      <alignment horizontal="left"/>
    </xf>
    <xf numFmtId="1" fontId="17" fillId="11" borderId="0" xfId="0" applyNumberFormat="1" applyFont="1" applyFill="1" applyAlignment="1">
      <alignment horizontal="left"/>
    </xf>
    <xf numFmtId="1" fontId="17" fillId="3" borderId="0" xfId="0" applyNumberFormat="1" applyFont="1" applyFill="1" applyAlignment="1">
      <alignment horizontal="left"/>
    </xf>
    <xf numFmtId="1" fontId="17" fillId="20" borderId="0" xfId="0" applyNumberFormat="1" applyFont="1" applyFill="1" applyAlignment="1">
      <alignment horizontal="left"/>
    </xf>
    <xf numFmtId="1" fontId="17" fillId="0" borderId="0" xfId="0" applyNumberFormat="1" applyFont="1" applyAlignment="1">
      <alignment horizontal="left"/>
    </xf>
    <xf numFmtId="0" fontId="25" fillId="14" borderId="0" xfId="0" applyFont="1" applyFill="1"/>
    <xf numFmtId="0" fontId="0" fillId="0" borderId="0" xfId="0" applyAlignment="1">
      <alignment horizontal="center" vertical="center"/>
    </xf>
    <xf numFmtId="0" fontId="23" fillId="14" borderId="0" xfId="0" applyFont="1" applyFill="1" applyAlignment="1">
      <alignment horizontal="center"/>
    </xf>
    <xf numFmtId="0" fontId="30" fillId="14" borderId="0" xfId="0" applyFont="1" applyFill="1" applyAlignment="1">
      <alignment horizontal="center"/>
    </xf>
    <xf numFmtId="0" fontId="31" fillId="7" borderId="0" xfId="0" applyFont="1" applyFill="1"/>
    <xf numFmtId="0" fontId="26" fillId="14" borderId="0" xfId="0" applyFont="1" applyFill="1" applyAlignment="1">
      <alignment horizontal="center" vertical="center"/>
    </xf>
    <xf numFmtId="165" fontId="23" fillId="14" borderId="0" xfId="1" applyFont="1" applyFill="1" applyBorder="1" applyAlignment="1">
      <alignment horizontal="left"/>
    </xf>
    <xf numFmtId="165" fontId="30" fillId="14" borderId="0" xfId="1" applyFont="1" applyFill="1" applyBorder="1" applyAlignment="1">
      <alignment horizontal="left"/>
    </xf>
    <xf numFmtId="166" fontId="23" fillId="14" borderId="0" xfId="0" applyNumberFormat="1" applyFont="1" applyFill="1" applyAlignment="1">
      <alignment horizontal="right"/>
    </xf>
    <xf numFmtId="14" fontId="23" fillId="14" borderId="0" xfId="0" applyNumberFormat="1" applyFont="1" applyFill="1" applyAlignment="1">
      <alignment horizontal="center" vertical="center"/>
    </xf>
    <xf numFmtId="165" fontId="23" fillId="14" borderId="0" xfId="1" applyFont="1" applyFill="1" applyBorder="1" applyAlignment="1">
      <alignment horizontal="center"/>
    </xf>
    <xf numFmtId="0" fontId="23" fillId="14" borderId="0" xfId="0" applyFont="1" applyFill="1" applyAlignment="1">
      <alignment horizontal="left"/>
    </xf>
    <xf numFmtId="0" fontId="31" fillId="14" borderId="0" xfId="0" applyFont="1" applyFill="1"/>
    <xf numFmtId="0" fontId="28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29" fillId="3" borderId="0" xfId="0" applyFont="1" applyFill="1" applyAlignment="1">
      <alignment horizontal="center" vertical="center"/>
    </xf>
    <xf numFmtId="165" fontId="13" fillId="3" borderId="0" xfId="1" applyFont="1" applyFill="1" applyBorder="1" applyAlignment="1">
      <alignment horizontal="left"/>
    </xf>
    <xf numFmtId="165" fontId="28" fillId="3" borderId="0" xfId="1" applyFont="1" applyFill="1" applyBorder="1" applyAlignment="1">
      <alignment horizontal="left"/>
    </xf>
    <xf numFmtId="14" fontId="0" fillId="3" borderId="0" xfId="0" applyNumberFormat="1" applyFill="1" applyAlignment="1">
      <alignment horizontal="center"/>
    </xf>
    <xf numFmtId="14" fontId="13" fillId="3" borderId="0" xfId="0" applyNumberFormat="1" applyFont="1" applyFill="1" applyAlignment="1">
      <alignment horizontal="center" vertical="center"/>
    </xf>
    <xf numFmtId="165" fontId="13" fillId="3" borderId="0" xfId="1" applyFont="1" applyFill="1" applyBorder="1"/>
    <xf numFmtId="0" fontId="13" fillId="3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14" fontId="13" fillId="3" borderId="0" xfId="1" applyNumberFormat="1" applyFont="1" applyFill="1" applyBorder="1"/>
    <xf numFmtId="14" fontId="0" fillId="6" borderId="0" xfId="0" applyNumberFormat="1" applyFill="1" applyAlignment="1">
      <alignment horizontal="center"/>
    </xf>
    <xf numFmtId="9" fontId="0" fillId="0" borderId="32" xfId="0" applyNumberFormat="1" applyBorder="1" applyAlignment="1">
      <alignment horizontal="right"/>
    </xf>
    <xf numFmtId="10" fontId="0" fillId="0" borderId="29" xfId="0" applyNumberFormat="1" applyBorder="1" applyAlignment="1">
      <alignment horizontal="right"/>
    </xf>
    <xf numFmtId="9" fontId="0" fillId="0" borderId="32" xfId="2" applyFont="1" applyBorder="1" applyAlignment="1">
      <alignment horizontal="right"/>
    </xf>
    <xf numFmtId="10" fontId="0" fillId="0" borderId="29" xfId="2" applyNumberFormat="1" applyFont="1" applyBorder="1" applyAlignment="1">
      <alignment horizontal="right"/>
    </xf>
    <xf numFmtId="0" fontId="0" fillId="0" borderId="33" xfId="0" applyBorder="1"/>
    <xf numFmtId="0" fontId="0" fillId="0" borderId="34" xfId="0" applyBorder="1"/>
    <xf numFmtId="0" fontId="0" fillId="0" borderId="28" xfId="0" applyBorder="1"/>
    <xf numFmtId="0" fontId="3" fillId="3" borderId="0" xfId="0" applyFont="1" applyFill="1"/>
    <xf numFmtId="14" fontId="18" fillId="3" borderId="0" xfId="0" applyNumberFormat="1" applyFont="1" applyFill="1"/>
    <xf numFmtId="14" fontId="18" fillId="3" borderId="0" xfId="0" applyNumberFormat="1" applyFont="1" applyFill="1" applyAlignment="1">
      <alignment horizontal="center" vertical="center"/>
    </xf>
    <xf numFmtId="165" fontId="18" fillId="3" borderId="0" xfId="1" applyFont="1" applyFill="1"/>
    <xf numFmtId="0" fontId="18" fillId="3" borderId="0" xfId="0" applyFont="1" applyFill="1"/>
    <xf numFmtId="0" fontId="23" fillId="29" borderId="0" xfId="0" applyFont="1" applyFill="1" applyAlignment="1">
      <alignment horizontal="center"/>
    </xf>
    <xf numFmtId="0" fontId="23" fillId="29" borderId="0" xfId="0" applyFont="1" applyFill="1" applyAlignment="1">
      <alignment horizontal="left"/>
    </xf>
    <xf numFmtId="165" fontId="23" fillId="29" borderId="0" xfId="1" applyFont="1" applyFill="1" applyAlignment="1">
      <alignment horizontal="center"/>
    </xf>
    <xf numFmtId="0" fontId="30" fillId="29" borderId="0" xfId="0" applyFont="1" applyFill="1" applyAlignment="1">
      <alignment horizontal="center"/>
    </xf>
    <xf numFmtId="14" fontId="23" fillId="29" borderId="0" xfId="0" applyNumberFormat="1" applyFont="1" applyFill="1" applyAlignment="1">
      <alignment horizontal="left"/>
    </xf>
    <xf numFmtId="14" fontId="23" fillId="29" borderId="0" xfId="0" applyNumberFormat="1" applyFont="1" applyFill="1" applyAlignment="1">
      <alignment horizontal="center" vertical="center"/>
    </xf>
    <xf numFmtId="1" fontId="23" fillId="29" borderId="0" xfId="0" applyNumberFormat="1" applyFont="1" applyFill="1" applyAlignment="1">
      <alignment horizontal="left"/>
    </xf>
    <xf numFmtId="0" fontId="30" fillId="29" borderId="0" xfId="0" applyFont="1" applyFill="1" applyAlignment="1">
      <alignment horizontal="left"/>
    </xf>
    <xf numFmtId="1" fontId="18" fillId="3" borderId="0" xfId="0" applyNumberFormat="1" applyFont="1" applyFill="1" applyAlignment="1">
      <alignment horizontal="left"/>
    </xf>
    <xf numFmtId="14" fontId="34" fillId="3" borderId="0" xfId="0" applyNumberFormat="1" applyFont="1" applyFill="1"/>
    <xf numFmtId="1" fontId="34" fillId="3" borderId="0" xfId="0" applyNumberFormat="1" applyFont="1" applyFill="1" applyAlignment="1">
      <alignment horizontal="left"/>
    </xf>
    <xf numFmtId="1" fontId="34" fillId="3" borderId="0" xfId="0" applyNumberFormat="1" applyFont="1" applyFill="1"/>
    <xf numFmtId="165" fontId="18" fillId="3" borderId="0" xfId="1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165" fontId="34" fillId="3" borderId="20" xfId="0" applyNumberFormat="1" applyFont="1" applyFill="1" applyBorder="1"/>
    <xf numFmtId="165" fontId="34" fillId="3" borderId="32" xfId="0" applyNumberFormat="1" applyFont="1" applyFill="1" applyBorder="1"/>
    <xf numFmtId="10" fontId="34" fillId="3" borderId="29" xfId="0" applyNumberFormat="1" applyFont="1" applyFill="1" applyBorder="1"/>
    <xf numFmtId="1" fontId="23" fillId="29" borderId="0" xfId="1" applyNumberFormat="1" applyFont="1" applyFill="1" applyAlignment="1">
      <alignment horizontal="center"/>
    </xf>
    <xf numFmtId="1" fontId="18" fillId="3" borderId="0" xfId="1" applyNumberFormat="1" applyFont="1" applyFill="1" applyAlignment="1">
      <alignment horizontal="right"/>
    </xf>
    <xf numFmtId="165" fontId="34" fillId="3" borderId="0" xfId="0" applyNumberFormat="1" applyFont="1" applyFill="1"/>
    <xf numFmtId="1" fontId="34" fillId="3" borderId="19" xfId="0" applyNumberFormat="1" applyFont="1" applyFill="1" applyBorder="1" applyAlignment="1">
      <alignment horizontal="left"/>
    </xf>
    <xf numFmtId="1" fontId="34" fillId="3" borderId="35" xfId="0" applyNumberFormat="1" applyFont="1" applyFill="1" applyBorder="1" applyAlignment="1">
      <alignment horizontal="left"/>
    </xf>
    <xf numFmtId="1" fontId="34" fillId="3" borderId="36" xfId="0" applyNumberFormat="1" applyFont="1" applyFill="1" applyBorder="1" applyAlignment="1">
      <alignment horizontal="left"/>
    </xf>
    <xf numFmtId="0" fontId="17" fillId="3" borderId="9" xfId="0" applyFont="1" applyFill="1" applyBorder="1" applyAlignment="1">
      <alignment horizontal="left"/>
    </xf>
    <xf numFmtId="0" fontId="34" fillId="3" borderId="3" xfId="0" applyFont="1" applyFill="1" applyBorder="1" applyAlignment="1">
      <alignment horizontal="center" vertical="center"/>
    </xf>
    <xf numFmtId="0" fontId="34" fillId="3" borderId="3" xfId="0" applyFont="1" applyFill="1" applyBorder="1" applyAlignment="1">
      <alignment vertical="center"/>
    </xf>
    <xf numFmtId="14" fontId="17" fillId="6" borderId="4" xfId="0" applyNumberFormat="1" applyFont="1" applyFill="1" applyBorder="1" applyAlignment="1">
      <alignment horizontal="center" vertical="center"/>
    </xf>
    <xf numFmtId="14" fontId="17" fillId="6" borderId="3" xfId="0" applyNumberFormat="1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vertical="center"/>
    </xf>
    <xf numFmtId="0" fontId="17" fillId="6" borderId="3" xfId="0" applyFont="1" applyFill="1" applyBorder="1"/>
    <xf numFmtId="14" fontId="17" fillId="6" borderId="3" xfId="0" applyNumberFormat="1" applyFont="1" applyFill="1" applyBorder="1"/>
    <xf numFmtId="0" fontId="0" fillId="3" borderId="7" xfId="0" applyFill="1" applyBorder="1" applyAlignment="1">
      <alignment horizontal="left"/>
    </xf>
    <xf numFmtId="0" fontId="13" fillId="3" borderId="15" xfId="0" applyFont="1" applyFill="1" applyBorder="1" applyAlignment="1">
      <alignment horizontal="left"/>
    </xf>
    <xf numFmtId="0" fontId="0" fillId="3" borderId="10" xfId="0" applyFill="1" applyBorder="1" applyAlignment="1">
      <alignment horizontal="center"/>
    </xf>
    <xf numFmtId="0" fontId="0" fillId="3" borderId="0" xfId="0" applyFill="1" applyAlignment="1">
      <alignment horizontal="left" vertical="center" wrapText="1"/>
    </xf>
    <xf numFmtId="0" fontId="5" fillId="3" borderId="10" xfId="0" applyFont="1" applyFill="1" applyBorder="1" applyAlignment="1">
      <alignment vertical="center"/>
    </xf>
    <xf numFmtId="0" fontId="17" fillId="3" borderId="4" xfId="0" applyFont="1" applyFill="1" applyBorder="1" applyAlignment="1">
      <alignment horizontal="left"/>
    </xf>
    <xf numFmtId="0" fontId="17" fillId="6" borderId="3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left" vertical="center"/>
    </xf>
    <xf numFmtId="14" fontId="17" fillId="3" borderId="4" xfId="0" applyNumberFormat="1" applyFont="1" applyFill="1" applyBorder="1" applyAlignment="1">
      <alignment horizontal="center" vertical="center" wrapText="1"/>
    </xf>
    <xf numFmtId="0" fontId="17" fillId="3" borderId="9" xfId="0" applyFont="1" applyFill="1" applyBorder="1"/>
    <xf numFmtId="14" fontId="17" fillId="3" borderId="3" xfId="0" applyNumberFormat="1" applyFont="1" applyFill="1" applyBorder="1"/>
    <xf numFmtId="14" fontId="17" fillId="3" borderId="3" xfId="0" applyNumberFormat="1" applyFont="1" applyFill="1" applyBorder="1" applyAlignment="1">
      <alignment horizontal="center"/>
    </xf>
    <xf numFmtId="0" fontId="13" fillId="6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vertical="center"/>
    </xf>
    <xf numFmtId="14" fontId="13" fillId="3" borderId="4" xfId="0" applyNumberFormat="1" applyFont="1" applyFill="1" applyBorder="1" applyAlignment="1">
      <alignment horizontal="center"/>
    </xf>
    <xf numFmtId="14" fontId="13" fillId="3" borderId="3" xfId="0" applyNumberFormat="1" applyFont="1" applyFill="1" applyBorder="1" applyAlignment="1">
      <alignment horizontal="center"/>
    </xf>
    <xf numFmtId="0" fontId="13" fillId="3" borderId="9" xfId="0" applyFont="1" applyFill="1" applyBorder="1"/>
    <xf numFmtId="14" fontId="0" fillId="3" borderId="3" xfId="0" applyNumberFormat="1" applyFill="1" applyBorder="1" applyAlignment="1">
      <alignment horizontal="center" vertical="center" wrapText="1"/>
    </xf>
    <xf numFmtId="14" fontId="0" fillId="3" borderId="4" xfId="0" applyNumberFormat="1" applyFill="1" applyBorder="1" applyAlignment="1">
      <alignment horizontal="center"/>
    </xf>
    <xf numFmtId="14" fontId="13" fillId="3" borderId="7" xfId="0" applyNumberFormat="1" applyFont="1" applyFill="1" applyBorder="1"/>
    <xf numFmtId="0" fontId="13" fillId="6" borderId="7" xfId="0" applyFont="1" applyFill="1" applyBorder="1"/>
    <xf numFmtId="0" fontId="0" fillId="3" borderId="3" xfId="0" applyFill="1" applyBorder="1" applyAlignment="1">
      <alignment horizontal="center" vertical="center" wrapText="1"/>
    </xf>
    <xf numFmtId="0" fontId="25" fillId="14" borderId="0" xfId="0" applyFont="1" applyFill="1" applyAlignment="1">
      <alignment horizontal="center"/>
    </xf>
    <xf numFmtId="16" fontId="32" fillId="3" borderId="0" xfId="1" applyNumberFormat="1" applyFont="1" applyFill="1" applyAlignment="1">
      <alignment horizontal="center"/>
    </xf>
    <xf numFmtId="0" fontId="49" fillId="0" borderId="0" xfId="3"/>
    <xf numFmtId="14" fontId="0" fillId="11" borderId="0" xfId="0" applyNumberFormat="1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horizontal="left"/>
    </xf>
    <xf numFmtId="0" fontId="48" fillId="3" borderId="0" xfId="0" applyFont="1" applyFill="1" applyAlignment="1">
      <alignment horizontal="left"/>
    </xf>
    <xf numFmtId="0" fontId="44" fillId="3" borderId="0" xfId="0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0" fontId="45" fillId="3" borderId="0" xfId="0" applyFont="1" applyFill="1" applyAlignment="1">
      <alignment horizontal="center" vertical="center"/>
    </xf>
    <xf numFmtId="165" fontId="16" fillId="3" borderId="0" xfId="1" applyFont="1" applyFill="1" applyBorder="1" applyAlignment="1">
      <alignment horizontal="left"/>
    </xf>
    <xf numFmtId="165" fontId="44" fillId="3" borderId="0" xfId="1" applyFont="1" applyFill="1" applyBorder="1" applyAlignment="1">
      <alignment horizontal="left"/>
    </xf>
    <xf numFmtId="14" fontId="48" fillId="6" borderId="0" xfId="0" applyNumberFormat="1" applyFont="1" applyFill="1" applyAlignment="1">
      <alignment horizontal="center"/>
    </xf>
    <xf numFmtId="14" fontId="16" fillId="3" borderId="0" xfId="0" applyNumberFormat="1" applyFont="1" applyFill="1" applyAlignment="1">
      <alignment horizontal="center" vertical="center"/>
    </xf>
    <xf numFmtId="165" fontId="16" fillId="3" borderId="0" xfId="1" applyFont="1" applyFill="1" applyBorder="1"/>
    <xf numFmtId="0" fontId="16" fillId="3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14" fontId="16" fillId="3" borderId="0" xfId="1" applyNumberFormat="1" applyFont="1" applyFill="1" applyBorder="1"/>
    <xf numFmtId="14" fontId="13" fillId="6" borderId="4" xfId="0" applyNumberFormat="1" applyFont="1" applyFill="1" applyBorder="1" applyAlignment="1">
      <alignment horizontal="center" vertical="center"/>
    </xf>
    <xf numFmtId="14" fontId="13" fillId="6" borderId="4" xfId="0" applyNumberFormat="1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left"/>
    </xf>
    <xf numFmtId="0" fontId="53" fillId="0" borderId="0" xfId="0" applyFont="1" applyAlignment="1">
      <alignment horizontal="left"/>
    </xf>
    <xf numFmtId="0" fontId="0" fillId="0" borderId="0" xfId="0" quotePrefix="1"/>
    <xf numFmtId="16" fontId="0" fillId="0" borderId="0" xfId="0" applyNumberFormat="1"/>
    <xf numFmtId="0" fontId="18" fillId="5" borderId="5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20" fillId="5" borderId="7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20" fillId="12" borderId="7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20" fillId="12" borderId="13" xfId="0" applyFont="1" applyFill="1" applyBorder="1" applyAlignment="1">
      <alignment horizontal="center" vertical="center"/>
    </xf>
    <xf numFmtId="0" fontId="20" fillId="12" borderId="14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0" fontId="20" fillId="12" borderId="15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</cellXfs>
  <cellStyles count="4">
    <cellStyle name="Currency [0]" xfId="1" builtinId="7"/>
    <cellStyle name="Hyperlink" xfId="3" builtinId="8"/>
    <cellStyle name="Normal" xfId="0" builtinId="0"/>
    <cellStyle name="Percent" xfId="2" builtinId="5"/>
  </cellStyles>
  <dxfs count="92"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>
          <bgColor theme="9" tint="-0.499984740745262"/>
        </patternFill>
      </fill>
    </dxf>
    <dxf>
      <fill>
        <patternFill>
          <bgColor theme="9" tint="-0.499984740745262"/>
        </patternFill>
      </fill>
    </dxf>
    <dxf>
      <fill>
        <patternFill>
          <bgColor rgb="FF002060"/>
        </patternFill>
      </fill>
    </dxf>
    <dxf>
      <font>
        <color theme="0"/>
      </font>
    </dxf>
    <dxf>
      <font>
        <color theme="0"/>
      </font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-0.499984740745262"/>
        </patternFill>
      </fill>
    </dxf>
    <dxf>
      <fill>
        <patternFill>
          <bgColor theme="9" tint="-0.499984740745262"/>
        </patternFill>
      </fill>
    </dxf>
    <dxf>
      <font>
        <color theme="0"/>
      </font>
    </dxf>
    <dxf>
      <font>
        <color theme="0"/>
      </font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numFmt numFmtId="165" formatCode="_ &quot;$&quot;* #,##0_ ;_ &quot;$&quot;* \-#,##0_ ;_ &quot;$&quot;* &quot;-&quot;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</xdr:row>
      <xdr:rowOff>57150</xdr:rowOff>
    </xdr:from>
    <xdr:to>
      <xdr:col>1</xdr:col>
      <xdr:colOff>180975</xdr:colOff>
      <xdr:row>1</xdr:row>
      <xdr:rowOff>57150</xdr:rowOff>
    </xdr:to>
    <xdr:pic>
      <xdr:nvPicPr>
        <xdr:cNvPr id="7" name="Imagen 2">
          <a:extLst>
            <a:ext uri="{FF2B5EF4-FFF2-40B4-BE49-F238E27FC236}">
              <a16:creationId xmlns:a16="http://schemas.microsoft.com/office/drawing/2014/main" id="{EF74A453-5410-99D8-5F3C-AB2F4AB10572}"/>
            </a:ext>
            <a:ext uri="{147F2762-F138-4A5C-976F-8EAC2B608ADB}">
              <a16:predDERef xmlns:a16="http://schemas.microsoft.com/office/drawing/2014/main" pred="{A8A8F781-7477-6E1B-B5E4-022AC108B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5" y="438150"/>
          <a:ext cx="0" cy="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ownloads\nuevo%20FEBRERO%20TANNER%20CARTERIZADO%20(9).xlsx" TargetMode="External"/><Relationship Id="rId1" Type="http://schemas.openxmlformats.org/officeDocument/2006/relationships/externalLinkPath" Target="file:///C:\Users\PC\Downloads\nuevo%20FEBRERO%20TANNER%20CARTERIZADO%20(9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DRATURA "/>
      <sheetName val=" VIGENTE MAR"/>
      <sheetName val="ACCIONES JUDICIALES"/>
      <sheetName val="CASTIGO ABRIL"/>
      <sheetName val="CASTIGO MAR"/>
      <sheetName val="LIQUIDACION DE DUDA"/>
      <sheetName val="CASTIGO FEB"/>
      <sheetName val="ORIGINAL "/>
      <sheetName val="SANTANDER"/>
      <sheetName val="VIGENTE FEB"/>
      <sheetName val="PAGOS ABRIL"/>
      <sheetName val="Hoja2"/>
      <sheetName val="OFICIOS"/>
      <sheetName val="PROYECCION ABRIL"/>
      <sheetName val="PROYECC CASTIGO"/>
      <sheetName val="PROYECCION   "/>
      <sheetName val="Hoja4"/>
      <sheetName val="PROYECCION FEB"/>
      <sheetName val="CAMPAÑA D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D1" t="str">
            <v>ID_CREDITO</v>
          </cell>
          <cell r="E1" t="str">
            <v>EJECUTIVO</v>
          </cell>
          <cell r="F1" t="str">
            <v>DIAS_MORA</v>
          </cell>
          <cell r="G1" t="str">
            <v>CUOTAS_MOROSAS_ACTUAL</v>
          </cell>
          <cell r="H1" t="str">
            <v>SALDO_INSOLUTO_INI</v>
          </cell>
          <cell r="I1" t="str">
            <v xml:space="preserve">OFICIO </v>
          </cell>
          <cell r="J1" t="str">
            <v>GESTOR</v>
          </cell>
          <cell r="K1" t="str">
            <v>TIPO_COBRANZA</v>
          </cell>
          <cell r="L1" t="str">
            <v>TRAMO_INI</v>
          </cell>
          <cell r="M1" t="str">
            <v>NombreProducto</v>
          </cell>
          <cell r="N1" t="str">
            <v>TIPO_CARTERA</v>
          </cell>
        </row>
        <row r="2">
          <cell r="D2">
            <v>585590</v>
          </cell>
          <cell r="E2" t="str">
            <v>Ariel Silva</v>
          </cell>
          <cell r="F2">
            <v>979</v>
          </cell>
          <cell r="H2">
            <v>5293774</v>
          </cell>
          <cell r="I2" t="e">
            <v>#N/A</v>
          </cell>
          <cell r="J2" t="str">
            <v>PHOENIX</v>
          </cell>
          <cell r="K2" t="str">
            <v>JUDICIAL</v>
          </cell>
          <cell r="L2" t="str">
            <v>731-1095</v>
          </cell>
          <cell r="M2" t="str">
            <v>731-1095</v>
          </cell>
          <cell r="N2" t="str">
            <v>CASTIGO</v>
          </cell>
        </row>
        <row r="3">
          <cell r="D3">
            <v>1307975</v>
          </cell>
          <cell r="F3">
            <v>93</v>
          </cell>
          <cell r="G3">
            <v>4</v>
          </cell>
          <cell r="H3">
            <v>1363455</v>
          </cell>
          <cell r="I3" t="e">
            <v>#N/A</v>
          </cell>
          <cell r="J3" t="str">
            <v>PHOENIX</v>
          </cell>
          <cell r="K3" t="str">
            <v>JUDICIAL</v>
          </cell>
          <cell r="L3" t="str">
            <v>61-90</v>
          </cell>
          <cell r="M3" t="str">
            <v>91-120</v>
          </cell>
          <cell r="N3" t="str">
            <v>VIGENTE</v>
          </cell>
        </row>
        <row r="4">
          <cell r="D4">
            <v>1344919</v>
          </cell>
          <cell r="E4" t="str">
            <v>Ariel Silva</v>
          </cell>
          <cell r="F4">
            <v>309</v>
          </cell>
          <cell r="H4">
            <v>6716000</v>
          </cell>
          <cell r="I4">
            <v>45758</v>
          </cell>
          <cell r="J4" t="str">
            <v>PHOENIX</v>
          </cell>
          <cell r="K4" t="str">
            <v>JUDICIAL</v>
          </cell>
          <cell r="L4" t="str">
            <v>0-365</v>
          </cell>
          <cell r="M4" t="str">
            <v>0-365</v>
          </cell>
          <cell r="N4" t="str">
            <v>CASTIGO</v>
          </cell>
        </row>
        <row r="5">
          <cell r="D5">
            <v>1371362</v>
          </cell>
          <cell r="E5" t="str">
            <v>Ariel Silva</v>
          </cell>
          <cell r="F5">
            <v>279</v>
          </cell>
          <cell r="H5">
            <v>8434800</v>
          </cell>
          <cell r="I5" t="e">
            <v>#N/A</v>
          </cell>
          <cell r="J5" t="str">
            <v>PHOENIX</v>
          </cell>
          <cell r="K5" t="str">
            <v>JUDICIAL</v>
          </cell>
          <cell r="L5" t="str">
            <v>0-365</v>
          </cell>
          <cell r="M5" t="str">
            <v>0-365</v>
          </cell>
          <cell r="N5" t="str">
            <v>CASTIGO</v>
          </cell>
        </row>
        <row r="6">
          <cell r="D6">
            <v>1383598</v>
          </cell>
          <cell r="E6" t="str">
            <v>Ariel Silva</v>
          </cell>
          <cell r="F6">
            <v>279</v>
          </cell>
          <cell r="H6">
            <v>3596000</v>
          </cell>
          <cell r="I6" t="e">
            <v>#N/A</v>
          </cell>
          <cell r="J6" t="str">
            <v>PHOENIX</v>
          </cell>
          <cell r="K6" t="str">
            <v>JUDICIAL</v>
          </cell>
          <cell r="L6" t="str">
            <v>0-365</v>
          </cell>
          <cell r="M6" t="str">
            <v>0-365</v>
          </cell>
          <cell r="N6" t="str">
            <v>CASTIGO</v>
          </cell>
        </row>
        <row r="7">
          <cell r="D7">
            <v>1397586</v>
          </cell>
          <cell r="E7" t="str">
            <v>Ariel Silva</v>
          </cell>
          <cell r="F7">
            <v>248</v>
          </cell>
          <cell r="H7">
            <v>5796000</v>
          </cell>
          <cell r="I7" t="e">
            <v>#N/A</v>
          </cell>
          <cell r="J7" t="str">
            <v>PHOENIX</v>
          </cell>
          <cell r="K7" t="str">
            <v>JUDICIAL</v>
          </cell>
          <cell r="L7" t="str">
            <v>0-365</v>
          </cell>
          <cell r="M7" t="str">
            <v>0-365</v>
          </cell>
          <cell r="N7" t="str">
            <v>CASTIGO</v>
          </cell>
        </row>
        <row r="8">
          <cell r="D8">
            <v>1414632</v>
          </cell>
          <cell r="F8">
            <v>214</v>
          </cell>
          <cell r="G8">
            <v>1</v>
          </cell>
          <cell r="H8">
            <v>2718210</v>
          </cell>
          <cell r="I8" t="e">
            <v>#N/A</v>
          </cell>
          <cell r="J8" t="str">
            <v>PHOENIX</v>
          </cell>
          <cell r="K8" t="str">
            <v>JUDICIAL</v>
          </cell>
          <cell r="L8" t="str">
            <v>181-210</v>
          </cell>
          <cell r="M8" t="str">
            <v>211-240</v>
          </cell>
          <cell r="N8" t="str">
            <v>VIGENTE</v>
          </cell>
        </row>
        <row r="9">
          <cell r="D9">
            <v>1421319</v>
          </cell>
          <cell r="E9" t="str">
            <v>Ariel Silva</v>
          </cell>
          <cell r="F9">
            <v>309</v>
          </cell>
          <cell r="H9">
            <v>4230316</v>
          </cell>
          <cell r="I9" t="e">
            <v>#N/A</v>
          </cell>
          <cell r="J9" t="str">
            <v>PHOENIX</v>
          </cell>
          <cell r="K9" t="str">
            <v>JUDICIAL</v>
          </cell>
          <cell r="L9" t="str">
            <v>0-365</v>
          </cell>
          <cell r="M9" t="str">
            <v>0-365</v>
          </cell>
          <cell r="N9" t="str">
            <v>CASTIGO</v>
          </cell>
        </row>
        <row r="10">
          <cell r="D10">
            <v>1429617</v>
          </cell>
          <cell r="F10">
            <v>34</v>
          </cell>
          <cell r="G10">
            <v>2</v>
          </cell>
          <cell r="H10">
            <v>1413465</v>
          </cell>
          <cell r="I10" t="e">
            <v>#N/A</v>
          </cell>
          <cell r="J10" t="str">
            <v>PHOENIX</v>
          </cell>
          <cell r="K10" t="str">
            <v>JUDICIAL</v>
          </cell>
          <cell r="L10" t="str">
            <v>31-60</v>
          </cell>
          <cell r="M10" t="str">
            <v>31-60</v>
          </cell>
          <cell r="N10" t="str">
            <v>VIGENTE</v>
          </cell>
        </row>
        <row r="11">
          <cell r="D11">
            <v>1444864</v>
          </cell>
          <cell r="E11" t="str">
            <v>Ariel Silva</v>
          </cell>
          <cell r="F11">
            <v>309</v>
          </cell>
          <cell r="H11">
            <v>5112777</v>
          </cell>
          <cell r="I11" t="e">
            <v>#N/A</v>
          </cell>
          <cell r="J11" t="str">
            <v>PHOENIX</v>
          </cell>
          <cell r="K11" t="str">
            <v>JUDICIAL</v>
          </cell>
          <cell r="L11" t="str">
            <v>0-365</v>
          </cell>
          <cell r="M11" t="str">
            <v>0-365</v>
          </cell>
          <cell r="N11" t="str">
            <v>CASTIGO</v>
          </cell>
        </row>
        <row r="12">
          <cell r="D12">
            <v>1446743</v>
          </cell>
          <cell r="E12" t="str">
            <v>Ariel Silva</v>
          </cell>
          <cell r="F12">
            <v>217</v>
          </cell>
          <cell r="H12">
            <v>3879999</v>
          </cell>
          <cell r="I12" t="e">
            <v>#N/A</v>
          </cell>
          <cell r="J12" t="str">
            <v>PHOENIX</v>
          </cell>
          <cell r="K12" t="str">
            <v>JUDICIAL</v>
          </cell>
          <cell r="L12" t="str">
            <v>0-365</v>
          </cell>
          <cell r="M12" t="str">
            <v>0-365</v>
          </cell>
          <cell r="N12" t="str">
            <v>CASTIGO</v>
          </cell>
        </row>
        <row r="13">
          <cell r="D13">
            <v>1447663</v>
          </cell>
          <cell r="E13" t="str">
            <v>Ariel Silva</v>
          </cell>
          <cell r="F13">
            <v>340</v>
          </cell>
          <cell r="H13">
            <v>8889221</v>
          </cell>
          <cell r="I13" t="e">
            <v>#N/A</v>
          </cell>
          <cell r="J13" t="str">
            <v>PHOENIX</v>
          </cell>
          <cell r="K13" t="str">
            <v>JUDICIAL</v>
          </cell>
          <cell r="L13" t="str">
            <v>0-365</v>
          </cell>
          <cell r="M13" t="str">
            <v>0-365</v>
          </cell>
          <cell r="N13" t="str">
            <v>CASTIGO</v>
          </cell>
        </row>
        <row r="14">
          <cell r="D14">
            <v>1475529</v>
          </cell>
          <cell r="F14">
            <v>34</v>
          </cell>
          <cell r="G14">
            <v>2</v>
          </cell>
          <cell r="H14">
            <v>1616360</v>
          </cell>
          <cell r="I14" t="e">
            <v>#N/A</v>
          </cell>
          <cell r="J14" t="str">
            <v>PHOENIX</v>
          </cell>
          <cell r="K14" t="str">
            <v>JUDICIAL</v>
          </cell>
          <cell r="L14" t="str">
            <v>1-30</v>
          </cell>
          <cell r="M14" t="str">
            <v>31-60</v>
          </cell>
          <cell r="N14" t="str">
            <v>VIGENTE</v>
          </cell>
        </row>
        <row r="15">
          <cell r="D15">
            <v>1477948</v>
          </cell>
          <cell r="F15">
            <v>206</v>
          </cell>
          <cell r="G15">
            <v>1</v>
          </cell>
          <cell r="H15">
            <v>434569</v>
          </cell>
          <cell r="I15">
            <v>45779</v>
          </cell>
          <cell r="J15" t="str">
            <v>PHOENIX</v>
          </cell>
          <cell r="K15" t="str">
            <v>JUDICIAL</v>
          </cell>
          <cell r="L15" t="str">
            <v>181-210</v>
          </cell>
          <cell r="M15" t="str">
            <v>181-210</v>
          </cell>
          <cell r="N15" t="str">
            <v>VIGENTE</v>
          </cell>
        </row>
        <row r="16">
          <cell r="D16">
            <v>1479919</v>
          </cell>
          <cell r="E16" t="str">
            <v>Ariel Silva</v>
          </cell>
          <cell r="F16">
            <v>156</v>
          </cell>
          <cell r="H16">
            <v>4032000</v>
          </cell>
          <cell r="I16" t="e">
            <v>#N/A</v>
          </cell>
          <cell r="J16" t="str">
            <v>PHOENIX</v>
          </cell>
          <cell r="K16" t="str">
            <v>JUDICIAL</v>
          </cell>
          <cell r="L16" t="str">
            <v>0-365</v>
          </cell>
          <cell r="M16" t="str">
            <v>0-365</v>
          </cell>
          <cell r="N16" t="str">
            <v>CASTIGO</v>
          </cell>
        </row>
        <row r="17">
          <cell r="D17">
            <v>1493544</v>
          </cell>
          <cell r="E17" t="str">
            <v>Ariel Silva</v>
          </cell>
          <cell r="F17">
            <v>126</v>
          </cell>
          <cell r="H17">
            <v>10161255</v>
          </cell>
          <cell r="I17">
            <v>45960</v>
          </cell>
          <cell r="J17" t="str">
            <v>PHOENIX</v>
          </cell>
          <cell r="K17" t="str">
            <v>JUDICIAL</v>
          </cell>
          <cell r="L17" t="str">
            <v>0-365</v>
          </cell>
          <cell r="M17" t="str">
            <v>0-365</v>
          </cell>
          <cell r="N17" t="str">
            <v>CASTIGO</v>
          </cell>
        </row>
        <row r="18">
          <cell r="D18">
            <v>1494440</v>
          </cell>
          <cell r="E18" t="str">
            <v>Ariel Silva</v>
          </cell>
          <cell r="F18">
            <v>1</v>
          </cell>
          <cell r="H18">
            <v>3819552</v>
          </cell>
          <cell r="I18" t="e">
            <v>#N/A</v>
          </cell>
          <cell r="J18" t="str">
            <v>PHOENIX</v>
          </cell>
          <cell r="K18" t="str">
            <v>JUDICIAL</v>
          </cell>
          <cell r="L18" t="str">
            <v>0-365</v>
          </cell>
          <cell r="M18" t="str">
            <v>0-365</v>
          </cell>
          <cell r="N18" t="str">
            <v>CASTIGO</v>
          </cell>
        </row>
        <row r="19">
          <cell r="D19">
            <v>1524638</v>
          </cell>
          <cell r="E19" t="str">
            <v>Ariel Silva</v>
          </cell>
          <cell r="F19">
            <v>126</v>
          </cell>
          <cell r="H19">
            <v>3499999</v>
          </cell>
          <cell r="I19" t="e">
            <v>#N/A</v>
          </cell>
          <cell r="J19" t="str">
            <v>PHOENIX</v>
          </cell>
          <cell r="K19" t="str">
            <v>JUDICIAL</v>
          </cell>
          <cell r="L19" t="str">
            <v>0-365</v>
          </cell>
          <cell r="M19" t="str">
            <v>0-365</v>
          </cell>
          <cell r="N19" t="str">
            <v>CASTIGO</v>
          </cell>
        </row>
        <row r="20">
          <cell r="D20">
            <v>1530466</v>
          </cell>
          <cell r="E20" t="str">
            <v>Ariel Silva</v>
          </cell>
          <cell r="F20">
            <v>309</v>
          </cell>
          <cell r="H20">
            <v>4391250</v>
          </cell>
          <cell r="I20" t="e">
            <v>#N/A</v>
          </cell>
          <cell r="J20" t="str">
            <v>PHOENIX</v>
          </cell>
          <cell r="K20" t="str">
            <v>JUDICIAL</v>
          </cell>
          <cell r="L20" t="str">
            <v>0-365</v>
          </cell>
          <cell r="M20" t="str">
            <v>0-365</v>
          </cell>
          <cell r="N20" t="str">
            <v>CASTIGO</v>
          </cell>
        </row>
        <row r="21">
          <cell r="D21">
            <v>1540238</v>
          </cell>
          <cell r="F21">
            <v>338</v>
          </cell>
          <cell r="G21">
            <v>7</v>
          </cell>
          <cell r="H21">
            <v>5822119</v>
          </cell>
          <cell r="I21">
            <v>45897</v>
          </cell>
          <cell r="J21" t="str">
            <v>PHOENIX</v>
          </cell>
          <cell r="K21" t="str">
            <v>JUDICIAL</v>
          </cell>
          <cell r="L21" t="str">
            <v>301-330</v>
          </cell>
          <cell r="M21" t="str">
            <v>331-360</v>
          </cell>
          <cell r="N21" t="str">
            <v>VIGENTE</v>
          </cell>
        </row>
        <row r="22">
          <cell r="D22">
            <v>1542074</v>
          </cell>
          <cell r="E22" t="str">
            <v>Ariel Silva</v>
          </cell>
          <cell r="F22">
            <v>217</v>
          </cell>
          <cell r="H22">
            <v>6733739</v>
          </cell>
          <cell r="I22" t="e">
            <v>#N/A</v>
          </cell>
          <cell r="J22" t="str">
            <v>PHOENIX</v>
          </cell>
          <cell r="K22" t="str">
            <v>JUDICIAL</v>
          </cell>
          <cell r="L22" t="str">
            <v>0-365</v>
          </cell>
          <cell r="M22" t="str">
            <v>0-365</v>
          </cell>
          <cell r="N22" t="str">
            <v>CASTIGO</v>
          </cell>
        </row>
        <row r="23">
          <cell r="D23">
            <v>1563013</v>
          </cell>
          <cell r="E23" t="str">
            <v>Ariel Silva</v>
          </cell>
          <cell r="F23">
            <v>309</v>
          </cell>
          <cell r="H23">
            <v>4818807</v>
          </cell>
          <cell r="I23" t="e">
            <v>#N/A</v>
          </cell>
          <cell r="J23" t="str">
            <v>PHOENIX</v>
          </cell>
          <cell r="K23" t="str">
            <v>JUDICIAL</v>
          </cell>
          <cell r="L23" t="str">
            <v>0-365</v>
          </cell>
          <cell r="M23" t="str">
            <v>0-365</v>
          </cell>
          <cell r="N23" t="str">
            <v>CASTIGO</v>
          </cell>
        </row>
        <row r="24">
          <cell r="D24">
            <v>1567682</v>
          </cell>
          <cell r="F24">
            <v>185</v>
          </cell>
          <cell r="G24">
            <v>2</v>
          </cell>
          <cell r="H24">
            <v>3681912</v>
          </cell>
          <cell r="I24" t="e">
            <v>#N/A</v>
          </cell>
          <cell r="J24" t="str">
            <v>PHOENIX</v>
          </cell>
          <cell r="K24" t="str">
            <v>JUDICIAL</v>
          </cell>
          <cell r="L24" t="str">
            <v>151-180</v>
          </cell>
          <cell r="M24" t="str">
            <v>181-210</v>
          </cell>
          <cell r="N24" t="str">
            <v>VIGENTE</v>
          </cell>
        </row>
        <row r="25">
          <cell r="D25">
            <v>1571122</v>
          </cell>
          <cell r="E25" t="str">
            <v>Ariel Silva</v>
          </cell>
          <cell r="F25">
            <v>156</v>
          </cell>
          <cell r="H25">
            <v>5920000</v>
          </cell>
          <cell r="I25" t="e">
            <v>#N/A</v>
          </cell>
          <cell r="J25" t="str">
            <v>PHOENIX</v>
          </cell>
          <cell r="K25" t="str">
            <v>JUDICIAL</v>
          </cell>
          <cell r="L25" t="str">
            <v>0-365</v>
          </cell>
          <cell r="M25" t="str">
            <v>0-365</v>
          </cell>
          <cell r="N25" t="str">
            <v>CASTIGO</v>
          </cell>
        </row>
        <row r="26">
          <cell r="D26">
            <v>1579447</v>
          </cell>
          <cell r="E26" t="str">
            <v>Ariel Silva</v>
          </cell>
          <cell r="F26">
            <v>156</v>
          </cell>
          <cell r="H26">
            <v>3774859</v>
          </cell>
          <cell r="I26" t="e">
            <v>#N/A</v>
          </cell>
          <cell r="J26" t="str">
            <v>PHOENIX</v>
          </cell>
          <cell r="K26" t="str">
            <v>JUDICIAL</v>
          </cell>
          <cell r="L26" t="str">
            <v>0-365</v>
          </cell>
          <cell r="M26" t="str">
            <v>0-365</v>
          </cell>
          <cell r="N26" t="str">
            <v>CASTIGO</v>
          </cell>
        </row>
        <row r="27">
          <cell r="D27">
            <v>1585963</v>
          </cell>
          <cell r="E27" t="str">
            <v>Ariel Silva</v>
          </cell>
          <cell r="F27">
            <v>279</v>
          </cell>
          <cell r="H27">
            <v>6878855</v>
          </cell>
          <cell r="I27">
            <v>45859</v>
          </cell>
          <cell r="J27" t="str">
            <v>PHOENIX</v>
          </cell>
          <cell r="K27" t="str">
            <v>JUDICIAL</v>
          </cell>
          <cell r="L27" t="str">
            <v>0-365</v>
          </cell>
          <cell r="M27" t="str">
            <v>0-365</v>
          </cell>
          <cell r="N27" t="str">
            <v>CASTIGO</v>
          </cell>
        </row>
        <row r="28">
          <cell r="D28">
            <v>1597284</v>
          </cell>
          <cell r="F28">
            <v>154</v>
          </cell>
          <cell r="G28">
            <v>4</v>
          </cell>
          <cell r="H28">
            <v>4219178</v>
          </cell>
          <cell r="I28" t="e">
            <v>#N/A</v>
          </cell>
          <cell r="J28" t="str">
            <v>PHOENIX</v>
          </cell>
          <cell r="K28" t="str">
            <v>JUDICIAL</v>
          </cell>
          <cell r="L28" t="str">
            <v>121-150</v>
          </cell>
          <cell r="M28" t="str">
            <v>151-180</v>
          </cell>
          <cell r="N28" t="str">
            <v>VIGENTE</v>
          </cell>
        </row>
        <row r="29">
          <cell r="D29">
            <v>1603752</v>
          </cell>
          <cell r="E29" t="str">
            <v>Ariel Silva</v>
          </cell>
          <cell r="F29">
            <v>126</v>
          </cell>
          <cell r="H29">
            <v>3882712</v>
          </cell>
          <cell r="I29">
            <v>46049</v>
          </cell>
          <cell r="J29" t="str">
            <v>PHOENIX</v>
          </cell>
          <cell r="K29" t="str">
            <v>JUDICIAL</v>
          </cell>
          <cell r="L29" t="str">
            <v>0-365</v>
          </cell>
          <cell r="M29" t="str">
            <v>0-365</v>
          </cell>
          <cell r="N29" t="str">
            <v>CASTIGO</v>
          </cell>
        </row>
        <row r="30">
          <cell r="D30">
            <v>1609974</v>
          </cell>
          <cell r="E30" t="str">
            <v>Ariel Silva</v>
          </cell>
          <cell r="F30">
            <v>95</v>
          </cell>
          <cell r="H30">
            <v>3596000</v>
          </cell>
          <cell r="I30" t="e">
            <v>#N/A</v>
          </cell>
          <cell r="J30" t="str">
            <v>PHOENIX</v>
          </cell>
          <cell r="K30" t="str">
            <v>JUDICIAL</v>
          </cell>
          <cell r="L30" t="str">
            <v>0-365</v>
          </cell>
          <cell r="M30" t="str">
            <v>0-365</v>
          </cell>
          <cell r="N30" t="str">
            <v>CASTIGO</v>
          </cell>
        </row>
        <row r="31">
          <cell r="D31">
            <v>1636782</v>
          </cell>
          <cell r="F31">
            <v>124</v>
          </cell>
          <cell r="G31">
            <v>3</v>
          </cell>
          <cell r="H31">
            <v>5504672</v>
          </cell>
          <cell r="I31" t="e">
            <v>#N/A</v>
          </cell>
          <cell r="J31" t="str">
            <v>PHOENIX</v>
          </cell>
          <cell r="K31" t="str">
            <v>JUDICIAL</v>
          </cell>
          <cell r="L31" t="str">
            <v>91-120</v>
          </cell>
          <cell r="M31" t="str">
            <v>121-150</v>
          </cell>
          <cell r="N31" t="str">
            <v>VIGENTE</v>
          </cell>
        </row>
        <row r="32">
          <cell r="D32">
            <v>1638465</v>
          </cell>
          <cell r="E32" t="str">
            <v>Ariel Silva</v>
          </cell>
          <cell r="F32">
            <v>309</v>
          </cell>
          <cell r="H32">
            <v>3871396</v>
          </cell>
          <cell r="I32" t="e">
            <v>#N/A</v>
          </cell>
          <cell r="J32" t="str">
            <v>PHOENIX</v>
          </cell>
          <cell r="K32" t="str">
            <v>JUDICIAL</v>
          </cell>
          <cell r="L32" t="str">
            <v>0-365</v>
          </cell>
          <cell r="M32" t="str">
            <v>0-365</v>
          </cell>
          <cell r="N32" t="str">
            <v>CASTIGO</v>
          </cell>
        </row>
        <row r="33">
          <cell r="D33">
            <v>1642440</v>
          </cell>
          <cell r="E33" t="str">
            <v>Ariel Silva</v>
          </cell>
          <cell r="F33">
            <v>279</v>
          </cell>
          <cell r="H33">
            <v>14121919</v>
          </cell>
          <cell r="I33">
            <v>45875</v>
          </cell>
          <cell r="J33" t="str">
            <v>PHOENIX</v>
          </cell>
          <cell r="K33" t="str">
            <v>JUDICIAL</v>
          </cell>
          <cell r="L33" t="str">
            <v>0-365</v>
          </cell>
          <cell r="M33" t="str">
            <v>0-365</v>
          </cell>
          <cell r="N33" t="str">
            <v>CASTIGO</v>
          </cell>
        </row>
        <row r="34">
          <cell r="D34">
            <v>1644932</v>
          </cell>
          <cell r="E34" t="str">
            <v>Ariel Silva</v>
          </cell>
          <cell r="F34">
            <v>340</v>
          </cell>
          <cell r="H34">
            <v>4868802</v>
          </cell>
          <cell r="I34" t="e">
            <v>#N/A</v>
          </cell>
          <cell r="J34" t="str">
            <v>PHOENIX</v>
          </cell>
          <cell r="K34" t="str">
            <v>JUDICIAL</v>
          </cell>
          <cell r="L34" t="str">
            <v>0-365</v>
          </cell>
          <cell r="M34" t="str">
            <v>0-365</v>
          </cell>
          <cell r="N34" t="str">
            <v>CASTIGO</v>
          </cell>
        </row>
        <row r="35">
          <cell r="D35">
            <v>1645952</v>
          </cell>
          <cell r="F35">
            <v>302</v>
          </cell>
          <cell r="G35">
            <v>9</v>
          </cell>
          <cell r="H35">
            <v>7872938</v>
          </cell>
          <cell r="I35" t="e">
            <v>#N/A</v>
          </cell>
          <cell r="J35" t="str">
            <v>PHOENIX</v>
          </cell>
          <cell r="K35" t="str">
            <v>JUDICIAL</v>
          </cell>
          <cell r="L35" t="str">
            <v>271-300</v>
          </cell>
          <cell r="M35" t="str">
            <v>301-330</v>
          </cell>
          <cell r="N35" t="str">
            <v>VIGENTE</v>
          </cell>
        </row>
        <row r="36">
          <cell r="D36">
            <v>1670767</v>
          </cell>
          <cell r="E36" t="str">
            <v>Ariel Silva</v>
          </cell>
          <cell r="F36">
            <v>64</v>
          </cell>
          <cell r="H36">
            <v>6378399</v>
          </cell>
          <cell r="I36">
            <v>46054</v>
          </cell>
          <cell r="J36" t="str">
            <v>PHOENIX</v>
          </cell>
          <cell r="K36" t="str">
            <v>JUDICIAL</v>
          </cell>
          <cell r="L36" t="str">
            <v>0-365</v>
          </cell>
          <cell r="M36" t="str">
            <v>0-365</v>
          </cell>
          <cell r="N36" t="str">
            <v>CASTIGO</v>
          </cell>
        </row>
        <row r="37">
          <cell r="D37">
            <v>1700218</v>
          </cell>
          <cell r="E37" t="str">
            <v>Ariel Silva</v>
          </cell>
          <cell r="F37">
            <v>64</v>
          </cell>
          <cell r="H37">
            <v>6879999</v>
          </cell>
          <cell r="I37" t="e">
            <v>#N/A</v>
          </cell>
          <cell r="J37" t="str">
            <v>PHOENIX</v>
          </cell>
          <cell r="K37" t="str">
            <v>JUDICIAL</v>
          </cell>
          <cell r="L37" t="str">
            <v>0-365</v>
          </cell>
          <cell r="M37" t="str">
            <v>0-365</v>
          </cell>
          <cell r="N37" t="str">
            <v>CASTIGO</v>
          </cell>
        </row>
        <row r="38">
          <cell r="D38">
            <v>1715559</v>
          </cell>
          <cell r="F38">
            <v>63</v>
          </cell>
          <cell r="G38">
            <v>1</v>
          </cell>
          <cell r="H38">
            <v>5674047</v>
          </cell>
          <cell r="I38" t="e">
            <v>#N/A</v>
          </cell>
          <cell r="J38" t="str">
            <v>PHOENIX</v>
          </cell>
          <cell r="K38" t="str">
            <v>JUDICIAL</v>
          </cell>
          <cell r="L38" t="str">
            <v>61-90</v>
          </cell>
          <cell r="M38" t="str">
            <v>61-90</v>
          </cell>
          <cell r="N38" t="str">
            <v>VIGENTE</v>
          </cell>
        </row>
        <row r="39">
          <cell r="D39">
            <v>1721051</v>
          </cell>
          <cell r="E39" t="str">
            <v>Ariel Silva</v>
          </cell>
          <cell r="F39">
            <v>248</v>
          </cell>
          <cell r="H39">
            <v>9984524</v>
          </cell>
          <cell r="I39">
            <v>45827</v>
          </cell>
          <cell r="J39" t="str">
            <v>PHOENIX</v>
          </cell>
          <cell r="K39" t="str">
            <v>JUDICIAL</v>
          </cell>
          <cell r="L39" t="str">
            <v>0-365</v>
          </cell>
          <cell r="M39" t="str">
            <v>0-365</v>
          </cell>
          <cell r="N39" t="str">
            <v>CASTIGO</v>
          </cell>
        </row>
        <row r="40">
          <cell r="D40">
            <v>1729656</v>
          </cell>
          <cell r="E40" t="str">
            <v>Ariel Silva</v>
          </cell>
          <cell r="F40">
            <v>309</v>
          </cell>
          <cell r="H40">
            <v>4994124</v>
          </cell>
          <cell r="I40" t="e">
            <v>#N/A</v>
          </cell>
          <cell r="J40" t="str">
            <v>PHOENIX</v>
          </cell>
          <cell r="K40" t="str">
            <v>JUDICIAL</v>
          </cell>
          <cell r="L40" t="str">
            <v>0-365</v>
          </cell>
          <cell r="M40" t="str">
            <v>0-365</v>
          </cell>
          <cell r="N40" t="str">
            <v>CASTIGO</v>
          </cell>
        </row>
        <row r="41">
          <cell r="D41">
            <v>1735638</v>
          </cell>
          <cell r="E41" t="str">
            <v>Ariel Silva</v>
          </cell>
          <cell r="F41">
            <v>95</v>
          </cell>
          <cell r="H41">
            <v>4850702</v>
          </cell>
          <cell r="I41" t="e">
            <v>#N/A</v>
          </cell>
          <cell r="J41" t="str">
            <v>PHOENIX</v>
          </cell>
          <cell r="K41" t="str">
            <v>JUDICIAL</v>
          </cell>
          <cell r="L41" t="str">
            <v>0-365</v>
          </cell>
          <cell r="M41" t="str">
            <v>0-365</v>
          </cell>
          <cell r="N41" t="str">
            <v>CASTIGO</v>
          </cell>
        </row>
        <row r="42">
          <cell r="D42">
            <v>1744150</v>
          </cell>
          <cell r="F42">
            <v>80</v>
          </cell>
          <cell r="G42">
            <v>1</v>
          </cell>
          <cell r="H42">
            <v>521502</v>
          </cell>
          <cell r="I42" t="e">
            <v>#N/A</v>
          </cell>
          <cell r="J42" t="str">
            <v>PHOENIX</v>
          </cell>
          <cell r="K42" t="str">
            <v>JUDICIAL</v>
          </cell>
          <cell r="L42" t="str">
            <v>61-90</v>
          </cell>
          <cell r="M42" t="str">
            <v>61-90</v>
          </cell>
          <cell r="N42" t="str">
            <v>VIGENTE</v>
          </cell>
        </row>
        <row r="43">
          <cell r="D43">
            <v>1746743</v>
          </cell>
          <cell r="E43" t="str">
            <v>Ariel Silva</v>
          </cell>
          <cell r="F43">
            <v>370</v>
          </cell>
          <cell r="H43">
            <v>4502714</v>
          </cell>
          <cell r="I43" t="e">
            <v>#N/A</v>
          </cell>
          <cell r="J43" t="str">
            <v>PHOENIX</v>
          </cell>
          <cell r="K43" t="str">
            <v>JUDICIAL</v>
          </cell>
          <cell r="L43" t="str">
            <v>366-730</v>
          </cell>
          <cell r="M43" t="str">
            <v>366-730</v>
          </cell>
          <cell r="N43" t="str">
            <v>CASTIGO</v>
          </cell>
        </row>
        <row r="44">
          <cell r="D44">
            <v>1749842</v>
          </cell>
          <cell r="E44" t="str">
            <v>Ariel Silva</v>
          </cell>
          <cell r="F44">
            <v>64</v>
          </cell>
          <cell r="H44">
            <v>4940063</v>
          </cell>
          <cell r="I44" t="e">
            <v>#N/A</v>
          </cell>
          <cell r="J44" t="str">
            <v>PHOENIX</v>
          </cell>
          <cell r="K44" t="str">
            <v>JUDICIAL</v>
          </cell>
          <cell r="L44" t="str">
            <v>0-365</v>
          </cell>
          <cell r="M44" t="str">
            <v>0-365</v>
          </cell>
          <cell r="N44" t="str">
            <v>CASTIGO</v>
          </cell>
        </row>
        <row r="45">
          <cell r="D45">
            <v>1752476</v>
          </cell>
          <cell r="E45" t="str">
            <v>Ariel Silva</v>
          </cell>
          <cell r="F45">
            <v>309</v>
          </cell>
          <cell r="H45">
            <v>6198242</v>
          </cell>
          <cell r="I45">
            <v>46100</v>
          </cell>
          <cell r="J45" t="str">
            <v>PHOENIX</v>
          </cell>
          <cell r="K45" t="str">
            <v>JUDICIAL</v>
          </cell>
          <cell r="L45" t="str">
            <v>0-365</v>
          </cell>
          <cell r="M45" t="str">
            <v>0-365</v>
          </cell>
          <cell r="N45" t="str">
            <v>CASTIGO</v>
          </cell>
        </row>
        <row r="46">
          <cell r="D46">
            <v>1763682</v>
          </cell>
          <cell r="E46" t="str">
            <v>Ariel Silva</v>
          </cell>
          <cell r="F46">
            <v>126</v>
          </cell>
          <cell r="H46">
            <v>6001534</v>
          </cell>
          <cell r="I46" t="e">
            <v>#N/A</v>
          </cell>
          <cell r="J46" t="str">
            <v>PHOENIX</v>
          </cell>
          <cell r="K46" t="str">
            <v>JUDICIAL</v>
          </cell>
          <cell r="L46" t="str">
            <v>0-365</v>
          </cell>
          <cell r="M46" t="str">
            <v>0-365</v>
          </cell>
          <cell r="N46" t="str">
            <v>CASTIGO</v>
          </cell>
        </row>
        <row r="47">
          <cell r="D47">
            <v>1769156</v>
          </cell>
          <cell r="E47" t="str">
            <v>Ariel Silva</v>
          </cell>
          <cell r="F47">
            <v>370</v>
          </cell>
          <cell r="H47">
            <v>7241243</v>
          </cell>
          <cell r="I47" t="e">
            <v>#N/A</v>
          </cell>
          <cell r="J47" t="str">
            <v>PHOENIX</v>
          </cell>
          <cell r="K47" t="str">
            <v>JUDICIAL</v>
          </cell>
          <cell r="L47" t="str">
            <v>366-730</v>
          </cell>
          <cell r="M47" t="str">
            <v>366-730</v>
          </cell>
          <cell r="N47" t="str">
            <v>CASTIGO</v>
          </cell>
        </row>
        <row r="48">
          <cell r="D48">
            <v>1769482</v>
          </cell>
          <cell r="F48">
            <v>149</v>
          </cell>
          <cell r="G48">
            <v>5</v>
          </cell>
          <cell r="H48">
            <v>4635527</v>
          </cell>
          <cell r="I48" t="e">
            <v>#N/A</v>
          </cell>
          <cell r="J48" t="str">
            <v>PHOENIX</v>
          </cell>
          <cell r="K48" t="str">
            <v>JUDICIAL</v>
          </cell>
          <cell r="L48" t="str">
            <v>121-150</v>
          </cell>
          <cell r="M48" t="str">
            <v>121-150</v>
          </cell>
          <cell r="N48" t="str">
            <v>VIGENTE</v>
          </cell>
        </row>
        <row r="49">
          <cell r="D49">
            <v>1777539</v>
          </cell>
          <cell r="E49" t="str">
            <v>Ariel Silva</v>
          </cell>
          <cell r="F49">
            <v>64</v>
          </cell>
          <cell r="H49">
            <v>9123246</v>
          </cell>
          <cell r="I49" t="e">
            <v>#N/A</v>
          </cell>
          <cell r="J49" t="str">
            <v>PHOENIX</v>
          </cell>
          <cell r="K49" t="str">
            <v>JUDICIAL</v>
          </cell>
          <cell r="L49" t="str">
            <v>0-365</v>
          </cell>
          <cell r="M49" t="str">
            <v>0-365</v>
          </cell>
          <cell r="N49" t="str">
            <v>CASTIGO</v>
          </cell>
        </row>
        <row r="50">
          <cell r="D50">
            <v>1782538</v>
          </cell>
          <cell r="E50" t="str">
            <v>Ariel Silva</v>
          </cell>
          <cell r="F50">
            <v>248</v>
          </cell>
          <cell r="H50">
            <v>5247436</v>
          </cell>
          <cell r="I50">
            <v>45931</v>
          </cell>
          <cell r="J50" t="str">
            <v>PHOENIX</v>
          </cell>
          <cell r="K50" t="str">
            <v>JUDICIAL</v>
          </cell>
          <cell r="L50" t="str">
            <v>0-365</v>
          </cell>
          <cell r="M50" t="str">
            <v>0-365</v>
          </cell>
          <cell r="N50" t="str">
            <v>CASTIGO</v>
          </cell>
        </row>
        <row r="51">
          <cell r="D51">
            <v>1783098</v>
          </cell>
          <cell r="E51" t="str">
            <v>Ariel Silva</v>
          </cell>
          <cell r="F51">
            <v>309</v>
          </cell>
          <cell r="H51">
            <v>5978132</v>
          </cell>
          <cell r="I51" t="e">
            <v>#N/A</v>
          </cell>
          <cell r="J51" t="str">
            <v>PHOENIX</v>
          </cell>
          <cell r="K51" t="str">
            <v>JUDICIAL</v>
          </cell>
          <cell r="L51" t="str">
            <v>0-365</v>
          </cell>
          <cell r="M51" t="str">
            <v>0-365</v>
          </cell>
          <cell r="N51" t="str">
            <v>CASTIGO</v>
          </cell>
        </row>
        <row r="52">
          <cell r="D52">
            <v>1791083</v>
          </cell>
          <cell r="E52" t="str">
            <v>Ariel Silva</v>
          </cell>
          <cell r="F52">
            <v>401</v>
          </cell>
          <cell r="H52">
            <v>7569433</v>
          </cell>
          <cell r="I52">
            <v>45667</v>
          </cell>
          <cell r="J52" t="str">
            <v>PHOENIX</v>
          </cell>
          <cell r="K52" t="str">
            <v>JUDICIAL</v>
          </cell>
          <cell r="L52" t="str">
            <v>366-730</v>
          </cell>
          <cell r="M52" t="str">
            <v>366-730</v>
          </cell>
          <cell r="N52" t="str">
            <v>CASTIGO</v>
          </cell>
        </row>
        <row r="53">
          <cell r="D53">
            <v>1793060</v>
          </cell>
          <cell r="F53">
            <v>61</v>
          </cell>
          <cell r="G53">
            <v>2</v>
          </cell>
          <cell r="H53">
            <v>1217202</v>
          </cell>
          <cell r="I53" t="e">
            <v>#N/A</v>
          </cell>
          <cell r="J53" t="str">
            <v>PHOENIX</v>
          </cell>
          <cell r="K53" t="str">
            <v>JUDICIAL</v>
          </cell>
          <cell r="L53" t="str">
            <v>91-120</v>
          </cell>
          <cell r="M53" t="str">
            <v>61-90</v>
          </cell>
          <cell r="N53" t="str">
            <v>VIGENTE</v>
          </cell>
        </row>
        <row r="54">
          <cell r="D54">
            <v>1797742</v>
          </cell>
          <cell r="E54" t="str">
            <v>Ariel Silva</v>
          </cell>
          <cell r="F54">
            <v>340</v>
          </cell>
          <cell r="H54">
            <v>6783925</v>
          </cell>
          <cell r="I54" t="e">
            <v>#N/A</v>
          </cell>
          <cell r="J54" t="str">
            <v>PHOENIX</v>
          </cell>
          <cell r="K54" t="str">
            <v>JUDICIAL</v>
          </cell>
          <cell r="L54" t="str">
            <v>0-365</v>
          </cell>
          <cell r="M54" t="str">
            <v>0-365</v>
          </cell>
          <cell r="N54" t="str">
            <v>CASTIGO</v>
          </cell>
        </row>
        <row r="55">
          <cell r="D55">
            <v>1809303</v>
          </cell>
          <cell r="F55">
            <v>170</v>
          </cell>
          <cell r="G55">
            <v>6</v>
          </cell>
          <cell r="H55">
            <v>2187323</v>
          </cell>
          <cell r="I55" t="e">
            <v>#N/A</v>
          </cell>
          <cell r="J55" t="str">
            <v>PHOENIX</v>
          </cell>
          <cell r="K55" t="str">
            <v>JUDICIAL</v>
          </cell>
          <cell r="L55" t="str">
            <v>151-180</v>
          </cell>
          <cell r="M55" t="str">
            <v>151-180</v>
          </cell>
          <cell r="N55" t="str">
            <v>VIGENTE</v>
          </cell>
        </row>
        <row r="56">
          <cell r="D56">
            <v>1809325</v>
          </cell>
          <cell r="F56">
            <v>3</v>
          </cell>
          <cell r="G56">
            <v>1</v>
          </cell>
          <cell r="H56">
            <v>501565</v>
          </cell>
          <cell r="I56" t="e">
            <v>#N/A</v>
          </cell>
          <cell r="J56" t="str">
            <v>PHOENIX</v>
          </cell>
          <cell r="K56" t="str">
            <v>JUDICIAL</v>
          </cell>
          <cell r="L56" t="str">
            <v>1-30</v>
          </cell>
          <cell r="M56" t="str">
            <v>1-30</v>
          </cell>
          <cell r="N56" t="str">
            <v>VIGENTE</v>
          </cell>
        </row>
        <row r="57">
          <cell r="D57">
            <v>1811663</v>
          </cell>
          <cell r="E57" t="str">
            <v>Ariel Silva</v>
          </cell>
          <cell r="F57">
            <v>248</v>
          </cell>
          <cell r="H57">
            <v>8662240</v>
          </cell>
          <cell r="I57">
            <v>45810</v>
          </cell>
          <cell r="J57" t="str">
            <v>PHOENIX</v>
          </cell>
          <cell r="K57" t="str">
            <v>JUDICIAL</v>
          </cell>
          <cell r="L57" t="str">
            <v>0-365</v>
          </cell>
          <cell r="M57" t="str">
            <v>0-365</v>
          </cell>
          <cell r="N57" t="str">
            <v>CASTIGO</v>
          </cell>
        </row>
        <row r="58">
          <cell r="D58">
            <v>1811675</v>
          </cell>
          <cell r="E58" t="str">
            <v>Ariel Silva</v>
          </cell>
          <cell r="F58">
            <v>279</v>
          </cell>
          <cell r="H58">
            <v>7827655</v>
          </cell>
          <cell r="I58" t="e">
            <v>#N/A</v>
          </cell>
          <cell r="J58" t="str">
            <v>PHOENIX</v>
          </cell>
          <cell r="K58" t="str">
            <v>JUDICIAL</v>
          </cell>
          <cell r="L58" t="str">
            <v>0-365</v>
          </cell>
          <cell r="M58" t="str">
            <v>0-365</v>
          </cell>
          <cell r="N58" t="str">
            <v>CASTIGO</v>
          </cell>
        </row>
        <row r="59">
          <cell r="D59">
            <v>1813320</v>
          </cell>
          <cell r="E59" t="str">
            <v>Ariel Silva</v>
          </cell>
          <cell r="F59">
            <v>64</v>
          </cell>
          <cell r="H59">
            <v>5190592</v>
          </cell>
          <cell r="I59" t="e">
            <v>#N/A</v>
          </cell>
          <cell r="J59" t="str">
            <v>PHOENIX</v>
          </cell>
          <cell r="K59" t="str">
            <v>JUDICIAL</v>
          </cell>
          <cell r="L59" t="str">
            <v>0-365</v>
          </cell>
          <cell r="M59" t="str">
            <v>0-365</v>
          </cell>
          <cell r="N59" t="str">
            <v>CASTIGO</v>
          </cell>
        </row>
        <row r="60">
          <cell r="D60">
            <v>1819340</v>
          </cell>
          <cell r="E60" t="str">
            <v>Ariel Silva</v>
          </cell>
          <cell r="F60">
            <v>187</v>
          </cell>
          <cell r="H60">
            <v>13794259</v>
          </cell>
          <cell r="I60" t="e">
            <v>#N/A</v>
          </cell>
          <cell r="J60" t="str">
            <v>PHOENIX</v>
          </cell>
          <cell r="K60" t="str">
            <v>JUDICIAL</v>
          </cell>
          <cell r="L60" t="str">
            <v>0-365</v>
          </cell>
          <cell r="M60" t="str">
            <v>0-365</v>
          </cell>
          <cell r="N60" t="str">
            <v>CASTIGO</v>
          </cell>
        </row>
        <row r="61">
          <cell r="D61">
            <v>1830966</v>
          </cell>
          <cell r="E61" t="str">
            <v>Ariel Silva</v>
          </cell>
          <cell r="F61">
            <v>126</v>
          </cell>
          <cell r="H61">
            <v>3845322</v>
          </cell>
          <cell r="I61" t="e">
            <v>#N/A</v>
          </cell>
          <cell r="J61" t="str">
            <v>PHOENIX</v>
          </cell>
          <cell r="K61" t="str">
            <v>JUDICIAL</v>
          </cell>
          <cell r="L61" t="str">
            <v>0-365</v>
          </cell>
          <cell r="M61" t="str">
            <v>0-365</v>
          </cell>
          <cell r="N61" t="str">
            <v>CASTIGO</v>
          </cell>
        </row>
        <row r="62">
          <cell r="D62">
            <v>1836390</v>
          </cell>
          <cell r="F62">
            <v>334</v>
          </cell>
          <cell r="G62">
            <v>1</v>
          </cell>
          <cell r="H62">
            <v>4823771</v>
          </cell>
          <cell r="I62" t="e">
            <v>#N/A</v>
          </cell>
          <cell r="J62" t="str">
            <v>PHOENIX</v>
          </cell>
          <cell r="K62" t="str">
            <v>JUDICIAL</v>
          </cell>
          <cell r="L62" t="str">
            <v>301-330</v>
          </cell>
          <cell r="M62" t="str">
            <v>331-360</v>
          </cell>
          <cell r="N62" t="str">
            <v>VIGENTE</v>
          </cell>
        </row>
        <row r="63">
          <cell r="D63">
            <v>1846277</v>
          </cell>
          <cell r="F63">
            <v>141</v>
          </cell>
          <cell r="G63">
            <v>5</v>
          </cell>
          <cell r="H63">
            <v>1448802</v>
          </cell>
          <cell r="I63">
            <v>46054</v>
          </cell>
          <cell r="J63" t="str">
            <v>PHOENIX</v>
          </cell>
          <cell r="K63" t="str">
            <v>JUDICIAL</v>
          </cell>
          <cell r="L63" t="str">
            <v>121-150</v>
          </cell>
          <cell r="M63" t="str">
            <v>121-150</v>
          </cell>
          <cell r="N63" t="str">
            <v>VIGENTE</v>
          </cell>
        </row>
        <row r="64">
          <cell r="D64">
            <v>1858227</v>
          </cell>
          <cell r="F64">
            <v>337</v>
          </cell>
          <cell r="G64">
            <v>1</v>
          </cell>
          <cell r="H64">
            <v>7146761</v>
          </cell>
          <cell r="I64" t="e">
            <v>#N/A</v>
          </cell>
          <cell r="J64" t="str">
            <v>PHOENIX</v>
          </cell>
          <cell r="K64" t="str">
            <v>JUDICIAL</v>
          </cell>
          <cell r="L64" t="str">
            <v>301-330</v>
          </cell>
          <cell r="M64" t="str">
            <v>331-360</v>
          </cell>
          <cell r="N64" t="str">
            <v>VIGENTE</v>
          </cell>
        </row>
        <row r="65">
          <cell r="D65">
            <v>1859110</v>
          </cell>
          <cell r="F65">
            <v>257</v>
          </cell>
          <cell r="G65">
            <v>9</v>
          </cell>
          <cell r="H65">
            <v>2147018</v>
          </cell>
          <cell r="I65" t="e">
            <v>#N/A</v>
          </cell>
          <cell r="J65" t="str">
            <v>PHOENIX</v>
          </cell>
          <cell r="K65" t="str">
            <v>JUDICIAL</v>
          </cell>
          <cell r="L65" t="str">
            <v>241-270</v>
          </cell>
          <cell r="M65" t="str">
            <v>241-270</v>
          </cell>
          <cell r="N65" t="str">
            <v>VIGENTE</v>
          </cell>
        </row>
        <row r="66">
          <cell r="D66">
            <v>1859462</v>
          </cell>
          <cell r="E66" t="str">
            <v>Ariel Silva</v>
          </cell>
          <cell r="F66">
            <v>309</v>
          </cell>
          <cell r="H66">
            <v>5987860</v>
          </cell>
          <cell r="I66" t="e">
            <v>#N/A</v>
          </cell>
          <cell r="J66" t="str">
            <v>PHOENIX</v>
          </cell>
          <cell r="K66" t="str">
            <v>JUDICIAL</v>
          </cell>
          <cell r="L66" t="str">
            <v>0-365</v>
          </cell>
          <cell r="M66" t="str">
            <v>0-365</v>
          </cell>
          <cell r="N66" t="str">
            <v>CASTIGO</v>
          </cell>
        </row>
        <row r="67">
          <cell r="D67">
            <v>1864263</v>
          </cell>
          <cell r="F67">
            <v>215</v>
          </cell>
          <cell r="G67">
            <v>8</v>
          </cell>
          <cell r="H67">
            <v>4148304</v>
          </cell>
          <cell r="I67" t="e">
            <v>#N/A</v>
          </cell>
          <cell r="J67" t="str">
            <v>PHOENIX</v>
          </cell>
          <cell r="K67" t="str">
            <v>JUDICIAL</v>
          </cell>
          <cell r="L67" t="str">
            <v>181-210</v>
          </cell>
          <cell r="M67" t="str">
            <v>211-240</v>
          </cell>
          <cell r="N67" t="str">
            <v>VIGENTE</v>
          </cell>
        </row>
        <row r="68">
          <cell r="D68">
            <v>1865019</v>
          </cell>
          <cell r="E68" t="str">
            <v>Ariel Silva</v>
          </cell>
          <cell r="F68">
            <v>187</v>
          </cell>
          <cell r="H68">
            <v>6723725</v>
          </cell>
          <cell r="I68">
            <v>45971</v>
          </cell>
          <cell r="J68" t="str">
            <v>PHOENIX</v>
          </cell>
          <cell r="K68" t="str">
            <v>JUDICIAL</v>
          </cell>
          <cell r="L68" t="str">
            <v>0-365</v>
          </cell>
          <cell r="M68" t="str">
            <v>0-365</v>
          </cell>
          <cell r="N68" t="str">
            <v>CASTIGO</v>
          </cell>
        </row>
        <row r="69">
          <cell r="D69">
            <v>1866942</v>
          </cell>
          <cell r="F69">
            <v>154</v>
          </cell>
          <cell r="G69">
            <v>6</v>
          </cell>
          <cell r="H69">
            <v>4444934</v>
          </cell>
          <cell r="I69" t="e">
            <v>#N/A</v>
          </cell>
          <cell r="J69" t="str">
            <v>PHOENIX</v>
          </cell>
          <cell r="K69" t="str">
            <v>JUDICIAL</v>
          </cell>
          <cell r="L69" t="str">
            <v>121-150</v>
          </cell>
          <cell r="M69" t="str">
            <v>151-180</v>
          </cell>
          <cell r="N69" t="str">
            <v>VIGENTE</v>
          </cell>
        </row>
        <row r="70">
          <cell r="D70">
            <v>1867567</v>
          </cell>
          <cell r="F70">
            <v>307</v>
          </cell>
          <cell r="G70">
            <v>1</v>
          </cell>
          <cell r="H70">
            <v>4685635</v>
          </cell>
          <cell r="I70" t="e">
            <v>#N/A</v>
          </cell>
          <cell r="J70" t="str">
            <v>PHOENIX</v>
          </cell>
          <cell r="K70" t="str">
            <v>JUDICIAL</v>
          </cell>
          <cell r="L70" t="str">
            <v>271-300</v>
          </cell>
          <cell r="M70" t="str">
            <v>301-330</v>
          </cell>
          <cell r="N70" t="str">
            <v>VIGENTE</v>
          </cell>
        </row>
        <row r="71">
          <cell r="D71">
            <v>1867963</v>
          </cell>
          <cell r="E71" t="str">
            <v>Ariel Silva</v>
          </cell>
          <cell r="F71">
            <v>248</v>
          </cell>
          <cell r="H71">
            <v>15022221</v>
          </cell>
          <cell r="I71" t="e">
            <v>#N/A</v>
          </cell>
          <cell r="J71" t="str">
            <v>PHOENIX</v>
          </cell>
          <cell r="K71" t="str">
            <v>JUDICIAL</v>
          </cell>
          <cell r="L71" t="str">
            <v>0-365</v>
          </cell>
          <cell r="M71" t="str">
            <v>0-365</v>
          </cell>
          <cell r="N71" t="str">
            <v>CASTIGO</v>
          </cell>
        </row>
        <row r="72">
          <cell r="D72">
            <v>1873778</v>
          </cell>
          <cell r="F72">
            <v>307</v>
          </cell>
          <cell r="G72">
            <v>11</v>
          </cell>
          <cell r="H72">
            <v>3028609</v>
          </cell>
          <cell r="I72" t="e">
            <v>#N/A</v>
          </cell>
          <cell r="J72" t="str">
            <v>PHOENIX</v>
          </cell>
          <cell r="K72" t="str">
            <v>JUDICIAL</v>
          </cell>
          <cell r="L72" t="str">
            <v>271-300</v>
          </cell>
          <cell r="M72" t="str">
            <v>301-330</v>
          </cell>
          <cell r="N72" t="str">
            <v>VIGENTE</v>
          </cell>
        </row>
        <row r="73">
          <cell r="D73">
            <v>1874171</v>
          </cell>
          <cell r="F73">
            <v>338</v>
          </cell>
          <cell r="G73">
            <v>1</v>
          </cell>
          <cell r="H73">
            <v>4865566</v>
          </cell>
          <cell r="I73" t="e">
            <v>#N/A</v>
          </cell>
          <cell r="J73" t="str">
            <v>PHOENIX</v>
          </cell>
          <cell r="K73" t="str">
            <v>JUDICIAL</v>
          </cell>
          <cell r="L73" t="str">
            <v>301-330</v>
          </cell>
          <cell r="M73" t="str">
            <v>331-360</v>
          </cell>
          <cell r="N73" t="str">
            <v>VIGENTE</v>
          </cell>
        </row>
        <row r="74">
          <cell r="D74">
            <v>1882519</v>
          </cell>
          <cell r="E74" t="str">
            <v>Ariel Silva</v>
          </cell>
          <cell r="F74">
            <v>95</v>
          </cell>
          <cell r="H74">
            <v>5542324</v>
          </cell>
          <cell r="I74" t="e">
            <v>#N/A</v>
          </cell>
          <cell r="J74" t="str">
            <v>PHOENIX</v>
          </cell>
          <cell r="K74" t="str">
            <v>JUDICIAL</v>
          </cell>
          <cell r="L74" t="str">
            <v>0-365</v>
          </cell>
          <cell r="M74" t="str">
            <v>0-365</v>
          </cell>
          <cell r="N74" t="str">
            <v>CASTIGO</v>
          </cell>
        </row>
        <row r="75">
          <cell r="D75">
            <v>1891178</v>
          </cell>
          <cell r="E75" t="str">
            <v>Ariel Silva</v>
          </cell>
          <cell r="F75">
            <v>156</v>
          </cell>
          <cell r="H75">
            <v>6382600</v>
          </cell>
          <cell r="I75" t="e">
            <v>#N/A</v>
          </cell>
          <cell r="J75" t="str">
            <v>PHOENIX</v>
          </cell>
          <cell r="K75" t="str">
            <v>JUDICIAL</v>
          </cell>
          <cell r="L75" t="str">
            <v>0-365</v>
          </cell>
          <cell r="M75" t="str">
            <v>0-365</v>
          </cell>
          <cell r="N75" t="str">
            <v>CASTIGO</v>
          </cell>
        </row>
        <row r="76">
          <cell r="D76">
            <v>1894515</v>
          </cell>
          <cell r="F76">
            <v>277</v>
          </cell>
          <cell r="G76">
            <v>10</v>
          </cell>
          <cell r="H76">
            <v>3097382</v>
          </cell>
          <cell r="I76" t="e">
            <v>#N/A</v>
          </cell>
          <cell r="J76" t="str">
            <v>PHOENIX</v>
          </cell>
          <cell r="K76" t="str">
            <v>JUDICIAL</v>
          </cell>
          <cell r="L76" t="str">
            <v>241-270</v>
          </cell>
          <cell r="M76" t="str">
            <v>271-300</v>
          </cell>
          <cell r="N76" t="str">
            <v>VIGENTE</v>
          </cell>
        </row>
        <row r="77">
          <cell r="D77">
            <v>1895109</v>
          </cell>
          <cell r="E77" t="str">
            <v>Ariel Silva</v>
          </cell>
          <cell r="F77">
            <v>248</v>
          </cell>
          <cell r="H77">
            <v>9670566</v>
          </cell>
          <cell r="I77" t="e">
            <v>#N/A</v>
          </cell>
          <cell r="J77" t="str">
            <v>PHOENIX</v>
          </cell>
          <cell r="K77" t="str">
            <v>JUDICIAL</v>
          </cell>
          <cell r="L77" t="str">
            <v>0-365</v>
          </cell>
          <cell r="M77" t="str">
            <v>0-365</v>
          </cell>
          <cell r="N77" t="str">
            <v>CASTIGO</v>
          </cell>
        </row>
        <row r="78">
          <cell r="D78">
            <v>1899059</v>
          </cell>
          <cell r="F78">
            <v>93</v>
          </cell>
          <cell r="G78">
            <v>4</v>
          </cell>
          <cell r="H78">
            <v>4249568</v>
          </cell>
          <cell r="I78" t="e">
            <v>#N/A</v>
          </cell>
          <cell r="J78" t="str">
            <v>PHOENIX</v>
          </cell>
          <cell r="K78" t="str">
            <v>JUDICIAL</v>
          </cell>
          <cell r="L78" t="str">
            <v>61-90</v>
          </cell>
          <cell r="M78" t="str">
            <v>91-120</v>
          </cell>
          <cell r="N78" t="str">
            <v>VIGENTE</v>
          </cell>
        </row>
        <row r="79">
          <cell r="D79">
            <v>1902230</v>
          </cell>
          <cell r="F79">
            <v>47</v>
          </cell>
          <cell r="G79">
            <v>2</v>
          </cell>
          <cell r="H79">
            <v>820695</v>
          </cell>
          <cell r="I79" t="e">
            <v>#N/A</v>
          </cell>
          <cell r="J79" t="str">
            <v>PHOENIX</v>
          </cell>
          <cell r="K79" t="str">
            <v>JUDICIAL</v>
          </cell>
          <cell r="L79" t="str">
            <v>31-60</v>
          </cell>
          <cell r="M79" t="str">
            <v>31-60</v>
          </cell>
          <cell r="N79" t="str">
            <v>VIGENTE</v>
          </cell>
        </row>
        <row r="80">
          <cell r="D80">
            <v>1906037</v>
          </cell>
          <cell r="E80" t="str">
            <v>Ariel Silva</v>
          </cell>
          <cell r="F80">
            <v>309</v>
          </cell>
          <cell r="H80">
            <v>11820205</v>
          </cell>
          <cell r="I80" t="e">
            <v>#N/A</v>
          </cell>
          <cell r="J80" t="str">
            <v>PHOENIX</v>
          </cell>
          <cell r="K80" t="str">
            <v>JUDICIAL</v>
          </cell>
          <cell r="L80" t="str">
            <v>0-365</v>
          </cell>
          <cell r="M80" t="str">
            <v>0-365</v>
          </cell>
          <cell r="N80" t="str">
            <v>CASTIGO</v>
          </cell>
        </row>
        <row r="81">
          <cell r="D81">
            <v>1909441</v>
          </cell>
          <cell r="F81">
            <v>124</v>
          </cell>
          <cell r="G81">
            <v>5</v>
          </cell>
          <cell r="H81">
            <v>2163787</v>
          </cell>
          <cell r="I81" t="e">
            <v>#N/A</v>
          </cell>
          <cell r="J81" t="str">
            <v>PHOENIX</v>
          </cell>
          <cell r="K81" t="str">
            <v>JUDICIAL</v>
          </cell>
          <cell r="L81" t="str">
            <v>91-120</v>
          </cell>
          <cell r="M81" t="str">
            <v>121-150</v>
          </cell>
          <cell r="N81" t="str">
            <v>VIGENTE</v>
          </cell>
        </row>
        <row r="82">
          <cell r="D82">
            <v>1910675</v>
          </cell>
          <cell r="F82">
            <v>57</v>
          </cell>
          <cell r="G82">
            <v>2</v>
          </cell>
          <cell r="H82">
            <v>1699527</v>
          </cell>
          <cell r="I82" t="e">
            <v>#N/A</v>
          </cell>
          <cell r="J82" t="str">
            <v>PHOENIX</v>
          </cell>
          <cell r="K82" t="str">
            <v>JUDICIAL</v>
          </cell>
          <cell r="L82" t="str">
            <v>31-60</v>
          </cell>
          <cell r="M82" t="str">
            <v>31-60</v>
          </cell>
          <cell r="N82" t="str">
            <v>VIGENTE</v>
          </cell>
        </row>
        <row r="83">
          <cell r="D83">
            <v>1914398</v>
          </cell>
          <cell r="E83" t="str">
            <v>Ariel Silva</v>
          </cell>
          <cell r="F83">
            <v>64</v>
          </cell>
          <cell r="H83">
            <v>7257716</v>
          </cell>
          <cell r="I83" t="e">
            <v>#N/A</v>
          </cell>
          <cell r="J83" t="str">
            <v>PHOENIX</v>
          </cell>
          <cell r="K83" t="str">
            <v>JUDICIAL</v>
          </cell>
          <cell r="L83" t="str">
            <v>0-365</v>
          </cell>
          <cell r="M83" t="str">
            <v>0-365</v>
          </cell>
          <cell r="N83" t="str">
            <v>CASTIGO</v>
          </cell>
        </row>
        <row r="84">
          <cell r="D84">
            <v>1914502</v>
          </cell>
          <cell r="F84">
            <v>83</v>
          </cell>
          <cell r="G84">
            <v>3</v>
          </cell>
          <cell r="H84">
            <v>4780502</v>
          </cell>
          <cell r="I84" t="e">
            <v>#N/A</v>
          </cell>
          <cell r="J84" t="str">
            <v>PHOENIX</v>
          </cell>
          <cell r="K84" t="str">
            <v>JUDICIAL</v>
          </cell>
          <cell r="L84" t="str">
            <v>121-150</v>
          </cell>
          <cell r="M84" t="str">
            <v>61-90</v>
          </cell>
          <cell r="N84" t="str">
            <v>VIGENTE</v>
          </cell>
        </row>
        <row r="85">
          <cell r="D85">
            <v>1922220</v>
          </cell>
          <cell r="F85">
            <v>277</v>
          </cell>
          <cell r="G85">
            <v>1</v>
          </cell>
          <cell r="H85">
            <v>4757215</v>
          </cell>
          <cell r="I85" t="e">
            <v>#N/A</v>
          </cell>
          <cell r="J85" t="str">
            <v>PHOENIX</v>
          </cell>
          <cell r="K85" t="str">
            <v>JUDICIAL</v>
          </cell>
          <cell r="L85" t="str">
            <v>241-270</v>
          </cell>
          <cell r="M85" t="str">
            <v>271-300</v>
          </cell>
          <cell r="N85" t="str">
            <v>VIGENTE</v>
          </cell>
        </row>
        <row r="86">
          <cell r="D86">
            <v>1923591</v>
          </cell>
          <cell r="E86" t="str">
            <v>Ariel Silva</v>
          </cell>
          <cell r="F86">
            <v>248</v>
          </cell>
          <cell r="H86">
            <v>11082144</v>
          </cell>
          <cell r="I86" t="e">
            <v>#N/A</v>
          </cell>
          <cell r="J86" t="str">
            <v>PHOENIX</v>
          </cell>
          <cell r="K86" t="str">
            <v>JUDICIAL</v>
          </cell>
          <cell r="L86" t="str">
            <v>0-365</v>
          </cell>
          <cell r="M86" t="str">
            <v>0-365</v>
          </cell>
          <cell r="N86" t="str">
            <v>CASTIGO</v>
          </cell>
        </row>
        <row r="87">
          <cell r="D87">
            <v>1966918</v>
          </cell>
          <cell r="F87">
            <v>333</v>
          </cell>
          <cell r="G87">
            <v>11</v>
          </cell>
          <cell r="H87">
            <v>5463159</v>
          </cell>
          <cell r="I87" t="e">
            <v>#N/A</v>
          </cell>
          <cell r="J87" t="str">
            <v>PHOENIX</v>
          </cell>
          <cell r="K87" t="str">
            <v>JUDICIAL</v>
          </cell>
          <cell r="L87" t="str">
            <v>301-330</v>
          </cell>
          <cell r="M87" t="str">
            <v>331-360</v>
          </cell>
          <cell r="N87" t="str">
            <v>VIGENTE</v>
          </cell>
        </row>
        <row r="88">
          <cell r="D88">
            <v>1983306</v>
          </cell>
          <cell r="E88" t="str">
            <v>Ariel Silva</v>
          </cell>
          <cell r="F88">
            <v>248</v>
          </cell>
          <cell r="H88">
            <v>11020924</v>
          </cell>
          <cell r="I88" t="e">
            <v>#N/A</v>
          </cell>
          <cell r="J88" t="str">
            <v>PHOENIX</v>
          </cell>
          <cell r="K88" t="str">
            <v>JUDICIAL</v>
          </cell>
          <cell r="L88" t="str">
            <v>0-365</v>
          </cell>
          <cell r="M88" t="str">
            <v>0-365</v>
          </cell>
          <cell r="N88" t="str">
            <v>CASTIGO</v>
          </cell>
        </row>
        <row r="89">
          <cell r="D89">
            <v>1987363</v>
          </cell>
          <cell r="F89">
            <v>145</v>
          </cell>
          <cell r="G89">
            <v>5</v>
          </cell>
          <cell r="H89">
            <v>6705793</v>
          </cell>
          <cell r="I89" t="e">
            <v>#N/A</v>
          </cell>
          <cell r="J89" t="str">
            <v>PHOENIX</v>
          </cell>
          <cell r="K89" t="str">
            <v>JUDICIAL</v>
          </cell>
          <cell r="L89" t="str">
            <v>121-150</v>
          </cell>
          <cell r="M89" t="str">
            <v>121-150</v>
          </cell>
          <cell r="N89" t="str">
            <v>VIGENTE</v>
          </cell>
        </row>
        <row r="90">
          <cell r="D90">
            <v>1987553</v>
          </cell>
          <cell r="E90" t="str">
            <v>Ariel Silva</v>
          </cell>
          <cell r="F90">
            <v>279</v>
          </cell>
          <cell r="H90">
            <v>10554087</v>
          </cell>
          <cell r="I90" t="e">
            <v>#N/A</v>
          </cell>
          <cell r="J90" t="str">
            <v>PHOENIX</v>
          </cell>
          <cell r="K90" t="str">
            <v>JUDICIAL</v>
          </cell>
          <cell r="L90" t="str">
            <v>0-365</v>
          </cell>
          <cell r="M90" t="str">
            <v>0-365</v>
          </cell>
          <cell r="N90" t="str">
            <v>CASTIGO</v>
          </cell>
        </row>
        <row r="91">
          <cell r="D91">
            <v>1993999</v>
          </cell>
          <cell r="E91" t="str">
            <v>Ariel Silva</v>
          </cell>
          <cell r="F91">
            <v>370</v>
          </cell>
          <cell r="H91">
            <v>6480797</v>
          </cell>
          <cell r="I91" t="e">
            <v>#N/A</v>
          </cell>
          <cell r="J91" t="str">
            <v>PHOENIX</v>
          </cell>
          <cell r="K91" t="str">
            <v>JUDICIAL</v>
          </cell>
          <cell r="L91" t="str">
            <v>366-730</v>
          </cell>
          <cell r="M91" t="str">
            <v>366-730</v>
          </cell>
          <cell r="N91" t="str">
            <v>CASTIGO</v>
          </cell>
        </row>
        <row r="92">
          <cell r="D92">
            <v>1996495</v>
          </cell>
          <cell r="E92" t="str">
            <v>Ariel Silva</v>
          </cell>
          <cell r="F92">
            <v>309</v>
          </cell>
          <cell r="H92">
            <v>16285403</v>
          </cell>
          <cell r="I92" t="e">
            <v>#N/A</v>
          </cell>
          <cell r="J92" t="str">
            <v>PHOENIX</v>
          </cell>
          <cell r="K92" t="str">
            <v>JUDICIAL</v>
          </cell>
          <cell r="L92" t="str">
            <v>0-365</v>
          </cell>
          <cell r="M92" t="str">
            <v>0-365</v>
          </cell>
          <cell r="N92" t="str">
            <v>CASTIGO</v>
          </cell>
        </row>
        <row r="93">
          <cell r="D93">
            <v>1999968</v>
          </cell>
          <cell r="E93" t="str">
            <v>Ariel Silva</v>
          </cell>
          <cell r="F93">
            <v>279</v>
          </cell>
          <cell r="H93">
            <v>10385444</v>
          </cell>
          <cell r="I93" t="e">
            <v>#N/A</v>
          </cell>
          <cell r="J93" t="str">
            <v>PHOENIX</v>
          </cell>
          <cell r="K93" t="str">
            <v>JUDICIAL</v>
          </cell>
          <cell r="L93" t="str">
            <v>0-365</v>
          </cell>
          <cell r="M93" t="str">
            <v>0-365</v>
          </cell>
          <cell r="N93" t="str">
            <v>CASTIGO</v>
          </cell>
        </row>
        <row r="94">
          <cell r="D94">
            <v>2001950</v>
          </cell>
          <cell r="F94">
            <v>277</v>
          </cell>
          <cell r="G94">
            <v>2</v>
          </cell>
          <cell r="H94">
            <v>4450281</v>
          </cell>
          <cell r="I94" t="e">
            <v>#N/A</v>
          </cell>
          <cell r="J94" t="str">
            <v>PHOENIX</v>
          </cell>
          <cell r="K94" t="str">
            <v>JUDICIAL</v>
          </cell>
          <cell r="L94" t="str">
            <v>241-270</v>
          </cell>
          <cell r="M94" t="str">
            <v>271-300</v>
          </cell>
          <cell r="N94" t="str">
            <v>VIGENTE</v>
          </cell>
        </row>
        <row r="95">
          <cell r="D95">
            <v>2003648</v>
          </cell>
          <cell r="E95" t="str">
            <v>Ariel Silva</v>
          </cell>
          <cell r="F95">
            <v>340</v>
          </cell>
          <cell r="H95">
            <v>8935639</v>
          </cell>
          <cell r="I95" t="e">
            <v>#N/A</v>
          </cell>
          <cell r="J95" t="str">
            <v>PHOENIX</v>
          </cell>
          <cell r="K95" t="str">
            <v>JUDICIAL</v>
          </cell>
          <cell r="L95" t="str">
            <v>0-365</v>
          </cell>
          <cell r="M95" t="str">
            <v>0-365</v>
          </cell>
          <cell r="N95" t="str">
            <v>CASTIGO</v>
          </cell>
        </row>
        <row r="96">
          <cell r="D96">
            <v>2003692</v>
          </cell>
          <cell r="F96">
            <v>76</v>
          </cell>
          <cell r="G96">
            <v>3</v>
          </cell>
          <cell r="H96">
            <v>2205064</v>
          </cell>
          <cell r="I96" t="e">
            <v>#N/A</v>
          </cell>
          <cell r="J96" t="str">
            <v>PHOENIX</v>
          </cell>
          <cell r="K96" t="str">
            <v>JUDICIAL</v>
          </cell>
          <cell r="L96" t="str">
            <v>61-90</v>
          </cell>
          <cell r="M96" t="str">
            <v>61-90</v>
          </cell>
          <cell r="N96" t="str">
            <v>VIGENTE</v>
          </cell>
        </row>
        <row r="97">
          <cell r="D97">
            <v>2005901</v>
          </cell>
          <cell r="E97" t="str">
            <v>Ariel Silva</v>
          </cell>
          <cell r="F97">
            <v>248</v>
          </cell>
          <cell r="H97">
            <v>7052588</v>
          </cell>
          <cell r="I97" t="e">
            <v>#N/A</v>
          </cell>
          <cell r="J97" t="str">
            <v>PHOENIX</v>
          </cell>
          <cell r="K97" t="str">
            <v>JUDICIAL</v>
          </cell>
          <cell r="L97" t="str">
            <v>0-365</v>
          </cell>
          <cell r="M97" t="str">
            <v>0-365</v>
          </cell>
          <cell r="N97" t="str">
            <v>CASTIGO</v>
          </cell>
        </row>
        <row r="98">
          <cell r="D98">
            <v>2006271</v>
          </cell>
          <cell r="F98">
            <v>246</v>
          </cell>
          <cell r="G98">
            <v>2</v>
          </cell>
          <cell r="H98">
            <v>3844093</v>
          </cell>
          <cell r="I98" t="e">
            <v>#N/A</v>
          </cell>
          <cell r="J98" t="str">
            <v>PHOENIX</v>
          </cell>
          <cell r="K98" t="str">
            <v>JUDICIAL</v>
          </cell>
          <cell r="L98" t="str">
            <v>211-240</v>
          </cell>
          <cell r="M98" t="str">
            <v>241-270</v>
          </cell>
          <cell r="N98" t="str">
            <v>VIGENTE</v>
          </cell>
        </row>
        <row r="99">
          <cell r="D99">
            <v>2009389</v>
          </cell>
          <cell r="F99">
            <v>257</v>
          </cell>
          <cell r="G99">
            <v>9</v>
          </cell>
          <cell r="H99">
            <v>3297017</v>
          </cell>
          <cell r="I99" t="e">
            <v>#N/A</v>
          </cell>
          <cell r="J99" t="str">
            <v>PHOENIX</v>
          </cell>
          <cell r="K99" t="str">
            <v>JUDICIAL</v>
          </cell>
          <cell r="L99" t="str">
            <v>241-270</v>
          </cell>
          <cell r="M99" t="str">
            <v>241-270</v>
          </cell>
          <cell r="N99" t="str">
            <v>VIGENTE</v>
          </cell>
        </row>
        <row r="100">
          <cell r="D100">
            <v>2013176</v>
          </cell>
          <cell r="F100">
            <v>307</v>
          </cell>
          <cell r="G100">
            <v>11</v>
          </cell>
          <cell r="H100">
            <v>6903906</v>
          </cell>
          <cell r="I100" t="e">
            <v>#N/A</v>
          </cell>
          <cell r="J100" t="str">
            <v>PHOENIX</v>
          </cell>
          <cell r="K100" t="str">
            <v>JUDICIAL</v>
          </cell>
          <cell r="L100" t="str">
            <v>271-300</v>
          </cell>
          <cell r="M100" t="str">
            <v>301-330</v>
          </cell>
          <cell r="N100" t="str">
            <v>VIGENTE</v>
          </cell>
        </row>
        <row r="101">
          <cell r="D101">
            <v>2017552</v>
          </cell>
          <cell r="F101">
            <v>3</v>
          </cell>
          <cell r="G101">
            <v>1</v>
          </cell>
          <cell r="H101">
            <v>8474002</v>
          </cell>
          <cell r="I101" t="e">
            <v>#N/A</v>
          </cell>
          <cell r="J101" t="str">
            <v>PHOENIX</v>
          </cell>
          <cell r="K101" t="str">
            <v>JUDICIAL</v>
          </cell>
          <cell r="L101" t="str">
            <v>1-30</v>
          </cell>
          <cell r="M101" t="str">
            <v>1-30</v>
          </cell>
          <cell r="N101" t="str">
            <v>VIGENTE</v>
          </cell>
        </row>
        <row r="102">
          <cell r="D102">
            <v>2022795</v>
          </cell>
          <cell r="F102">
            <v>246</v>
          </cell>
          <cell r="G102">
            <v>3</v>
          </cell>
          <cell r="H102">
            <v>6974117</v>
          </cell>
          <cell r="I102" t="e">
            <v>#N/A</v>
          </cell>
          <cell r="J102" t="str">
            <v>PHOENIX</v>
          </cell>
          <cell r="K102" t="str">
            <v>JUDICIAL</v>
          </cell>
          <cell r="L102" t="str">
            <v>211-240</v>
          </cell>
          <cell r="M102" t="str">
            <v>241-270</v>
          </cell>
          <cell r="N102" t="str">
            <v>VIGENTE</v>
          </cell>
        </row>
        <row r="103">
          <cell r="D103">
            <v>2031096</v>
          </cell>
          <cell r="E103" t="str">
            <v>Ariel Silva</v>
          </cell>
          <cell r="F103">
            <v>95</v>
          </cell>
          <cell r="H103">
            <v>7340602</v>
          </cell>
          <cell r="I103" t="e">
            <v>#N/A</v>
          </cell>
          <cell r="J103" t="str">
            <v>PHOENIX</v>
          </cell>
          <cell r="K103" t="str">
            <v>JUDICIAL</v>
          </cell>
          <cell r="L103" t="str">
            <v>0-365</v>
          </cell>
          <cell r="M103" t="str">
            <v>0-365</v>
          </cell>
          <cell r="N103" t="str">
            <v>CASTIGO</v>
          </cell>
        </row>
        <row r="104">
          <cell r="D104">
            <v>2031687</v>
          </cell>
          <cell r="F104">
            <v>68</v>
          </cell>
          <cell r="G104">
            <v>3</v>
          </cell>
          <cell r="H104">
            <v>5157861</v>
          </cell>
          <cell r="I104" t="e">
            <v>#N/A</v>
          </cell>
          <cell r="J104" t="str">
            <v>PHOENIX</v>
          </cell>
          <cell r="K104" t="str">
            <v>JUDICIAL</v>
          </cell>
          <cell r="L104" t="str">
            <v>31-60</v>
          </cell>
          <cell r="M104" t="str">
            <v>61-90</v>
          </cell>
          <cell r="N104" t="str">
            <v>VIGENTE</v>
          </cell>
        </row>
        <row r="105">
          <cell r="D105">
            <v>2041907</v>
          </cell>
          <cell r="E105" t="str">
            <v>Ariel Silva</v>
          </cell>
          <cell r="F105">
            <v>309</v>
          </cell>
          <cell r="H105">
            <v>8500246</v>
          </cell>
          <cell r="I105" t="e">
            <v>#N/A</v>
          </cell>
          <cell r="J105" t="str">
            <v>PHOENIX</v>
          </cell>
          <cell r="K105" t="str">
            <v>JUDICIAL</v>
          </cell>
          <cell r="L105" t="str">
            <v>0-365</v>
          </cell>
          <cell r="M105" t="str">
            <v>0-365</v>
          </cell>
          <cell r="N105" t="str">
            <v>CASTIGO</v>
          </cell>
        </row>
        <row r="106">
          <cell r="D106">
            <v>2056023</v>
          </cell>
          <cell r="F106">
            <v>0</v>
          </cell>
          <cell r="H106">
            <v>11225551</v>
          </cell>
          <cell r="I106">
            <v>46052</v>
          </cell>
          <cell r="J106" t="str">
            <v>PHOENIX</v>
          </cell>
          <cell r="K106" t="str">
            <v>JUDICIAL</v>
          </cell>
          <cell r="L106" t="str">
            <v>331-360</v>
          </cell>
          <cell r="M106" t="str">
            <v>361-390</v>
          </cell>
          <cell r="N106" t="str">
            <v>VIGENTE</v>
          </cell>
        </row>
        <row r="107">
          <cell r="D107">
            <v>2061192</v>
          </cell>
          <cell r="F107">
            <v>311</v>
          </cell>
          <cell r="G107">
            <v>5</v>
          </cell>
          <cell r="H107">
            <v>6053782</v>
          </cell>
          <cell r="I107" t="e">
            <v>#N/A</v>
          </cell>
          <cell r="J107" t="str">
            <v>PHOENIX</v>
          </cell>
          <cell r="K107" t="str">
            <v>JUDICIAL</v>
          </cell>
          <cell r="L107" t="str">
            <v>301-330</v>
          </cell>
          <cell r="M107" t="str">
            <v>301-330</v>
          </cell>
          <cell r="N107" t="str">
            <v>VIGENTE</v>
          </cell>
        </row>
        <row r="108">
          <cell r="D108">
            <v>2066274</v>
          </cell>
          <cell r="F108">
            <v>277</v>
          </cell>
          <cell r="G108">
            <v>3</v>
          </cell>
          <cell r="H108">
            <v>5912265</v>
          </cell>
          <cell r="I108" t="e">
            <v>#N/A</v>
          </cell>
          <cell r="J108" t="str">
            <v>PHOENIX</v>
          </cell>
          <cell r="K108" t="str">
            <v>JUDICIAL</v>
          </cell>
          <cell r="L108" t="str">
            <v>241-270</v>
          </cell>
          <cell r="M108" t="str">
            <v>271-300</v>
          </cell>
          <cell r="N108" t="str">
            <v>VIGENTE</v>
          </cell>
        </row>
        <row r="109">
          <cell r="D109">
            <v>2068217</v>
          </cell>
          <cell r="E109" t="str">
            <v>Ariel Silva</v>
          </cell>
          <cell r="F109">
            <v>64</v>
          </cell>
          <cell r="H109">
            <v>10163324</v>
          </cell>
          <cell r="I109" t="e">
            <v>#N/A</v>
          </cell>
          <cell r="J109" t="str">
            <v>PHOENIX</v>
          </cell>
          <cell r="K109" t="str">
            <v>JUDICIAL</v>
          </cell>
          <cell r="L109" t="str">
            <v>0-365</v>
          </cell>
          <cell r="M109" t="str">
            <v>0-365</v>
          </cell>
          <cell r="N109" t="str">
            <v>CASTIGO</v>
          </cell>
        </row>
        <row r="110">
          <cell r="D110">
            <v>2098963</v>
          </cell>
          <cell r="F110">
            <v>62</v>
          </cell>
          <cell r="G110">
            <v>3</v>
          </cell>
          <cell r="H110">
            <v>1813445</v>
          </cell>
          <cell r="I110" t="e">
            <v>#N/A</v>
          </cell>
          <cell r="J110" t="str">
            <v>PHOENIX</v>
          </cell>
          <cell r="K110" t="str">
            <v>JUDICIAL</v>
          </cell>
          <cell r="L110" t="str">
            <v>31-60</v>
          </cell>
          <cell r="M110" t="str">
            <v>61-90</v>
          </cell>
          <cell r="N110" t="str">
            <v>VIGENTE</v>
          </cell>
        </row>
        <row r="111">
          <cell r="D111">
            <v>2112138</v>
          </cell>
          <cell r="E111" t="str">
            <v>Ariel Silva</v>
          </cell>
          <cell r="F111">
            <v>279</v>
          </cell>
          <cell r="H111">
            <v>7782305</v>
          </cell>
          <cell r="I111" t="e">
            <v>#N/A</v>
          </cell>
          <cell r="J111" t="str">
            <v>PHOENIX</v>
          </cell>
          <cell r="K111" t="str">
            <v>JUDICIAL</v>
          </cell>
          <cell r="L111" t="str">
            <v>0-365</v>
          </cell>
          <cell r="M111" t="str">
            <v>0-365</v>
          </cell>
          <cell r="N111" t="str">
            <v>CASTIGO</v>
          </cell>
        </row>
        <row r="112">
          <cell r="D112">
            <v>2115135</v>
          </cell>
          <cell r="F112">
            <v>97</v>
          </cell>
          <cell r="G112">
            <v>4</v>
          </cell>
          <cell r="H112">
            <v>4967996</v>
          </cell>
          <cell r="I112" t="e">
            <v>#N/A</v>
          </cell>
          <cell r="J112" t="str">
            <v>PHOENIX</v>
          </cell>
          <cell r="K112" t="str">
            <v>JUDICIAL</v>
          </cell>
          <cell r="L112" t="str">
            <v>61-90</v>
          </cell>
          <cell r="M112" t="str">
            <v>91-120</v>
          </cell>
          <cell r="N112" t="str">
            <v>VIGENTE</v>
          </cell>
        </row>
        <row r="113">
          <cell r="D113">
            <v>2115261</v>
          </cell>
          <cell r="F113">
            <v>279</v>
          </cell>
          <cell r="G113">
            <v>10</v>
          </cell>
          <cell r="H113">
            <v>4913764</v>
          </cell>
          <cell r="I113" t="e">
            <v>#N/A</v>
          </cell>
          <cell r="J113" t="str">
            <v>PHOENIX</v>
          </cell>
          <cell r="K113" t="str">
            <v>JUDICIAL</v>
          </cell>
          <cell r="L113" t="str">
            <v>271-300</v>
          </cell>
          <cell r="M113" t="str">
            <v>271-300</v>
          </cell>
          <cell r="N113" t="str">
            <v>VIGENTE</v>
          </cell>
        </row>
        <row r="114">
          <cell r="D114">
            <v>2124083</v>
          </cell>
          <cell r="E114" t="str">
            <v>Ariel Silva</v>
          </cell>
          <cell r="F114">
            <v>340</v>
          </cell>
          <cell r="H114">
            <v>11608660</v>
          </cell>
          <cell r="I114" t="e">
            <v>#N/A</v>
          </cell>
          <cell r="J114" t="str">
            <v>PHOENIX</v>
          </cell>
          <cell r="K114" t="str">
            <v>JUDICIAL</v>
          </cell>
          <cell r="L114" t="str">
            <v>0-365</v>
          </cell>
          <cell r="M114" t="str">
            <v>0-365</v>
          </cell>
          <cell r="N114" t="str">
            <v>CASTIGO</v>
          </cell>
        </row>
        <row r="115">
          <cell r="D115">
            <v>2126564</v>
          </cell>
          <cell r="E115" t="str">
            <v>Ariel Silva</v>
          </cell>
          <cell r="F115">
            <v>217</v>
          </cell>
          <cell r="H115">
            <v>9343344</v>
          </cell>
          <cell r="I115">
            <v>45831</v>
          </cell>
          <cell r="J115" t="str">
            <v>PHOENIX</v>
          </cell>
          <cell r="K115" t="str">
            <v>JUDICIAL</v>
          </cell>
          <cell r="L115" t="str">
            <v>0-365</v>
          </cell>
          <cell r="M115" t="str">
            <v>0-365</v>
          </cell>
          <cell r="N115" t="str">
            <v>CASTIGO</v>
          </cell>
        </row>
        <row r="116">
          <cell r="D116">
            <v>2134165</v>
          </cell>
          <cell r="E116" t="str">
            <v>Ariel Silva</v>
          </cell>
          <cell r="F116">
            <v>64</v>
          </cell>
          <cell r="H116">
            <v>3828549</v>
          </cell>
          <cell r="I116">
            <v>46091</v>
          </cell>
          <cell r="J116" t="str">
            <v>PHOENIX</v>
          </cell>
          <cell r="K116" t="str">
            <v>JUDICIAL</v>
          </cell>
          <cell r="L116" t="str">
            <v>0-365</v>
          </cell>
          <cell r="M116" t="str">
            <v>0-365</v>
          </cell>
          <cell r="N116" t="str">
            <v>CASTIGO</v>
          </cell>
        </row>
        <row r="117">
          <cell r="D117">
            <v>2135144</v>
          </cell>
          <cell r="F117">
            <v>175</v>
          </cell>
          <cell r="G117">
            <v>1</v>
          </cell>
          <cell r="H117">
            <v>4589277</v>
          </cell>
          <cell r="I117" t="e">
            <v>#N/A</v>
          </cell>
          <cell r="J117" t="str">
            <v>PHOENIX</v>
          </cell>
          <cell r="K117" t="str">
            <v>JUDICIAL</v>
          </cell>
          <cell r="L117" t="str">
            <v>151-180</v>
          </cell>
          <cell r="M117" t="str">
            <v>151-180</v>
          </cell>
          <cell r="N117" t="str">
            <v>VIGENTE</v>
          </cell>
        </row>
        <row r="118">
          <cell r="D118">
            <v>2142176</v>
          </cell>
          <cell r="F118">
            <v>184</v>
          </cell>
          <cell r="G118">
            <v>7</v>
          </cell>
          <cell r="H118">
            <v>2019637</v>
          </cell>
          <cell r="I118" t="e">
            <v>#N/A</v>
          </cell>
          <cell r="J118" t="str">
            <v>PHOENIX</v>
          </cell>
          <cell r="K118" t="str">
            <v>JUDICIAL</v>
          </cell>
          <cell r="L118" t="str">
            <v>151-180</v>
          </cell>
          <cell r="M118" t="str">
            <v>181-210</v>
          </cell>
          <cell r="N118" t="str">
            <v>VIGENTE</v>
          </cell>
        </row>
        <row r="119">
          <cell r="D119">
            <v>2143882</v>
          </cell>
          <cell r="E119" t="str">
            <v>Ariel Silva</v>
          </cell>
          <cell r="F119">
            <v>217</v>
          </cell>
          <cell r="H119">
            <v>6093246</v>
          </cell>
          <cell r="I119" t="e">
            <v>#N/A</v>
          </cell>
          <cell r="J119" t="str">
            <v>PHOENIX</v>
          </cell>
          <cell r="K119" t="str">
            <v>JUDICIAL</v>
          </cell>
          <cell r="L119" t="str">
            <v>0-365</v>
          </cell>
          <cell r="M119" t="str">
            <v>0-365</v>
          </cell>
          <cell r="N119" t="str">
            <v>CASTIGO</v>
          </cell>
        </row>
        <row r="120">
          <cell r="D120">
            <v>2148996</v>
          </cell>
          <cell r="E120" t="str">
            <v>Ariel Silva</v>
          </cell>
          <cell r="F120">
            <v>309</v>
          </cell>
          <cell r="H120">
            <v>8862930</v>
          </cell>
          <cell r="I120" t="e">
            <v>#N/A</v>
          </cell>
          <cell r="J120" t="str">
            <v>PHOENIX</v>
          </cell>
          <cell r="K120" t="str">
            <v>JUDICIAL</v>
          </cell>
          <cell r="L120" t="str">
            <v>0-365</v>
          </cell>
          <cell r="M120" t="str">
            <v>0-365</v>
          </cell>
          <cell r="N120" t="str">
            <v>CASTIGO</v>
          </cell>
        </row>
        <row r="121">
          <cell r="D121">
            <v>2168082</v>
          </cell>
          <cell r="F121">
            <v>219</v>
          </cell>
          <cell r="G121">
            <v>8</v>
          </cell>
          <cell r="H121">
            <v>2947686</v>
          </cell>
          <cell r="I121" t="e">
            <v>#N/A</v>
          </cell>
          <cell r="J121" t="str">
            <v>PHOENIX</v>
          </cell>
          <cell r="K121" t="str">
            <v>JUDICIAL</v>
          </cell>
          <cell r="L121" t="str">
            <v>211-240</v>
          </cell>
          <cell r="M121" t="str">
            <v>211-240</v>
          </cell>
          <cell r="N121" t="str">
            <v>VIGENTE</v>
          </cell>
        </row>
        <row r="122">
          <cell r="D122">
            <v>2170991</v>
          </cell>
          <cell r="E122" t="str">
            <v>Ariel Silva</v>
          </cell>
          <cell r="F122">
            <v>370</v>
          </cell>
          <cell r="H122">
            <v>10100380</v>
          </cell>
          <cell r="I122" t="e">
            <v>#N/A</v>
          </cell>
          <cell r="J122" t="str">
            <v>PHOENIX</v>
          </cell>
          <cell r="K122" t="str">
            <v>JUDICIAL</v>
          </cell>
          <cell r="L122" t="str">
            <v>366-730</v>
          </cell>
          <cell r="M122" t="str">
            <v>366-730</v>
          </cell>
          <cell r="N122" t="str">
            <v>CASTIGO</v>
          </cell>
        </row>
        <row r="123">
          <cell r="D123">
            <v>2171993</v>
          </cell>
          <cell r="E123" t="str">
            <v>Ariel Silva</v>
          </cell>
          <cell r="F123">
            <v>126</v>
          </cell>
          <cell r="H123">
            <v>8498727</v>
          </cell>
          <cell r="I123" t="e">
            <v>#N/A</v>
          </cell>
          <cell r="J123" t="str">
            <v>PHOENIX</v>
          </cell>
          <cell r="K123" t="str">
            <v>JUDICIAL</v>
          </cell>
          <cell r="L123" t="str">
            <v>0-365</v>
          </cell>
          <cell r="M123" t="str">
            <v>0-365</v>
          </cell>
          <cell r="N123" t="str">
            <v>CASTIGO</v>
          </cell>
        </row>
        <row r="124">
          <cell r="D124">
            <v>2177404</v>
          </cell>
          <cell r="F124">
            <v>0</v>
          </cell>
          <cell r="H124">
            <v>4919209</v>
          </cell>
          <cell r="I124" t="e">
            <v>#N/A</v>
          </cell>
          <cell r="J124" t="str">
            <v>PHOENIX</v>
          </cell>
          <cell r="K124" t="str">
            <v>JUDICIAL</v>
          </cell>
          <cell r="L124" t="str">
            <v>331-360</v>
          </cell>
          <cell r="M124" t="str">
            <v>361-390</v>
          </cell>
          <cell r="N124" t="str">
            <v>VIGENTE</v>
          </cell>
        </row>
        <row r="125">
          <cell r="D125">
            <v>2184639</v>
          </cell>
          <cell r="F125">
            <v>307</v>
          </cell>
          <cell r="G125">
            <v>11</v>
          </cell>
          <cell r="H125">
            <v>4617609</v>
          </cell>
          <cell r="I125" t="e">
            <v>#N/A</v>
          </cell>
          <cell r="J125" t="str">
            <v>PHOENIX</v>
          </cell>
          <cell r="K125" t="str">
            <v>JUDICIAL</v>
          </cell>
          <cell r="L125" t="str">
            <v>271-300</v>
          </cell>
          <cell r="M125" t="str">
            <v>301-330</v>
          </cell>
          <cell r="N125" t="str">
            <v>VIGENTE</v>
          </cell>
        </row>
        <row r="126">
          <cell r="D126">
            <v>2184893</v>
          </cell>
          <cell r="E126" t="str">
            <v>Ariel Silva</v>
          </cell>
          <cell r="F126">
            <v>401</v>
          </cell>
          <cell r="H126">
            <v>8824246</v>
          </cell>
          <cell r="I126">
            <v>46107</v>
          </cell>
          <cell r="J126" t="str">
            <v>PHOENIX</v>
          </cell>
          <cell r="K126" t="str">
            <v>JUDICIAL</v>
          </cell>
          <cell r="L126" t="str">
            <v>366-730</v>
          </cell>
          <cell r="M126" t="str">
            <v>366-730</v>
          </cell>
          <cell r="N126" t="str">
            <v>CASTIGO</v>
          </cell>
        </row>
        <row r="127">
          <cell r="D127">
            <v>2200934</v>
          </cell>
          <cell r="E127" t="str">
            <v>Ariel Silva</v>
          </cell>
          <cell r="F127">
            <v>279</v>
          </cell>
          <cell r="H127">
            <v>10210739</v>
          </cell>
          <cell r="I127" t="e">
            <v>#N/A</v>
          </cell>
          <cell r="J127" t="str">
            <v>PHOENIX</v>
          </cell>
          <cell r="K127" t="str">
            <v>JUDICIAL</v>
          </cell>
          <cell r="L127" t="str">
            <v>0-365</v>
          </cell>
          <cell r="M127" t="str">
            <v>0-365</v>
          </cell>
          <cell r="N127" t="str">
            <v>CASTIGO</v>
          </cell>
        </row>
        <row r="128">
          <cell r="D128">
            <v>2206128</v>
          </cell>
          <cell r="E128" t="str">
            <v>Ariel Silva</v>
          </cell>
          <cell r="F128">
            <v>1</v>
          </cell>
          <cell r="H128">
            <v>8830213</v>
          </cell>
          <cell r="I128">
            <v>45595</v>
          </cell>
          <cell r="J128" t="str">
            <v>PHOENIX</v>
          </cell>
          <cell r="K128" t="str">
            <v>JUDICIAL</v>
          </cell>
          <cell r="L128" t="str">
            <v>0-365</v>
          </cell>
          <cell r="M128" t="str">
            <v>0-365</v>
          </cell>
          <cell r="N128" t="str">
            <v>CASTIGO</v>
          </cell>
        </row>
        <row r="129">
          <cell r="D129">
            <v>2206586</v>
          </cell>
          <cell r="F129">
            <v>307</v>
          </cell>
          <cell r="G129">
            <v>11</v>
          </cell>
          <cell r="H129">
            <v>5914451</v>
          </cell>
          <cell r="I129">
            <v>46087</v>
          </cell>
          <cell r="J129" t="str">
            <v>PHOENIX</v>
          </cell>
          <cell r="K129" t="str">
            <v>JUDICIAL</v>
          </cell>
          <cell r="L129" t="str">
            <v>271-300</v>
          </cell>
          <cell r="M129" t="str">
            <v>301-330</v>
          </cell>
          <cell r="N129" t="str">
            <v>VIGENTE</v>
          </cell>
        </row>
        <row r="130">
          <cell r="D130">
            <v>2208275</v>
          </cell>
          <cell r="E130" t="str">
            <v>Ariel Silva</v>
          </cell>
          <cell r="F130">
            <v>126</v>
          </cell>
          <cell r="H130">
            <v>9516314</v>
          </cell>
          <cell r="I130" t="e">
            <v>#N/A</v>
          </cell>
          <cell r="J130" t="str">
            <v>PHOENIX</v>
          </cell>
          <cell r="K130" t="str">
            <v>JUDICIAL</v>
          </cell>
          <cell r="L130" t="str">
            <v>0-365</v>
          </cell>
          <cell r="M130" t="str">
            <v>0-365</v>
          </cell>
          <cell r="N130" t="str">
            <v>CASTIGO</v>
          </cell>
        </row>
        <row r="131">
          <cell r="D131">
            <v>2213431</v>
          </cell>
          <cell r="E131" t="str">
            <v>Ariel Silva</v>
          </cell>
          <cell r="F131">
            <v>64</v>
          </cell>
          <cell r="H131">
            <v>2055650</v>
          </cell>
          <cell r="I131" t="e">
            <v>#N/A</v>
          </cell>
          <cell r="J131" t="str">
            <v>PHOENIX</v>
          </cell>
          <cell r="K131" t="str">
            <v>JUDICIAL</v>
          </cell>
          <cell r="L131" t="str">
            <v>0-365</v>
          </cell>
          <cell r="M131" t="str">
            <v>0-365</v>
          </cell>
          <cell r="N131" t="str">
            <v>CASTIGO</v>
          </cell>
        </row>
        <row r="132">
          <cell r="D132">
            <v>2221649</v>
          </cell>
          <cell r="F132">
            <v>0</v>
          </cell>
          <cell r="H132">
            <v>5571146</v>
          </cell>
          <cell r="I132" t="e">
            <v>#N/A</v>
          </cell>
          <cell r="J132" t="str">
            <v>PHOENIX</v>
          </cell>
          <cell r="K132" t="str">
            <v>JUDICIAL</v>
          </cell>
          <cell r="L132" t="str">
            <v>121-150</v>
          </cell>
          <cell r="M132" t="str">
            <v>AL DIA</v>
          </cell>
          <cell r="N132" t="str">
            <v>VIGENTE</v>
          </cell>
        </row>
        <row r="133">
          <cell r="D133">
            <v>2221834</v>
          </cell>
          <cell r="E133" t="str">
            <v>Ariel Silva</v>
          </cell>
          <cell r="F133">
            <v>309</v>
          </cell>
          <cell r="H133">
            <v>3892558</v>
          </cell>
          <cell r="I133" t="e">
            <v>#N/A</v>
          </cell>
          <cell r="J133" t="str">
            <v>PHOENIX</v>
          </cell>
          <cell r="K133" t="str">
            <v>JUDICIAL</v>
          </cell>
          <cell r="L133" t="str">
            <v>0-365</v>
          </cell>
          <cell r="M133" t="str">
            <v>0-365</v>
          </cell>
          <cell r="N133" t="str">
            <v>CASTIGO</v>
          </cell>
        </row>
        <row r="134">
          <cell r="D134">
            <v>2230201</v>
          </cell>
          <cell r="F134">
            <v>181</v>
          </cell>
          <cell r="G134">
            <v>3</v>
          </cell>
          <cell r="H134">
            <v>12205081</v>
          </cell>
          <cell r="I134" t="e">
            <v>#N/A</v>
          </cell>
          <cell r="J134" t="str">
            <v>PHOENIX</v>
          </cell>
          <cell r="K134" t="str">
            <v>JUDICIAL</v>
          </cell>
          <cell r="L134" t="str">
            <v>151-180</v>
          </cell>
          <cell r="M134" t="str">
            <v>181-210</v>
          </cell>
          <cell r="N134" t="str">
            <v>VIGENTE</v>
          </cell>
        </row>
        <row r="135">
          <cell r="D135">
            <v>2230686</v>
          </cell>
          <cell r="F135">
            <v>97</v>
          </cell>
          <cell r="G135">
            <v>4</v>
          </cell>
          <cell r="H135">
            <v>3779733</v>
          </cell>
          <cell r="I135" t="e">
            <v>#N/A</v>
          </cell>
          <cell r="J135" t="str">
            <v>PHOENIX</v>
          </cell>
          <cell r="K135" t="str">
            <v>JUDICIAL</v>
          </cell>
          <cell r="L135" t="str">
            <v>61-90</v>
          </cell>
          <cell r="M135" t="str">
            <v>91-120</v>
          </cell>
          <cell r="N135" t="str">
            <v>VIGENTE</v>
          </cell>
        </row>
        <row r="136">
          <cell r="D136">
            <v>2239559</v>
          </cell>
          <cell r="E136" t="str">
            <v>Ariel Silva</v>
          </cell>
          <cell r="F136">
            <v>340</v>
          </cell>
          <cell r="H136">
            <v>9232528</v>
          </cell>
          <cell r="I136" t="e">
            <v>#N/A</v>
          </cell>
          <cell r="J136" t="str">
            <v>PHOENIX</v>
          </cell>
          <cell r="K136" t="str">
            <v>JUDICIAL</v>
          </cell>
          <cell r="L136" t="str">
            <v>0-365</v>
          </cell>
          <cell r="M136" t="str">
            <v>0-365</v>
          </cell>
          <cell r="N136" t="str">
            <v>CASTIGO</v>
          </cell>
        </row>
        <row r="137">
          <cell r="D137">
            <v>2239603</v>
          </cell>
          <cell r="F137">
            <v>266</v>
          </cell>
          <cell r="G137">
            <v>9</v>
          </cell>
          <cell r="H137">
            <v>3208338</v>
          </cell>
          <cell r="I137" t="e">
            <v>#N/A</v>
          </cell>
          <cell r="J137" t="str">
            <v>PHOENIX</v>
          </cell>
          <cell r="K137" t="str">
            <v>JUDICIAL</v>
          </cell>
          <cell r="L137" t="str">
            <v>241-270</v>
          </cell>
          <cell r="M137" t="str">
            <v>241-270</v>
          </cell>
          <cell r="N137" t="str">
            <v>VIGENTE</v>
          </cell>
        </row>
        <row r="138">
          <cell r="D138">
            <v>2241494</v>
          </cell>
          <cell r="E138" t="str">
            <v>Ariel Silva</v>
          </cell>
          <cell r="F138">
            <v>248</v>
          </cell>
          <cell r="H138">
            <v>10706135</v>
          </cell>
          <cell r="I138" t="e">
            <v>#N/A</v>
          </cell>
          <cell r="J138" t="str">
            <v>PHOENIX</v>
          </cell>
          <cell r="K138" t="str">
            <v>JUDICIAL</v>
          </cell>
          <cell r="L138" t="str">
            <v>0-365</v>
          </cell>
          <cell r="M138" t="str">
            <v>0-365</v>
          </cell>
          <cell r="N138" t="str">
            <v>CASTIGO</v>
          </cell>
        </row>
        <row r="139">
          <cell r="D139">
            <v>2242697</v>
          </cell>
          <cell r="F139">
            <v>307</v>
          </cell>
          <cell r="G139">
            <v>11</v>
          </cell>
          <cell r="H139">
            <v>12103197</v>
          </cell>
          <cell r="I139" t="e">
            <v>#N/A</v>
          </cell>
          <cell r="J139" t="str">
            <v>PHOENIX</v>
          </cell>
          <cell r="K139" t="str">
            <v>JUDICIAL</v>
          </cell>
          <cell r="L139" t="str">
            <v>271-300</v>
          </cell>
          <cell r="M139" t="str">
            <v>301-330</v>
          </cell>
          <cell r="N139" t="str">
            <v>VIGENTE</v>
          </cell>
        </row>
        <row r="140">
          <cell r="D140">
            <v>2246738</v>
          </cell>
          <cell r="E140" t="str">
            <v>Ariel Silva</v>
          </cell>
          <cell r="F140">
            <v>95</v>
          </cell>
          <cell r="H140">
            <v>7111666</v>
          </cell>
          <cell r="I140" t="e">
            <v>#N/A</v>
          </cell>
          <cell r="J140" t="str">
            <v>PHOENIX</v>
          </cell>
          <cell r="K140" t="str">
            <v>JUDICIAL</v>
          </cell>
          <cell r="L140" t="str">
            <v>0-365</v>
          </cell>
          <cell r="M140" t="str">
            <v>0-365</v>
          </cell>
          <cell r="N140" t="str">
            <v>CASTIGO</v>
          </cell>
        </row>
        <row r="141">
          <cell r="D141">
            <v>2246744</v>
          </cell>
          <cell r="F141">
            <v>156</v>
          </cell>
          <cell r="G141">
            <v>6</v>
          </cell>
          <cell r="H141">
            <v>6979898</v>
          </cell>
          <cell r="I141" t="e">
            <v>#N/A</v>
          </cell>
          <cell r="J141" t="str">
            <v>PHOENIX</v>
          </cell>
          <cell r="K141" t="str">
            <v>JUDICIAL</v>
          </cell>
          <cell r="L141" t="str">
            <v>121-150</v>
          </cell>
          <cell r="M141" t="str">
            <v>151-180</v>
          </cell>
          <cell r="N141" t="str">
            <v>VIGENTE</v>
          </cell>
        </row>
        <row r="142">
          <cell r="D142">
            <v>2253599</v>
          </cell>
          <cell r="E142" t="str">
            <v>Ariel Silva</v>
          </cell>
          <cell r="F142">
            <v>156</v>
          </cell>
          <cell r="H142">
            <v>15121765</v>
          </cell>
          <cell r="I142" t="e">
            <v>#N/A</v>
          </cell>
          <cell r="J142" t="str">
            <v>PHOENIX</v>
          </cell>
          <cell r="K142" t="str">
            <v>JUDICIAL</v>
          </cell>
          <cell r="L142" t="str">
            <v>0-365</v>
          </cell>
          <cell r="M142" t="str">
            <v>0-365</v>
          </cell>
          <cell r="N142" t="str">
            <v>CASTIGO</v>
          </cell>
        </row>
        <row r="143">
          <cell r="D143">
            <v>2256689</v>
          </cell>
          <cell r="F143">
            <v>246</v>
          </cell>
          <cell r="G143">
            <v>6</v>
          </cell>
          <cell r="H143">
            <v>4675518</v>
          </cell>
          <cell r="I143" t="e">
            <v>#N/A</v>
          </cell>
          <cell r="J143" t="str">
            <v>PHOENIX</v>
          </cell>
          <cell r="K143" t="str">
            <v>JUDICIAL</v>
          </cell>
          <cell r="L143" t="str">
            <v>211-240</v>
          </cell>
          <cell r="M143" t="str">
            <v>241-270</v>
          </cell>
          <cell r="N143" t="str">
            <v>VIGENTE</v>
          </cell>
        </row>
        <row r="144">
          <cell r="D144">
            <v>2260525</v>
          </cell>
          <cell r="E144" t="str">
            <v>Ariel Silva</v>
          </cell>
          <cell r="F144">
            <v>248</v>
          </cell>
          <cell r="H144">
            <v>11856692</v>
          </cell>
          <cell r="I144" t="e">
            <v>#N/A</v>
          </cell>
          <cell r="J144" t="str">
            <v>PHOENIX</v>
          </cell>
          <cell r="K144" t="str">
            <v>JUDICIAL</v>
          </cell>
          <cell r="L144" t="str">
            <v>0-365</v>
          </cell>
          <cell r="M144" t="str">
            <v>0-365</v>
          </cell>
          <cell r="N144" t="str">
            <v>CASTIGO</v>
          </cell>
        </row>
        <row r="145">
          <cell r="D145">
            <v>2277292</v>
          </cell>
          <cell r="E145" t="str">
            <v>Ariel Silva</v>
          </cell>
          <cell r="F145">
            <v>217</v>
          </cell>
          <cell r="H145">
            <v>12565144</v>
          </cell>
          <cell r="I145" t="e">
            <v>#N/A</v>
          </cell>
          <cell r="J145" t="str">
            <v>PHOENIX</v>
          </cell>
          <cell r="K145" t="str">
            <v>JUDICIAL</v>
          </cell>
          <cell r="L145" t="str">
            <v>0-365</v>
          </cell>
          <cell r="M145" t="str">
            <v>0-365</v>
          </cell>
          <cell r="N145" t="str">
            <v>CASTIGO</v>
          </cell>
        </row>
        <row r="146">
          <cell r="D146">
            <v>2280501</v>
          </cell>
          <cell r="F146">
            <v>281</v>
          </cell>
          <cell r="G146">
            <v>10</v>
          </cell>
          <cell r="H146">
            <v>5003247</v>
          </cell>
          <cell r="I146" t="e">
            <v>#N/A</v>
          </cell>
          <cell r="J146" t="str">
            <v>PHOENIX</v>
          </cell>
          <cell r="K146" t="str">
            <v>JUDICIAL</v>
          </cell>
          <cell r="L146" t="str">
            <v>271-300</v>
          </cell>
          <cell r="M146" t="str">
            <v>271-300</v>
          </cell>
          <cell r="N146" t="str">
            <v>VIGENTE</v>
          </cell>
        </row>
        <row r="147">
          <cell r="D147">
            <v>2280594</v>
          </cell>
          <cell r="F147">
            <v>177</v>
          </cell>
          <cell r="G147">
            <v>6</v>
          </cell>
          <cell r="H147">
            <v>4856447</v>
          </cell>
          <cell r="I147" t="e">
            <v>#N/A</v>
          </cell>
          <cell r="J147" t="str">
            <v>PHOENIX</v>
          </cell>
          <cell r="K147" t="str">
            <v>JUDICIAL</v>
          </cell>
          <cell r="L147" t="str">
            <v>151-180</v>
          </cell>
          <cell r="M147" t="str">
            <v>151-180</v>
          </cell>
          <cell r="N147" t="str">
            <v>VIGENTE</v>
          </cell>
        </row>
        <row r="148">
          <cell r="D148">
            <v>2282271</v>
          </cell>
          <cell r="E148" t="str">
            <v>Ariel Silva</v>
          </cell>
          <cell r="F148">
            <v>95</v>
          </cell>
          <cell r="H148">
            <v>7427696</v>
          </cell>
          <cell r="I148" t="e">
            <v>#N/A</v>
          </cell>
          <cell r="J148" t="str">
            <v>PHOENIX</v>
          </cell>
          <cell r="K148" t="str">
            <v>JUDICIAL</v>
          </cell>
          <cell r="L148" t="str">
            <v>0-365</v>
          </cell>
          <cell r="M148" t="str">
            <v>0-365</v>
          </cell>
          <cell r="N148" t="str">
            <v>CASTIGO</v>
          </cell>
        </row>
        <row r="149">
          <cell r="D149">
            <v>2284509</v>
          </cell>
          <cell r="F149">
            <v>66</v>
          </cell>
          <cell r="G149">
            <v>3</v>
          </cell>
          <cell r="H149">
            <v>16196231</v>
          </cell>
          <cell r="I149" t="e">
            <v>#N/A</v>
          </cell>
          <cell r="J149" t="str">
            <v>PHOENIX</v>
          </cell>
          <cell r="K149" t="str">
            <v>JUDICIAL</v>
          </cell>
          <cell r="L149" t="str">
            <v>31-60</v>
          </cell>
          <cell r="M149" t="str">
            <v>61-90</v>
          </cell>
          <cell r="N149" t="str">
            <v>VIGENTE</v>
          </cell>
        </row>
        <row r="150">
          <cell r="D150">
            <v>2289960</v>
          </cell>
          <cell r="F150">
            <v>2</v>
          </cell>
          <cell r="G150">
            <v>1</v>
          </cell>
          <cell r="H150">
            <v>6569698</v>
          </cell>
          <cell r="I150" t="e">
            <v>#N/A</v>
          </cell>
          <cell r="J150" t="str">
            <v>PHOENIX</v>
          </cell>
          <cell r="K150" t="str">
            <v>JUDICIAL</v>
          </cell>
          <cell r="L150" t="str">
            <v>1-30</v>
          </cell>
          <cell r="M150" t="str">
            <v>1-30</v>
          </cell>
          <cell r="N150" t="str">
            <v>VIGENTE</v>
          </cell>
        </row>
        <row r="151">
          <cell r="D151">
            <v>2291099</v>
          </cell>
          <cell r="E151" t="str">
            <v>Ariel Silva</v>
          </cell>
          <cell r="F151">
            <v>279</v>
          </cell>
          <cell r="H151">
            <v>3834831</v>
          </cell>
          <cell r="I151" t="e">
            <v>#N/A</v>
          </cell>
          <cell r="J151" t="str">
            <v>PHOENIX</v>
          </cell>
          <cell r="K151" t="str">
            <v>JUDICIAL</v>
          </cell>
          <cell r="L151" t="str">
            <v>0-365</v>
          </cell>
          <cell r="M151" t="str">
            <v>0-365</v>
          </cell>
          <cell r="N151" t="str">
            <v>CASTIGO</v>
          </cell>
        </row>
        <row r="152">
          <cell r="D152">
            <v>2297687</v>
          </cell>
          <cell r="E152" t="str">
            <v>Ariel Silva</v>
          </cell>
          <cell r="F152">
            <v>309</v>
          </cell>
          <cell r="H152">
            <v>10777648</v>
          </cell>
          <cell r="I152">
            <v>45744</v>
          </cell>
          <cell r="J152" t="str">
            <v>PHOENIX</v>
          </cell>
          <cell r="K152" t="str">
            <v>JUDICIAL</v>
          </cell>
          <cell r="L152" t="str">
            <v>0-365</v>
          </cell>
          <cell r="M152" t="str">
            <v>0-365</v>
          </cell>
          <cell r="N152" t="str">
            <v>CASTIGO</v>
          </cell>
        </row>
        <row r="153">
          <cell r="D153">
            <v>2298622</v>
          </cell>
          <cell r="E153" t="str">
            <v>Ariel Silva</v>
          </cell>
          <cell r="F153">
            <v>126</v>
          </cell>
          <cell r="H153">
            <v>16869176</v>
          </cell>
          <cell r="I153" t="e">
            <v>#N/A</v>
          </cell>
          <cell r="J153" t="str">
            <v>PHOENIX</v>
          </cell>
          <cell r="K153" t="str">
            <v>JUDICIAL</v>
          </cell>
          <cell r="L153" t="str">
            <v>0-365</v>
          </cell>
          <cell r="M153" t="str">
            <v>0-365</v>
          </cell>
          <cell r="N153" t="str">
            <v>CASTIGO</v>
          </cell>
        </row>
        <row r="154">
          <cell r="D154">
            <v>2300266</v>
          </cell>
          <cell r="E154" t="str">
            <v>Ariel Silva</v>
          </cell>
          <cell r="F154">
            <v>156</v>
          </cell>
          <cell r="H154">
            <v>6388538</v>
          </cell>
          <cell r="I154" t="e">
            <v>#N/A</v>
          </cell>
          <cell r="J154" t="str">
            <v>PHOENIX</v>
          </cell>
          <cell r="K154" t="str">
            <v>JUDICIAL</v>
          </cell>
          <cell r="L154" t="str">
            <v>0-365</v>
          </cell>
          <cell r="M154" t="str">
            <v>0-365</v>
          </cell>
          <cell r="N154" t="str">
            <v>CASTIGO</v>
          </cell>
        </row>
        <row r="155">
          <cell r="D155">
            <v>2301351</v>
          </cell>
          <cell r="F155">
            <v>149</v>
          </cell>
          <cell r="G155">
            <v>5</v>
          </cell>
          <cell r="H155">
            <v>2354610</v>
          </cell>
          <cell r="I155" t="e">
            <v>#N/A</v>
          </cell>
          <cell r="J155" t="str">
            <v>PHOENIX</v>
          </cell>
          <cell r="K155" t="str">
            <v>JUDICIAL</v>
          </cell>
          <cell r="L155" t="str">
            <v>121-150</v>
          </cell>
          <cell r="M155" t="str">
            <v>121-150</v>
          </cell>
          <cell r="N155" t="str">
            <v>VIGENTE</v>
          </cell>
        </row>
        <row r="156">
          <cell r="D156">
            <v>2305273</v>
          </cell>
          <cell r="F156">
            <v>248</v>
          </cell>
          <cell r="G156">
            <v>9</v>
          </cell>
          <cell r="H156">
            <v>5954378</v>
          </cell>
          <cell r="I156" t="e">
            <v>#N/A</v>
          </cell>
          <cell r="J156" t="str">
            <v>PHOENIX</v>
          </cell>
          <cell r="K156" t="str">
            <v>JUDICIAL</v>
          </cell>
          <cell r="L156" t="str">
            <v>211-240</v>
          </cell>
          <cell r="M156" t="str">
            <v>241-270</v>
          </cell>
          <cell r="N156" t="str">
            <v>VIGENTE</v>
          </cell>
        </row>
        <row r="157">
          <cell r="D157">
            <v>2307739</v>
          </cell>
          <cell r="F157">
            <v>122</v>
          </cell>
          <cell r="G157">
            <v>2</v>
          </cell>
          <cell r="H157">
            <v>1084386</v>
          </cell>
          <cell r="I157">
            <v>0</v>
          </cell>
          <cell r="J157" t="str">
            <v>PHOENIX</v>
          </cell>
          <cell r="K157" t="str">
            <v>JUDICIAL</v>
          </cell>
          <cell r="L157" t="str">
            <v>91-120</v>
          </cell>
          <cell r="M157" t="str">
            <v>121-150</v>
          </cell>
          <cell r="N157" t="str">
            <v>VIGENTE</v>
          </cell>
        </row>
        <row r="158">
          <cell r="D158">
            <v>2310878</v>
          </cell>
          <cell r="F158">
            <v>302</v>
          </cell>
          <cell r="G158">
            <v>10</v>
          </cell>
          <cell r="H158">
            <v>10088187</v>
          </cell>
          <cell r="I158" t="e">
            <v>#N/A</v>
          </cell>
          <cell r="J158" t="str">
            <v>PHOENIX</v>
          </cell>
          <cell r="K158" t="str">
            <v>JUDICIAL</v>
          </cell>
          <cell r="L158" t="str">
            <v>271-300</v>
          </cell>
          <cell r="M158" t="str">
            <v>301-330</v>
          </cell>
          <cell r="N158" t="str">
            <v>VIGENTE</v>
          </cell>
        </row>
        <row r="159">
          <cell r="D159">
            <v>2312126</v>
          </cell>
          <cell r="F159">
            <v>249</v>
          </cell>
          <cell r="G159">
            <v>9</v>
          </cell>
          <cell r="H159">
            <v>8246479</v>
          </cell>
          <cell r="I159" t="e">
            <v>#N/A</v>
          </cell>
          <cell r="J159" t="str">
            <v>PHOENIX</v>
          </cell>
          <cell r="K159" t="str">
            <v>JUDICIAL</v>
          </cell>
          <cell r="L159" t="str">
            <v>241-270</v>
          </cell>
          <cell r="M159" t="str">
            <v>241-270</v>
          </cell>
          <cell r="N159" t="str">
            <v>VIGENTE</v>
          </cell>
        </row>
        <row r="160">
          <cell r="D160">
            <v>2312128</v>
          </cell>
          <cell r="F160">
            <v>250</v>
          </cell>
          <cell r="G160">
            <v>9</v>
          </cell>
          <cell r="H160">
            <v>5141075</v>
          </cell>
          <cell r="I160" t="e">
            <v>#N/A</v>
          </cell>
          <cell r="J160" t="str">
            <v>PHOENIX</v>
          </cell>
          <cell r="K160" t="str">
            <v>JUDICIAL</v>
          </cell>
          <cell r="L160" t="str">
            <v>241-270</v>
          </cell>
          <cell r="M160" t="str">
            <v>241-270</v>
          </cell>
          <cell r="N160" t="str">
            <v>VIGENTE</v>
          </cell>
        </row>
        <row r="161">
          <cell r="D161">
            <v>2316103</v>
          </cell>
          <cell r="E161" t="str">
            <v>Ariel Silva</v>
          </cell>
          <cell r="F161">
            <v>309</v>
          </cell>
          <cell r="H161">
            <v>8882006</v>
          </cell>
          <cell r="I161" t="e">
            <v>#N/A</v>
          </cell>
          <cell r="J161" t="str">
            <v>PHOENIX</v>
          </cell>
          <cell r="K161" t="str">
            <v>JUDICIAL</v>
          </cell>
          <cell r="L161" t="str">
            <v>0-365</v>
          </cell>
          <cell r="M161" t="str">
            <v>0-365</v>
          </cell>
          <cell r="N161" t="str">
            <v>CASTIGO</v>
          </cell>
        </row>
        <row r="162">
          <cell r="D162">
            <v>2317511</v>
          </cell>
          <cell r="F162">
            <v>307</v>
          </cell>
          <cell r="G162">
            <v>11</v>
          </cell>
          <cell r="H162">
            <v>5689074</v>
          </cell>
          <cell r="I162" t="e">
            <v>#N/A</v>
          </cell>
          <cell r="J162" t="str">
            <v>PHOENIX</v>
          </cell>
          <cell r="K162" t="str">
            <v>JUDICIAL</v>
          </cell>
          <cell r="L162" t="str">
            <v>271-300</v>
          </cell>
          <cell r="M162" t="str">
            <v>301-330</v>
          </cell>
          <cell r="N162" t="str">
            <v>VIGENTE</v>
          </cell>
        </row>
        <row r="163">
          <cell r="D163">
            <v>2335172</v>
          </cell>
          <cell r="E163" t="str">
            <v>Ariel Silva</v>
          </cell>
          <cell r="F163">
            <v>279</v>
          </cell>
          <cell r="H163">
            <v>8268333</v>
          </cell>
          <cell r="I163" t="e">
            <v>#N/A</v>
          </cell>
          <cell r="J163" t="str">
            <v>PHOENIX</v>
          </cell>
          <cell r="K163" t="str">
            <v>JUDICIAL</v>
          </cell>
          <cell r="L163" t="str">
            <v>0-365</v>
          </cell>
          <cell r="M163" t="str">
            <v>0-365</v>
          </cell>
          <cell r="N163" t="str">
            <v>CASTIGO</v>
          </cell>
        </row>
        <row r="164">
          <cell r="D164">
            <v>2339568</v>
          </cell>
          <cell r="F164">
            <v>154</v>
          </cell>
          <cell r="G164">
            <v>6</v>
          </cell>
          <cell r="H164">
            <v>4878739</v>
          </cell>
          <cell r="I164" t="e">
            <v>#N/A</v>
          </cell>
          <cell r="J164" t="str">
            <v>PHOENIX</v>
          </cell>
          <cell r="K164" t="str">
            <v>JUDICIAL</v>
          </cell>
          <cell r="L164" t="str">
            <v>121-150</v>
          </cell>
          <cell r="M164" t="str">
            <v>151-180</v>
          </cell>
          <cell r="N164" t="str">
            <v>VIGENTE</v>
          </cell>
        </row>
        <row r="165">
          <cell r="D165">
            <v>2344791</v>
          </cell>
          <cell r="F165">
            <v>338</v>
          </cell>
          <cell r="G165">
            <v>10</v>
          </cell>
          <cell r="H165">
            <v>3525536</v>
          </cell>
          <cell r="I165" t="e">
            <v>#N/A</v>
          </cell>
          <cell r="J165" t="str">
            <v>PHOENIX</v>
          </cell>
          <cell r="K165" t="str">
            <v>JUDICIAL</v>
          </cell>
          <cell r="L165" t="str">
            <v>301-330</v>
          </cell>
          <cell r="M165" t="str">
            <v>331-360</v>
          </cell>
          <cell r="N165" t="str">
            <v>VIGENTE</v>
          </cell>
        </row>
        <row r="166">
          <cell r="D166">
            <v>2348879</v>
          </cell>
          <cell r="F166">
            <v>124</v>
          </cell>
          <cell r="G166">
            <v>5</v>
          </cell>
          <cell r="H166">
            <v>5432038</v>
          </cell>
          <cell r="I166" t="e">
            <v>#N/A</v>
          </cell>
          <cell r="J166" t="str">
            <v>PHOENIX</v>
          </cell>
          <cell r="K166" t="str">
            <v>JUDICIAL</v>
          </cell>
          <cell r="L166" t="str">
            <v>91-120</v>
          </cell>
          <cell r="M166" t="str">
            <v>121-150</v>
          </cell>
          <cell r="N166" t="str">
            <v>VIGENTE</v>
          </cell>
        </row>
        <row r="167">
          <cell r="D167">
            <v>2356113</v>
          </cell>
          <cell r="F167">
            <v>19</v>
          </cell>
          <cell r="G167">
            <v>1</v>
          </cell>
          <cell r="H167">
            <v>6560947</v>
          </cell>
          <cell r="I167" t="e">
            <v>#N/A</v>
          </cell>
          <cell r="J167" t="str">
            <v>PHOENIX</v>
          </cell>
          <cell r="K167" t="str">
            <v>JUDICIAL</v>
          </cell>
          <cell r="L167" t="str">
            <v>31-60</v>
          </cell>
          <cell r="M167" t="str">
            <v>1-30</v>
          </cell>
          <cell r="N167" t="str">
            <v>VIGENTE</v>
          </cell>
        </row>
        <row r="168">
          <cell r="D168">
            <v>2359330</v>
          </cell>
          <cell r="E168" t="str">
            <v>Ariel Silva</v>
          </cell>
          <cell r="F168">
            <v>429</v>
          </cell>
          <cell r="H168">
            <v>17079615</v>
          </cell>
          <cell r="I168" t="e">
            <v>#N/A</v>
          </cell>
          <cell r="J168" t="str">
            <v>PHOENIX</v>
          </cell>
          <cell r="K168" t="str">
            <v>JUDICIAL</v>
          </cell>
          <cell r="L168" t="str">
            <v>366-730</v>
          </cell>
          <cell r="M168" t="str">
            <v>366-730</v>
          </cell>
          <cell r="N168" t="str">
            <v>CASTIGO</v>
          </cell>
        </row>
        <row r="169">
          <cell r="D169">
            <v>2361546</v>
          </cell>
          <cell r="E169" t="str">
            <v>Ariel Silva</v>
          </cell>
          <cell r="F169">
            <v>187</v>
          </cell>
          <cell r="H169">
            <v>5966279</v>
          </cell>
          <cell r="I169" t="e">
            <v>#N/A</v>
          </cell>
          <cell r="J169" t="str">
            <v>PHOENIX</v>
          </cell>
          <cell r="K169" t="str">
            <v>JUDICIAL</v>
          </cell>
          <cell r="L169" t="str">
            <v>0-365</v>
          </cell>
          <cell r="M169" t="str">
            <v>0-365</v>
          </cell>
          <cell r="N169" t="str">
            <v>CASTIGO</v>
          </cell>
        </row>
        <row r="170">
          <cell r="D170">
            <v>2361885</v>
          </cell>
          <cell r="F170">
            <v>57</v>
          </cell>
          <cell r="G170">
            <v>2</v>
          </cell>
          <cell r="H170">
            <v>7145981</v>
          </cell>
          <cell r="I170" t="e">
            <v>#N/A</v>
          </cell>
          <cell r="J170" t="str">
            <v>PHOENIX</v>
          </cell>
          <cell r="K170" t="str">
            <v>JUDICIAL</v>
          </cell>
          <cell r="L170" t="str">
            <v>61-90</v>
          </cell>
          <cell r="M170" t="str">
            <v>31-60</v>
          </cell>
          <cell r="N170" t="str">
            <v>VIGENTE</v>
          </cell>
        </row>
        <row r="171">
          <cell r="D171">
            <v>2369302</v>
          </cell>
          <cell r="E171" t="str">
            <v>Ariel Silva</v>
          </cell>
          <cell r="F171">
            <v>1</v>
          </cell>
          <cell r="H171">
            <v>5129690</v>
          </cell>
          <cell r="I171" t="e">
            <v>#N/A</v>
          </cell>
          <cell r="J171" t="str">
            <v>PHOENIX</v>
          </cell>
          <cell r="K171" t="str">
            <v>JUDICIAL</v>
          </cell>
          <cell r="L171" t="str">
            <v>0-365</v>
          </cell>
          <cell r="M171" t="str">
            <v>0-365</v>
          </cell>
          <cell r="N171" t="str">
            <v>CASTIGO</v>
          </cell>
        </row>
        <row r="172">
          <cell r="D172">
            <v>2377562</v>
          </cell>
          <cell r="F172">
            <v>175</v>
          </cell>
          <cell r="G172">
            <v>6</v>
          </cell>
          <cell r="H172">
            <v>9051440</v>
          </cell>
          <cell r="I172" t="e">
            <v>#N/A</v>
          </cell>
          <cell r="J172" t="str">
            <v>PHOENIX</v>
          </cell>
          <cell r="K172" t="str">
            <v>JUDICIAL</v>
          </cell>
          <cell r="L172" t="str">
            <v>151-180</v>
          </cell>
          <cell r="M172" t="str">
            <v>151-180</v>
          </cell>
          <cell r="N172" t="str">
            <v>VIGENTE</v>
          </cell>
        </row>
        <row r="173">
          <cell r="D173">
            <v>2381394</v>
          </cell>
          <cell r="F173">
            <v>44</v>
          </cell>
          <cell r="G173">
            <v>2</v>
          </cell>
          <cell r="H173">
            <v>4122109</v>
          </cell>
          <cell r="I173" t="e">
            <v>#N/A</v>
          </cell>
          <cell r="J173" t="str">
            <v>PHOENIX</v>
          </cell>
          <cell r="K173" t="str">
            <v>JUDICIAL</v>
          </cell>
          <cell r="L173" t="str">
            <v>31-60</v>
          </cell>
          <cell r="M173" t="str">
            <v>31-60</v>
          </cell>
          <cell r="N173" t="str">
            <v>VIGENTE</v>
          </cell>
        </row>
        <row r="174">
          <cell r="D174">
            <v>2385235</v>
          </cell>
          <cell r="F174">
            <v>180</v>
          </cell>
          <cell r="G174">
            <v>6</v>
          </cell>
          <cell r="H174">
            <v>4986443</v>
          </cell>
          <cell r="I174" t="e">
            <v>#N/A</v>
          </cell>
          <cell r="J174" t="str">
            <v>PHOENIX</v>
          </cell>
          <cell r="K174" t="str">
            <v>JUDICIAL</v>
          </cell>
          <cell r="L174" t="str">
            <v>151-180</v>
          </cell>
          <cell r="M174" t="str">
            <v>151-180</v>
          </cell>
          <cell r="N174" t="str">
            <v>VIGENTE</v>
          </cell>
        </row>
        <row r="175">
          <cell r="D175">
            <v>2387636</v>
          </cell>
          <cell r="E175" t="str">
            <v>Ariel Silva</v>
          </cell>
          <cell r="F175">
            <v>126</v>
          </cell>
          <cell r="H175">
            <v>6640921</v>
          </cell>
          <cell r="I175" t="e">
            <v>#N/A</v>
          </cell>
          <cell r="J175" t="str">
            <v>PHOENIX</v>
          </cell>
          <cell r="K175" t="str">
            <v>JUDICIAL</v>
          </cell>
          <cell r="L175" t="str">
            <v>0-365</v>
          </cell>
          <cell r="M175" t="str">
            <v>0-365</v>
          </cell>
          <cell r="N175" t="str">
            <v>CASTIGO</v>
          </cell>
        </row>
        <row r="176">
          <cell r="D176">
            <v>2388892</v>
          </cell>
          <cell r="E176" t="str">
            <v>Ariel Silva</v>
          </cell>
          <cell r="F176">
            <v>126</v>
          </cell>
          <cell r="H176">
            <v>9061783</v>
          </cell>
          <cell r="I176" t="e">
            <v>#N/A</v>
          </cell>
          <cell r="J176" t="str">
            <v>PHOENIX</v>
          </cell>
          <cell r="K176" t="str">
            <v>JUDICIAL</v>
          </cell>
          <cell r="L176" t="str">
            <v>0-365</v>
          </cell>
          <cell r="M176" t="str">
            <v>0-365</v>
          </cell>
          <cell r="N176" t="str">
            <v>CASTIGO</v>
          </cell>
        </row>
        <row r="177">
          <cell r="D177">
            <v>2390669</v>
          </cell>
          <cell r="F177">
            <v>112</v>
          </cell>
          <cell r="G177">
            <v>4</v>
          </cell>
          <cell r="H177">
            <v>9163075</v>
          </cell>
          <cell r="I177" t="e">
            <v>#N/A</v>
          </cell>
          <cell r="J177" t="str">
            <v>PHOENIX</v>
          </cell>
          <cell r="K177" t="str">
            <v>JUDICIAL</v>
          </cell>
          <cell r="L177" t="str">
            <v>91-120</v>
          </cell>
          <cell r="M177" t="str">
            <v>91-120</v>
          </cell>
          <cell r="N177" t="str">
            <v>VIGENTE</v>
          </cell>
        </row>
        <row r="178">
          <cell r="D178">
            <v>2396322</v>
          </cell>
          <cell r="E178" t="str">
            <v>Ariel Silva</v>
          </cell>
          <cell r="F178">
            <v>126</v>
          </cell>
          <cell r="H178">
            <v>7589257</v>
          </cell>
          <cell r="I178" t="e">
            <v>#N/A</v>
          </cell>
          <cell r="J178" t="str">
            <v>PHOENIX</v>
          </cell>
          <cell r="K178" t="str">
            <v>JUDICIAL</v>
          </cell>
          <cell r="L178" t="str">
            <v>0-365</v>
          </cell>
          <cell r="M178" t="str">
            <v>0-365</v>
          </cell>
          <cell r="N178" t="str">
            <v>CASTIGO</v>
          </cell>
        </row>
        <row r="179">
          <cell r="D179">
            <v>2398643</v>
          </cell>
          <cell r="E179" t="str">
            <v>Ariel Silva</v>
          </cell>
          <cell r="F179">
            <v>279</v>
          </cell>
          <cell r="H179">
            <v>4285479</v>
          </cell>
          <cell r="I179" t="e">
            <v>#N/A</v>
          </cell>
          <cell r="J179" t="str">
            <v>PHOENIX</v>
          </cell>
          <cell r="K179" t="str">
            <v>JUDICIAL</v>
          </cell>
          <cell r="L179" t="str">
            <v>0-365</v>
          </cell>
          <cell r="M179" t="str">
            <v>0-365</v>
          </cell>
          <cell r="N179" t="str">
            <v>CASTIGO</v>
          </cell>
        </row>
        <row r="180">
          <cell r="D180">
            <v>2410360</v>
          </cell>
          <cell r="E180" t="str">
            <v>Ariel Silva</v>
          </cell>
          <cell r="F180">
            <v>217</v>
          </cell>
          <cell r="H180">
            <v>5047680</v>
          </cell>
          <cell r="I180" t="e">
            <v>#N/A</v>
          </cell>
          <cell r="J180" t="str">
            <v>PHOENIX</v>
          </cell>
          <cell r="K180" t="str">
            <v>JUDICIAL</v>
          </cell>
          <cell r="L180" t="str">
            <v>0-365</v>
          </cell>
          <cell r="M180" t="str">
            <v>0-365</v>
          </cell>
          <cell r="N180" t="str">
            <v>CASTIGO</v>
          </cell>
        </row>
        <row r="181">
          <cell r="D181">
            <v>2413831</v>
          </cell>
          <cell r="F181">
            <v>0</v>
          </cell>
          <cell r="H181">
            <v>5357028</v>
          </cell>
          <cell r="I181" t="e">
            <v>#N/A</v>
          </cell>
          <cell r="J181" t="str">
            <v>PHOENIX</v>
          </cell>
          <cell r="K181" t="str">
            <v>JUDICIAL</v>
          </cell>
          <cell r="L181" t="str">
            <v>331-360</v>
          </cell>
          <cell r="M181" t="str">
            <v>361-390</v>
          </cell>
          <cell r="N181" t="str">
            <v>VIGENTE</v>
          </cell>
        </row>
        <row r="182">
          <cell r="D182">
            <v>2415613</v>
          </cell>
          <cell r="F182">
            <v>246</v>
          </cell>
          <cell r="G182">
            <v>9</v>
          </cell>
          <cell r="H182">
            <v>6122876</v>
          </cell>
          <cell r="I182" t="e">
            <v>#N/A</v>
          </cell>
          <cell r="J182" t="str">
            <v>PHOENIX</v>
          </cell>
          <cell r="K182" t="str">
            <v>JUDICIAL</v>
          </cell>
          <cell r="L182" t="str">
            <v>211-240</v>
          </cell>
          <cell r="M182" t="str">
            <v>241-270</v>
          </cell>
          <cell r="N182" t="str">
            <v>VIGENTE</v>
          </cell>
        </row>
        <row r="183">
          <cell r="D183">
            <v>2422377</v>
          </cell>
          <cell r="F183">
            <v>170</v>
          </cell>
          <cell r="G183">
            <v>6</v>
          </cell>
          <cell r="H183">
            <v>3998518</v>
          </cell>
          <cell r="I183" t="e">
            <v>#N/A</v>
          </cell>
          <cell r="J183" t="str">
            <v>PHOENIX</v>
          </cell>
          <cell r="K183" t="str">
            <v>JUDICIAL</v>
          </cell>
          <cell r="L183" t="str">
            <v>151-180</v>
          </cell>
          <cell r="M183" t="str">
            <v>151-180</v>
          </cell>
          <cell r="N183" t="str">
            <v>VIGENTE</v>
          </cell>
        </row>
        <row r="184">
          <cell r="D184">
            <v>2423044</v>
          </cell>
          <cell r="F184">
            <v>38</v>
          </cell>
          <cell r="G184">
            <v>2</v>
          </cell>
          <cell r="H184">
            <v>8237272</v>
          </cell>
          <cell r="I184" t="e">
            <v>#N/A</v>
          </cell>
          <cell r="J184" t="str">
            <v>PHOENIX</v>
          </cell>
          <cell r="K184" t="str">
            <v>JUDICIAL</v>
          </cell>
          <cell r="L184" t="str">
            <v>31-60</v>
          </cell>
          <cell r="M184" t="str">
            <v>31-60</v>
          </cell>
          <cell r="N184" t="str">
            <v>VIGENTE</v>
          </cell>
        </row>
        <row r="185">
          <cell r="D185">
            <v>2430717</v>
          </cell>
          <cell r="F185">
            <v>93</v>
          </cell>
          <cell r="G185">
            <v>4</v>
          </cell>
          <cell r="H185">
            <v>4800098</v>
          </cell>
          <cell r="I185" t="e">
            <v>#N/A</v>
          </cell>
          <cell r="J185" t="str">
            <v>PHOENIX</v>
          </cell>
          <cell r="K185" t="str">
            <v>JUDICIAL</v>
          </cell>
          <cell r="L185" t="str">
            <v>61-90</v>
          </cell>
          <cell r="M185" t="str">
            <v>91-120</v>
          </cell>
          <cell r="N185" t="str">
            <v>VIGENTE</v>
          </cell>
        </row>
        <row r="186">
          <cell r="D186">
            <v>2431101</v>
          </cell>
          <cell r="F186">
            <v>97</v>
          </cell>
          <cell r="G186">
            <v>4</v>
          </cell>
          <cell r="H186">
            <v>5553016</v>
          </cell>
          <cell r="I186" t="e">
            <v>#N/A</v>
          </cell>
          <cell r="J186" t="str">
            <v>PHOENIX</v>
          </cell>
          <cell r="K186" t="str">
            <v>JUDICIAL</v>
          </cell>
          <cell r="L186" t="str">
            <v>91-120</v>
          </cell>
          <cell r="M186" t="str">
            <v>91-120</v>
          </cell>
          <cell r="N186" t="str">
            <v>VIGENTE</v>
          </cell>
        </row>
        <row r="187">
          <cell r="D187">
            <v>2433371</v>
          </cell>
          <cell r="F187">
            <v>219</v>
          </cell>
          <cell r="G187">
            <v>8</v>
          </cell>
          <cell r="H187">
            <v>3232868</v>
          </cell>
          <cell r="I187" t="e">
            <v>#N/A</v>
          </cell>
          <cell r="J187" t="str">
            <v>PHOENIX</v>
          </cell>
          <cell r="K187" t="str">
            <v>JUDICIAL</v>
          </cell>
          <cell r="L187" t="str">
            <v>211-240</v>
          </cell>
          <cell r="M187" t="str">
            <v>211-240</v>
          </cell>
          <cell r="N187" t="str">
            <v>VIGENTE</v>
          </cell>
        </row>
        <row r="188">
          <cell r="D188">
            <v>2438681</v>
          </cell>
          <cell r="F188">
            <v>349</v>
          </cell>
          <cell r="G188">
            <v>12</v>
          </cell>
          <cell r="H188">
            <v>9002072</v>
          </cell>
          <cell r="I188" t="e">
            <v>#N/A</v>
          </cell>
          <cell r="J188" t="str">
            <v>PHOENIX</v>
          </cell>
          <cell r="K188" t="str">
            <v>JUDICIAL</v>
          </cell>
          <cell r="L188" t="str">
            <v>331-360</v>
          </cell>
          <cell r="M188" t="str">
            <v>331-360</v>
          </cell>
          <cell r="N188" t="str">
            <v>VIGENTE</v>
          </cell>
        </row>
        <row r="189">
          <cell r="D189">
            <v>2439077</v>
          </cell>
          <cell r="E189" t="str">
            <v>Ariel Silva</v>
          </cell>
          <cell r="F189">
            <v>370</v>
          </cell>
          <cell r="H189">
            <v>11721353</v>
          </cell>
          <cell r="I189" t="e">
            <v>#N/A</v>
          </cell>
          <cell r="J189" t="str">
            <v>PHOENIX</v>
          </cell>
          <cell r="K189" t="str">
            <v>JUDICIAL</v>
          </cell>
          <cell r="L189" t="str">
            <v>366-730</v>
          </cell>
          <cell r="M189" t="str">
            <v>366-730</v>
          </cell>
          <cell r="N189" t="str">
            <v>CASTIGO</v>
          </cell>
        </row>
        <row r="190">
          <cell r="D190">
            <v>2440458</v>
          </cell>
          <cell r="F190">
            <v>363</v>
          </cell>
          <cell r="G190">
            <v>12</v>
          </cell>
          <cell r="H190">
            <v>3945781</v>
          </cell>
          <cell r="I190" t="e">
            <v>#N/A</v>
          </cell>
          <cell r="J190" t="str">
            <v>PHOENIX</v>
          </cell>
          <cell r="K190" t="str">
            <v>JUDICIAL</v>
          </cell>
          <cell r="L190" t="str">
            <v>331-360</v>
          </cell>
          <cell r="M190" t="str">
            <v>361-390</v>
          </cell>
          <cell r="N190" t="str">
            <v>VIGENTE</v>
          </cell>
        </row>
        <row r="191">
          <cell r="D191">
            <v>2447002</v>
          </cell>
          <cell r="F191">
            <v>45</v>
          </cell>
          <cell r="G191">
            <v>2</v>
          </cell>
          <cell r="H191">
            <v>6099908</v>
          </cell>
          <cell r="I191" t="e">
            <v>#N/A</v>
          </cell>
          <cell r="J191" t="str">
            <v>PHOENIX</v>
          </cell>
          <cell r="K191" t="str">
            <v>JUDICIAL</v>
          </cell>
          <cell r="L191" t="str">
            <v>31-60</v>
          </cell>
          <cell r="M191" t="str">
            <v>31-60</v>
          </cell>
          <cell r="N191" t="str">
            <v>VIGENTE</v>
          </cell>
        </row>
        <row r="192">
          <cell r="D192">
            <v>2448244</v>
          </cell>
          <cell r="F192">
            <v>340</v>
          </cell>
          <cell r="G192">
            <v>12</v>
          </cell>
          <cell r="H192">
            <v>3131096</v>
          </cell>
          <cell r="I192" t="e">
            <v>#N/A</v>
          </cell>
          <cell r="J192" t="str">
            <v>PHOENIX</v>
          </cell>
          <cell r="K192" t="str">
            <v>JUDICIAL</v>
          </cell>
          <cell r="L192" t="str">
            <v>331-360</v>
          </cell>
          <cell r="M192" t="str">
            <v>331-360</v>
          </cell>
          <cell r="N192" t="str">
            <v>VIGENTE</v>
          </cell>
        </row>
        <row r="193">
          <cell r="D193">
            <v>2456670</v>
          </cell>
          <cell r="F193">
            <v>29</v>
          </cell>
          <cell r="G193">
            <v>1</v>
          </cell>
          <cell r="H193">
            <v>6855683</v>
          </cell>
          <cell r="I193" t="e">
            <v>#N/A</v>
          </cell>
          <cell r="J193" t="str">
            <v>PHOENIX</v>
          </cell>
          <cell r="K193" t="str">
            <v>JUDICIAL</v>
          </cell>
          <cell r="L193" t="str">
            <v>1-30</v>
          </cell>
          <cell r="M193" t="str">
            <v>1-30</v>
          </cell>
          <cell r="N193" t="str">
            <v>VIGENTE</v>
          </cell>
        </row>
        <row r="194">
          <cell r="D194">
            <v>2470930</v>
          </cell>
          <cell r="F194">
            <v>265</v>
          </cell>
          <cell r="G194">
            <v>9</v>
          </cell>
          <cell r="H194">
            <v>3998312</v>
          </cell>
          <cell r="I194">
            <v>46048</v>
          </cell>
          <cell r="J194" t="str">
            <v>PHOENIX</v>
          </cell>
          <cell r="K194" t="str">
            <v>JUDICIAL</v>
          </cell>
          <cell r="L194" t="str">
            <v>241-270</v>
          </cell>
          <cell r="M194" t="str">
            <v>241-270</v>
          </cell>
          <cell r="N194" t="str">
            <v>VIGENTE</v>
          </cell>
        </row>
        <row r="195">
          <cell r="D195">
            <v>2472050</v>
          </cell>
          <cell r="F195">
            <v>128</v>
          </cell>
          <cell r="G195">
            <v>5</v>
          </cell>
          <cell r="H195">
            <v>3111972</v>
          </cell>
          <cell r="I195" t="e">
            <v>#N/A</v>
          </cell>
          <cell r="J195" t="str">
            <v>PHOENIX</v>
          </cell>
          <cell r="K195" t="str">
            <v>JUDICIAL</v>
          </cell>
          <cell r="L195" t="str">
            <v>91-120</v>
          </cell>
          <cell r="M195" t="str">
            <v>121-150</v>
          </cell>
          <cell r="N195" t="str">
            <v>VIGENTE</v>
          </cell>
        </row>
        <row r="196">
          <cell r="D196">
            <v>2474882</v>
          </cell>
          <cell r="E196" t="str">
            <v>Ariel Silva</v>
          </cell>
          <cell r="F196">
            <v>217</v>
          </cell>
          <cell r="H196">
            <v>11141587</v>
          </cell>
          <cell r="I196" t="e">
            <v>#N/A</v>
          </cell>
          <cell r="J196" t="str">
            <v>PHOENIX</v>
          </cell>
          <cell r="K196" t="str">
            <v>JUDICIAL</v>
          </cell>
          <cell r="L196" t="str">
            <v>0-365</v>
          </cell>
          <cell r="M196" t="str">
            <v>0-365</v>
          </cell>
          <cell r="N196" t="str">
            <v>CASTIGO</v>
          </cell>
        </row>
        <row r="197">
          <cell r="D197">
            <v>2478704</v>
          </cell>
          <cell r="E197" t="str">
            <v>Ariel Silva</v>
          </cell>
          <cell r="F197">
            <v>64</v>
          </cell>
          <cell r="H197">
            <v>7414851</v>
          </cell>
          <cell r="I197" t="e">
            <v>#N/A</v>
          </cell>
          <cell r="J197" t="str">
            <v>PHOENIX</v>
          </cell>
          <cell r="K197" t="str">
            <v>JUDICIAL</v>
          </cell>
          <cell r="L197" t="str">
            <v>0-365</v>
          </cell>
          <cell r="M197" t="str">
            <v>0-365</v>
          </cell>
          <cell r="N197" t="str">
            <v>CASTIGO</v>
          </cell>
        </row>
        <row r="198">
          <cell r="D198">
            <v>2484335</v>
          </cell>
          <cell r="F198">
            <v>47</v>
          </cell>
          <cell r="G198">
            <v>2</v>
          </cell>
          <cell r="H198">
            <v>9651892</v>
          </cell>
          <cell r="I198" t="e">
            <v>#N/A</v>
          </cell>
          <cell r="J198" t="str">
            <v>PHOENIX</v>
          </cell>
          <cell r="K198" t="str">
            <v>JUDICIAL</v>
          </cell>
          <cell r="L198" t="str">
            <v>31-60</v>
          </cell>
          <cell r="M198" t="str">
            <v>31-60</v>
          </cell>
          <cell r="N198" t="str">
            <v>VIGENTE</v>
          </cell>
        </row>
        <row r="199">
          <cell r="D199">
            <v>2484501</v>
          </cell>
          <cell r="F199">
            <v>66</v>
          </cell>
          <cell r="G199">
            <v>3</v>
          </cell>
          <cell r="H199">
            <v>2978997</v>
          </cell>
          <cell r="I199" t="e">
            <v>#N/A</v>
          </cell>
          <cell r="J199" t="str">
            <v>PHOENIX</v>
          </cell>
          <cell r="K199" t="str">
            <v>JUDICIAL</v>
          </cell>
          <cell r="L199" t="str">
            <v>61-90</v>
          </cell>
          <cell r="M199" t="str">
            <v>61-90</v>
          </cell>
          <cell r="N199" t="str">
            <v>VIGENTE</v>
          </cell>
        </row>
        <row r="200">
          <cell r="D200">
            <v>2487385</v>
          </cell>
          <cell r="E200" t="str">
            <v>Ariel Silva</v>
          </cell>
          <cell r="F200">
            <v>309</v>
          </cell>
          <cell r="H200">
            <v>8900846</v>
          </cell>
          <cell r="I200" t="e">
            <v>#N/A</v>
          </cell>
          <cell r="J200" t="str">
            <v>PHOENIX</v>
          </cell>
          <cell r="K200" t="str">
            <v>JUDICIAL</v>
          </cell>
          <cell r="L200" t="str">
            <v>0-365</v>
          </cell>
          <cell r="M200" t="str">
            <v>0-365</v>
          </cell>
          <cell r="N200" t="str">
            <v>CASTIGO</v>
          </cell>
        </row>
        <row r="201">
          <cell r="D201">
            <v>2499421</v>
          </cell>
          <cell r="E201" t="str">
            <v>Ariel Silva</v>
          </cell>
          <cell r="F201">
            <v>279</v>
          </cell>
          <cell r="H201">
            <v>19468657</v>
          </cell>
          <cell r="I201" t="e">
            <v>#N/A</v>
          </cell>
          <cell r="J201" t="str">
            <v>PHOENIX</v>
          </cell>
          <cell r="K201" t="str">
            <v>JUDICIAL</v>
          </cell>
          <cell r="L201" t="str">
            <v>0-365</v>
          </cell>
          <cell r="M201" t="str">
            <v>0-365</v>
          </cell>
          <cell r="N201" t="str">
            <v>CASTIGO</v>
          </cell>
        </row>
        <row r="202">
          <cell r="D202">
            <v>2501085</v>
          </cell>
          <cell r="F202">
            <v>117</v>
          </cell>
          <cell r="G202">
            <v>4</v>
          </cell>
          <cell r="H202">
            <v>4815105</v>
          </cell>
          <cell r="I202">
            <v>45782</v>
          </cell>
          <cell r="J202" t="str">
            <v>PHOENIX</v>
          </cell>
          <cell r="K202" t="str">
            <v>JUDICIAL</v>
          </cell>
          <cell r="L202" t="str">
            <v>91-120</v>
          </cell>
          <cell r="M202" t="str">
            <v>91-120</v>
          </cell>
          <cell r="N202" t="str">
            <v>VIGENTE</v>
          </cell>
        </row>
        <row r="203">
          <cell r="D203">
            <v>2501797</v>
          </cell>
          <cell r="E203" t="str">
            <v>Ariel Silva</v>
          </cell>
          <cell r="F203">
            <v>309</v>
          </cell>
          <cell r="H203">
            <v>8389751</v>
          </cell>
          <cell r="I203">
            <v>45743</v>
          </cell>
          <cell r="J203" t="str">
            <v>PHOENIX</v>
          </cell>
          <cell r="K203" t="str">
            <v>JUDICIAL</v>
          </cell>
          <cell r="L203" t="str">
            <v>0-365</v>
          </cell>
          <cell r="M203" t="str">
            <v>0-365</v>
          </cell>
          <cell r="N203" t="str">
            <v>CASTIGO</v>
          </cell>
        </row>
        <row r="204">
          <cell r="D204">
            <v>2502847</v>
          </cell>
          <cell r="F204">
            <v>210</v>
          </cell>
          <cell r="G204">
            <v>7</v>
          </cell>
          <cell r="H204">
            <v>5951024</v>
          </cell>
          <cell r="I204" t="e">
            <v>#N/A</v>
          </cell>
          <cell r="J204" t="str">
            <v>PHOENIX</v>
          </cell>
          <cell r="K204" t="str">
            <v>JUDICIAL</v>
          </cell>
          <cell r="L204" t="str">
            <v>181-210</v>
          </cell>
          <cell r="M204" t="str">
            <v>181-210</v>
          </cell>
          <cell r="N204" t="str">
            <v>VIGENTE</v>
          </cell>
        </row>
        <row r="205">
          <cell r="D205">
            <v>2508642</v>
          </cell>
          <cell r="F205">
            <v>29</v>
          </cell>
          <cell r="G205">
            <v>1</v>
          </cell>
          <cell r="H205">
            <v>2839036</v>
          </cell>
          <cell r="I205" t="e">
            <v>#N/A</v>
          </cell>
          <cell r="J205" t="str">
            <v>PHOENIX</v>
          </cell>
          <cell r="K205" t="str">
            <v>JUDICIAL</v>
          </cell>
          <cell r="L205" t="str">
            <v>1-30</v>
          </cell>
          <cell r="M205" t="str">
            <v>1-30</v>
          </cell>
          <cell r="N205" t="str">
            <v>VIGENTE</v>
          </cell>
        </row>
        <row r="206">
          <cell r="D206">
            <v>2514373</v>
          </cell>
          <cell r="E206" t="str">
            <v>Ariel Silva</v>
          </cell>
          <cell r="F206">
            <v>187</v>
          </cell>
          <cell r="H206">
            <v>21434298</v>
          </cell>
          <cell r="I206">
            <v>46054</v>
          </cell>
          <cell r="J206" t="str">
            <v>PHOENIX</v>
          </cell>
          <cell r="K206" t="str">
            <v>JUDICIAL</v>
          </cell>
          <cell r="L206" t="str">
            <v>0-365</v>
          </cell>
          <cell r="M206" t="str">
            <v>0-365</v>
          </cell>
          <cell r="N206" t="str">
            <v>CASTIGO</v>
          </cell>
        </row>
        <row r="207">
          <cell r="D207">
            <v>2516689</v>
          </cell>
          <cell r="F207">
            <v>110</v>
          </cell>
          <cell r="G207">
            <v>4</v>
          </cell>
          <cell r="H207">
            <v>4321199</v>
          </cell>
          <cell r="I207" t="e">
            <v>#N/A</v>
          </cell>
          <cell r="J207" t="str">
            <v>PHOENIX</v>
          </cell>
          <cell r="K207" t="str">
            <v>JUDICIAL</v>
          </cell>
          <cell r="L207" t="str">
            <v>91-120</v>
          </cell>
          <cell r="M207" t="str">
            <v>91-120</v>
          </cell>
          <cell r="N207" t="str">
            <v>VIGENTE</v>
          </cell>
        </row>
        <row r="208">
          <cell r="D208">
            <v>2521831</v>
          </cell>
          <cell r="F208">
            <v>185</v>
          </cell>
          <cell r="G208">
            <v>7</v>
          </cell>
          <cell r="H208">
            <v>3332185</v>
          </cell>
          <cell r="I208" t="e">
            <v>#N/A</v>
          </cell>
          <cell r="J208" t="str">
            <v>PHOENIX</v>
          </cell>
          <cell r="K208" t="str">
            <v>JUDICIAL</v>
          </cell>
          <cell r="L208" t="str">
            <v>151-180</v>
          </cell>
          <cell r="M208" t="str">
            <v>181-210</v>
          </cell>
          <cell r="N208" t="str">
            <v>VIGENTE</v>
          </cell>
        </row>
        <row r="209">
          <cell r="D209">
            <v>2523286</v>
          </cell>
          <cell r="F209">
            <v>62</v>
          </cell>
          <cell r="G209">
            <v>3</v>
          </cell>
          <cell r="H209">
            <v>3890800</v>
          </cell>
          <cell r="I209" t="e">
            <v>#N/A</v>
          </cell>
          <cell r="J209" t="str">
            <v>PHOENIX</v>
          </cell>
          <cell r="K209" t="str">
            <v>JUDICIAL</v>
          </cell>
          <cell r="L209" t="str">
            <v>61-90</v>
          </cell>
          <cell r="M209" t="str">
            <v>61-90</v>
          </cell>
          <cell r="N209" t="str">
            <v>VIGENTE</v>
          </cell>
        </row>
        <row r="210">
          <cell r="D210">
            <v>2535757</v>
          </cell>
          <cell r="E210" t="str">
            <v>Ariel Silva</v>
          </cell>
          <cell r="F210">
            <v>340</v>
          </cell>
          <cell r="H210">
            <v>11878718</v>
          </cell>
          <cell r="I210">
            <v>0</v>
          </cell>
          <cell r="J210" t="str">
            <v>PHOENIX</v>
          </cell>
          <cell r="K210" t="str">
            <v>JUDICIAL</v>
          </cell>
          <cell r="L210" t="str">
            <v>0-365</v>
          </cell>
          <cell r="M210" t="str">
            <v>0-365</v>
          </cell>
          <cell r="N210" t="str">
            <v>CASTIGO</v>
          </cell>
        </row>
        <row r="211">
          <cell r="D211">
            <v>2537349</v>
          </cell>
          <cell r="E211" t="str">
            <v>Ariel Silva</v>
          </cell>
          <cell r="F211">
            <v>64</v>
          </cell>
          <cell r="H211">
            <v>11690180</v>
          </cell>
          <cell r="I211" t="e">
            <v>#N/A</v>
          </cell>
          <cell r="J211" t="str">
            <v>PHOENIX</v>
          </cell>
          <cell r="K211" t="str">
            <v>JUDICIAL</v>
          </cell>
          <cell r="L211" t="str">
            <v>0-365</v>
          </cell>
          <cell r="M211" t="str">
            <v>0-365</v>
          </cell>
          <cell r="N211" t="str">
            <v>CASTIGO</v>
          </cell>
        </row>
        <row r="212">
          <cell r="D212">
            <v>2543715</v>
          </cell>
          <cell r="F212">
            <v>149</v>
          </cell>
          <cell r="G212">
            <v>5</v>
          </cell>
          <cell r="H212">
            <v>3933933</v>
          </cell>
          <cell r="I212" t="e">
            <v>#N/A</v>
          </cell>
          <cell r="J212" t="str">
            <v>PHOENIX</v>
          </cell>
          <cell r="K212" t="str">
            <v>JUDICIAL</v>
          </cell>
          <cell r="L212" t="str">
            <v>121-150</v>
          </cell>
          <cell r="M212" t="str">
            <v>121-150</v>
          </cell>
          <cell r="N212" t="str">
            <v>VIGENTE</v>
          </cell>
        </row>
        <row r="213">
          <cell r="D213">
            <v>2545735</v>
          </cell>
          <cell r="F213">
            <v>175</v>
          </cell>
          <cell r="G213">
            <v>6</v>
          </cell>
          <cell r="H213">
            <v>7093850</v>
          </cell>
          <cell r="I213" t="e">
            <v>#N/A</v>
          </cell>
          <cell r="J213" t="str">
            <v>PHOENIX</v>
          </cell>
          <cell r="K213" t="str">
            <v>JUDICIAL</v>
          </cell>
          <cell r="L213" t="str">
            <v>151-180</v>
          </cell>
          <cell r="M213" t="str">
            <v>151-180</v>
          </cell>
          <cell r="N213" t="str">
            <v>VIGENTE</v>
          </cell>
        </row>
        <row r="214">
          <cell r="D214">
            <v>2545904</v>
          </cell>
          <cell r="F214">
            <v>34</v>
          </cell>
          <cell r="G214">
            <v>2</v>
          </cell>
          <cell r="H214">
            <v>4376659</v>
          </cell>
          <cell r="I214" t="e">
            <v>#N/A</v>
          </cell>
          <cell r="J214" t="str">
            <v>PHOENIX</v>
          </cell>
          <cell r="K214" t="str">
            <v>JUDICIAL</v>
          </cell>
          <cell r="L214" t="str">
            <v>1-30</v>
          </cell>
          <cell r="M214" t="str">
            <v>31-60</v>
          </cell>
          <cell r="N214" t="str">
            <v>VIGENTE</v>
          </cell>
        </row>
        <row r="215">
          <cell r="D215">
            <v>2548154</v>
          </cell>
          <cell r="E215" t="str">
            <v>Ariel Silva</v>
          </cell>
          <cell r="F215">
            <v>279</v>
          </cell>
          <cell r="H215">
            <v>15167906</v>
          </cell>
          <cell r="I215" t="e">
            <v>#N/A</v>
          </cell>
          <cell r="J215" t="str">
            <v>PHOENIX</v>
          </cell>
          <cell r="K215" t="str">
            <v>JUDICIAL</v>
          </cell>
          <cell r="L215" t="str">
            <v>0-365</v>
          </cell>
          <cell r="M215" t="str">
            <v>0-365</v>
          </cell>
          <cell r="N215" t="str">
            <v>CASTIGO</v>
          </cell>
        </row>
        <row r="216">
          <cell r="D216">
            <v>2550653</v>
          </cell>
          <cell r="F216">
            <v>333</v>
          </cell>
          <cell r="G216">
            <v>11</v>
          </cell>
          <cell r="H216">
            <v>5460482</v>
          </cell>
          <cell r="I216">
            <v>46054</v>
          </cell>
          <cell r="J216" t="str">
            <v>PHOENIX</v>
          </cell>
          <cell r="K216" t="str">
            <v>JUDICIAL</v>
          </cell>
          <cell r="L216" t="str">
            <v>301-330</v>
          </cell>
          <cell r="M216" t="str">
            <v>331-360</v>
          </cell>
          <cell r="N216" t="str">
            <v>VIGENTE</v>
          </cell>
        </row>
        <row r="217">
          <cell r="D217">
            <v>2554756</v>
          </cell>
          <cell r="E217" t="str">
            <v>Ariel Silva</v>
          </cell>
          <cell r="F217">
            <v>309</v>
          </cell>
          <cell r="H217">
            <v>19842461</v>
          </cell>
          <cell r="I217">
            <v>45769</v>
          </cell>
          <cell r="J217" t="str">
            <v>PHOENIX</v>
          </cell>
          <cell r="K217" t="str">
            <v>JUDICIAL</v>
          </cell>
          <cell r="L217" t="str">
            <v>0-365</v>
          </cell>
          <cell r="M217" t="str">
            <v>0-365</v>
          </cell>
          <cell r="N217" t="str">
            <v>CASTIGO</v>
          </cell>
        </row>
        <row r="218">
          <cell r="D218">
            <v>2558898</v>
          </cell>
          <cell r="F218">
            <v>175</v>
          </cell>
          <cell r="G218">
            <v>6</v>
          </cell>
          <cell r="H218">
            <v>23586639</v>
          </cell>
          <cell r="I218" t="e">
            <v>#N/A</v>
          </cell>
          <cell r="J218" t="str">
            <v>PHOENIX</v>
          </cell>
          <cell r="K218" t="str">
            <v>JUDICIAL</v>
          </cell>
          <cell r="L218" t="str">
            <v>151-180</v>
          </cell>
          <cell r="M218" t="str">
            <v>151-180</v>
          </cell>
          <cell r="N218" t="str">
            <v>VIGENTE</v>
          </cell>
        </row>
        <row r="219">
          <cell r="D219">
            <v>2567747</v>
          </cell>
          <cell r="F219">
            <v>149</v>
          </cell>
          <cell r="G219">
            <v>5</v>
          </cell>
          <cell r="H219">
            <v>9276672</v>
          </cell>
          <cell r="I219" t="e">
            <v>#N/A</v>
          </cell>
          <cell r="J219" t="str">
            <v>PHOENIX</v>
          </cell>
          <cell r="K219" t="str">
            <v>JUDICIAL</v>
          </cell>
          <cell r="L219" t="str">
            <v>121-150</v>
          </cell>
          <cell r="M219" t="str">
            <v>121-150</v>
          </cell>
          <cell r="N219" t="str">
            <v>VIGENTE</v>
          </cell>
        </row>
        <row r="220">
          <cell r="D220">
            <v>2577744</v>
          </cell>
          <cell r="E220" t="str">
            <v>Ariel Silva</v>
          </cell>
          <cell r="F220">
            <v>126</v>
          </cell>
          <cell r="H220">
            <v>4324898</v>
          </cell>
          <cell r="I220" t="e">
            <v>#N/A</v>
          </cell>
          <cell r="J220" t="str">
            <v>PHOENIX</v>
          </cell>
          <cell r="K220" t="str">
            <v>JUDICIAL</v>
          </cell>
          <cell r="L220" t="str">
            <v>0-365</v>
          </cell>
          <cell r="M220" t="str">
            <v>0-365</v>
          </cell>
          <cell r="N220" t="str">
            <v>CASTIGO</v>
          </cell>
        </row>
        <row r="221">
          <cell r="D221">
            <v>2578418</v>
          </cell>
          <cell r="F221">
            <v>154</v>
          </cell>
          <cell r="G221">
            <v>6</v>
          </cell>
          <cell r="H221">
            <v>3374696</v>
          </cell>
          <cell r="I221" t="e">
            <v>#N/A</v>
          </cell>
          <cell r="J221" t="str">
            <v>PHOENIX</v>
          </cell>
          <cell r="K221" t="str">
            <v>JUDICIAL</v>
          </cell>
          <cell r="L221" t="str">
            <v>121-150</v>
          </cell>
          <cell r="M221" t="str">
            <v>151-180</v>
          </cell>
          <cell r="N221" t="str">
            <v>VIGENTE</v>
          </cell>
        </row>
        <row r="222">
          <cell r="D222">
            <v>2578434</v>
          </cell>
          <cell r="E222" t="str">
            <v>Ariel Silva</v>
          </cell>
          <cell r="F222">
            <v>279</v>
          </cell>
          <cell r="H222">
            <v>9737672</v>
          </cell>
          <cell r="I222" t="e">
            <v>#N/A</v>
          </cell>
          <cell r="J222" t="str">
            <v>PHOENIX</v>
          </cell>
          <cell r="K222" t="str">
            <v>JUDICIAL</v>
          </cell>
          <cell r="L222" t="str">
            <v>0-365</v>
          </cell>
          <cell r="M222" t="str">
            <v>0-365</v>
          </cell>
          <cell r="N222" t="str">
            <v>CASTIGO</v>
          </cell>
        </row>
        <row r="223">
          <cell r="D223">
            <v>2582129</v>
          </cell>
          <cell r="E223" t="str">
            <v>Ariel Silva</v>
          </cell>
          <cell r="F223">
            <v>187</v>
          </cell>
          <cell r="H223">
            <v>12525585</v>
          </cell>
          <cell r="I223" t="e">
            <v>#N/A</v>
          </cell>
          <cell r="J223" t="str">
            <v>PHOENIX</v>
          </cell>
          <cell r="K223" t="str">
            <v>JUDICIAL</v>
          </cell>
          <cell r="L223" t="str">
            <v>0-365</v>
          </cell>
          <cell r="M223" t="str">
            <v>0-365</v>
          </cell>
          <cell r="N223" t="str">
            <v>CASTIGO</v>
          </cell>
        </row>
        <row r="224">
          <cell r="D224">
            <v>2582136</v>
          </cell>
          <cell r="F224">
            <v>277</v>
          </cell>
          <cell r="G224">
            <v>3</v>
          </cell>
          <cell r="H224">
            <v>7598197</v>
          </cell>
          <cell r="I224" t="e">
            <v>#N/A</v>
          </cell>
          <cell r="J224" t="str">
            <v>PHOENIX</v>
          </cell>
          <cell r="K224" t="str">
            <v>JUDICIAL</v>
          </cell>
          <cell r="L224" t="str">
            <v>241-270</v>
          </cell>
          <cell r="M224" t="str">
            <v>271-300</v>
          </cell>
          <cell r="N224" t="str">
            <v>VIGENTE</v>
          </cell>
        </row>
        <row r="225">
          <cell r="D225">
            <v>2600335</v>
          </cell>
          <cell r="F225">
            <v>185</v>
          </cell>
          <cell r="G225">
            <v>7</v>
          </cell>
          <cell r="H225">
            <v>6858419</v>
          </cell>
          <cell r="I225" t="e">
            <v>#N/A</v>
          </cell>
          <cell r="J225" t="str">
            <v>PHOENIX</v>
          </cell>
          <cell r="K225" t="str">
            <v>JUDICIAL</v>
          </cell>
          <cell r="L225" t="str">
            <v>151-180</v>
          </cell>
          <cell r="M225" t="str">
            <v>181-210</v>
          </cell>
          <cell r="N225" t="str">
            <v>VIGENTE</v>
          </cell>
        </row>
        <row r="226">
          <cell r="D226">
            <v>2606899</v>
          </cell>
          <cell r="F226">
            <v>250</v>
          </cell>
          <cell r="G226">
            <v>9</v>
          </cell>
          <cell r="H226">
            <v>5726742</v>
          </cell>
          <cell r="I226" t="e">
            <v>#N/A</v>
          </cell>
          <cell r="J226" t="str">
            <v>PHOENIX</v>
          </cell>
          <cell r="K226" t="str">
            <v>JUDICIAL</v>
          </cell>
          <cell r="L226" t="str">
            <v>241-270</v>
          </cell>
          <cell r="M226" t="str">
            <v>241-270</v>
          </cell>
          <cell r="N226" t="str">
            <v>VIGENTE</v>
          </cell>
        </row>
        <row r="227">
          <cell r="D227">
            <v>2613197</v>
          </cell>
          <cell r="E227" t="str">
            <v>Ariel Silva</v>
          </cell>
          <cell r="F227">
            <v>187</v>
          </cell>
          <cell r="H227">
            <v>7811342</v>
          </cell>
          <cell r="I227" t="e">
            <v>#N/A</v>
          </cell>
          <cell r="J227" t="str">
            <v>PHOENIX</v>
          </cell>
          <cell r="K227" t="str">
            <v>JUDICIAL</v>
          </cell>
          <cell r="L227" t="str">
            <v>0-365</v>
          </cell>
          <cell r="M227" t="str">
            <v>0-365</v>
          </cell>
          <cell r="N227" t="str">
            <v>CASTIGO</v>
          </cell>
        </row>
        <row r="228">
          <cell r="D228">
            <v>2615972</v>
          </cell>
          <cell r="F228">
            <v>229</v>
          </cell>
          <cell r="G228">
            <v>1</v>
          </cell>
          <cell r="H228">
            <v>4267690</v>
          </cell>
          <cell r="I228" t="e">
            <v>#N/A</v>
          </cell>
          <cell r="J228" t="str">
            <v>PHOENIX</v>
          </cell>
          <cell r="K228" t="str">
            <v>JUDICIAL</v>
          </cell>
          <cell r="L228" t="str">
            <v>211-240</v>
          </cell>
          <cell r="M228" t="str">
            <v>211-240</v>
          </cell>
          <cell r="N228" t="str">
            <v>VIGENTE</v>
          </cell>
        </row>
        <row r="229">
          <cell r="D229">
            <v>2623734</v>
          </cell>
          <cell r="F229">
            <v>158</v>
          </cell>
          <cell r="G229">
            <v>6</v>
          </cell>
          <cell r="H229">
            <v>5256992</v>
          </cell>
          <cell r="I229" t="e">
            <v>#N/A</v>
          </cell>
          <cell r="J229" t="str">
            <v>PHOENIX</v>
          </cell>
          <cell r="K229" t="str">
            <v>JUDICIAL</v>
          </cell>
          <cell r="L229" t="str">
            <v>121-150</v>
          </cell>
          <cell r="M229" t="str">
            <v>151-180</v>
          </cell>
          <cell r="N229" t="str">
            <v>VIGENTE</v>
          </cell>
        </row>
        <row r="230">
          <cell r="D230">
            <v>2642200</v>
          </cell>
          <cell r="E230" t="str">
            <v>Ariel Silva</v>
          </cell>
          <cell r="F230">
            <v>1</v>
          </cell>
          <cell r="H230">
            <v>6213630</v>
          </cell>
          <cell r="I230" t="e">
            <v>#N/A</v>
          </cell>
          <cell r="J230" t="str">
            <v>PHOENIX</v>
          </cell>
          <cell r="K230" t="str">
            <v>JUDICIAL</v>
          </cell>
          <cell r="L230" t="str">
            <v>0-365</v>
          </cell>
          <cell r="M230" t="str">
            <v>0-365</v>
          </cell>
          <cell r="N230" t="str">
            <v>CASTIGO</v>
          </cell>
        </row>
        <row r="231">
          <cell r="D231">
            <v>2645056</v>
          </cell>
          <cell r="E231" t="str">
            <v>Ariel Silva</v>
          </cell>
          <cell r="F231">
            <v>95</v>
          </cell>
          <cell r="H231">
            <v>16611407</v>
          </cell>
          <cell r="I231">
            <v>45925</v>
          </cell>
          <cell r="J231" t="str">
            <v>PHOENIX</v>
          </cell>
          <cell r="K231" t="str">
            <v>JUDICIAL</v>
          </cell>
          <cell r="L231" t="str">
            <v>0-365</v>
          </cell>
          <cell r="M231" t="str">
            <v>0-365</v>
          </cell>
          <cell r="N231" t="str">
            <v>CASTIGO</v>
          </cell>
        </row>
        <row r="232">
          <cell r="D232">
            <v>2655575</v>
          </cell>
          <cell r="F232">
            <v>302</v>
          </cell>
          <cell r="G232">
            <v>10</v>
          </cell>
          <cell r="H232">
            <v>5866185</v>
          </cell>
          <cell r="I232" t="e">
            <v>#N/A</v>
          </cell>
          <cell r="J232" t="str">
            <v>PHOENIX</v>
          </cell>
          <cell r="K232" t="str">
            <v>JUDICIAL</v>
          </cell>
          <cell r="L232" t="str">
            <v>271-300</v>
          </cell>
          <cell r="M232" t="str">
            <v>301-330</v>
          </cell>
          <cell r="N232" t="str">
            <v>VIGENTE</v>
          </cell>
        </row>
        <row r="233">
          <cell r="D233">
            <v>2663330</v>
          </cell>
          <cell r="E233" t="str">
            <v>Ariel Silva</v>
          </cell>
          <cell r="F233">
            <v>401</v>
          </cell>
          <cell r="H233">
            <v>14089202</v>
          </cell>
          <cell r="I233">
            <v>46054</v>
          </cell>
          <cell r="J233" t="str">
            <v>PHOENIX</v>
          </cell>
          <cell r="K233" t="str">
            <v>JUDICIAL</v>
          </cell>
          <cell r="L233" t="str">
            <v>366-730</v>
          </cell>
          <cell r="M233" t="str">
            <v>366-730</v>
          </cell>
          <cell r="N233" t="str">
            <v>CASTIGO</v>
          </cell>
        </row>
        <row r="234">
          <cell r="D234">
            <v>2668943</v>
          </cell>
          <cell r="F234">
            <v>0</v>
          </cell>
          <cell r="H234">
            <v>10655134</v>
          </cell>
          <cell r="I234" t="e">
            <v>#N/A</v>
          </cell>
          <cell r="J234" t="str">
            <v>PHOENIX</v>
          </cell>
          <cell r="K234" t="str">
            <v>JUDICIAL</v>
          </cell>
          <cell r="L234" t="str">
            <v>361-390</v>
          </cell>
          <cell r="M234" t="str">
            <v>361-390</v>
          </cell>
          <cell r="N234" t="str">
            <v>VIGENTE</v>
          </cell>
        </row>
        <row r="235">
          <cell r="D235">
            <v>2671637</v>
          </cell>
          <cell r="F235">
            <v>57</v>
          </cell>
          <cell r="G235">
            <v>2</v>
          </cell>
          <cell r="H235">
            <v>6664770</v>
          </cell>
          <cell r="I235" t="e">
            <v>#N/A</v>
          </cell>
          <cell r="J235" t="str">
            <v>PHOENIX</v>
          </cell>
          <cell r="K235" t="str">
            <v>JUDICIAL</v>
          </cell>
          <cell r="L235" t="str">
            <v>151-180</v>
          </cell>
          <cell r="M235" t="str">
            <v>31-60</v>
          </cell>
          <cell r="N235" t="str">
            <v>VIGENTE</v>
          </cell>
        </row>
        <row r="236">
          <cell r="D236">
            <v>2671652</v>
          </cell>
          <cell r="F236">
            <v>34</v>
          </cell>
          <cell r="G236">
            <v>2</v>
          </cell>
          <cell r="H236">
            <v>9854467</v>
          </cell>
          <cell r="I236" t="e">
            <v>#N/A</v>
          </cell>
          <cell r="J236" t="str">
            <v>PHOENIX</v>
          </cell>
          <cell r="K236" t="str">
            <v>JUDICIAL</v>
          </cell>
          <cell r="L236" t="str">
            <v>31-60</v>
          </cell>
          <cell r="M236" t="str">
            <v>31-60</v>
          </cell>
          <cell r="N236" t="str">
            <v>VIGENTE</v>
          </cell>
        </row>
        <row r="237">
          <cell r="D237">
            <v>2673094</v>
          </cell>
          <cell r="E237" t="str">
            <v>Ariel Silva</v>
          </cell>
          <cell r="F237">
            <v>1</v>
          </cell>
          <cell r="H237">
            <v>9694975</v>
          </cell>
          <cell r="I237" t="e">
            <v>#N/A</v>
          </cell>
          <cell r="J237" t="str">
            <v>PHOENIX</v>
          </cell>
          <cell r="K237" t="str">
            <v>JUDICIAL</v>
          </cell>
          <cell r="L237" t="str">
            <v>0-365</v>
          </cell>
          <cell r="M237" t="str">
            <v>0-365</v>
          </cell>
          <cell r="N237" t="str">
            <v>CASTIGO</v>
          </cell>
        </row>
        <row r="238">
          <cell r="D238">
            <v>2675827</v>
          </cell>
          <cell r="E238" t="str">
            <v>Ariel Silva</v>
          </cell>
          <cell r="F238">
            <v>1</v>
          </cell>
          <cell r="H238">
            <v>4540946</v>
          </cell>
          <cell r="I238" t="e">
            <v>#N/A</v>
          </cell>
          <cell r="J238" t="str">
            <v>PHOENIX</v>
          </cell>
          <cell r="K238" t="str">
            <v>JUDICIAL</v>
          </cell>
          <cell r="L238" t="str">
            <v>0-365</v>
          </cell>
          <cell r="M238" t="str">
            <v>0-365</v>
          </cell>
          <cell r="N238" t="str">
            <v>CASTIGO</v>
          </cell>
        </row>
        <row r="239">
          <cell r="D239">
            <v>2678162</v>
          </cell>
          <cell r="F239">
            <v>154</v>
          </cell>
          <cell r="G239">
            <v>6</v>
          </cell>
          <cell r="H239">
            <v>9165757</v>
          </cell>
          <cell r="I239" t="e">
            <v>#N/A</v>
          </cell>
          <cell r="J239" t="str">
            <v>PHOENIX</v>
          </cell>
          <cell r="K239" t="str">
            <v>JUDICIAL</v>
          </cell>
          <cell r="L239" t="str">
            <v>121-150</v>
          </cell>
          <cell r="M239" t="str">
            <v>151-180</v>
          </cell>
          <cell r="N239" t="str">
            <v>VIGENTE</v>
          </cell>
        </row>
        <row r="240">
          <cell r="D240">
            <v>2678831</v>
          </cell>
          <cell r="F240">
            <v>88</v>
          </cell>
          <cell r="G240">
            <v>3</v>
          </cell>
          <cell r="H240">
            <v>3435921</v>
          </cell>
          <cell r="I240">
            <v>46054</v>
          </cell>
          <cell r="J240" t="str">
            <v>PHOENIX</v>
          </cell>
          <cell r="K240" t="str">
            <v>JUDICIAL</v>
          </cell>
          <cell r="L240" t="str">
            <v>61-90</v>
          </cell>
          <cell r="M240" t="str">
            <v>61-90</v>
          </cell>
          <cell r="N240" t="str">
            <v>VIGENTE</v>
          </cell>
        </row>
        <row r="241">
          <cell r="D241">
            <v>2678909</v>
          </cell>
          <cell r="E241" t="str">
            <v>Ariel Silva</v>
          </cell>
          <cell r="F241">
            <v>126</v>
          </cell>
          <cell r="H241">
            <v>5062075</v>
          </cell>
          <cell r="I241">
            <v>45953</v>
          </cell>
          <cell r="J241" t="str">
            <v>PHOENIX</v>
          </cell>
          <cell r="K241" t="str">
            <v>JUDICIAL</v>
          </cell>
          <cell r="L241" t="str">
            <v>0-365</v>
          </cell>
          <cell r="M241" t="str">
            <v>0-365</v>
          </cell>
          <cell r="N241" t="str">
            <v>CASTIGO</v>
          </cell>
        </row>
        <row r="242">
          <cell r="D242">
            <v>2683379</v>
          </cell>
          <cell r="F242">
            <v>156</v>
          </cell>
          <cell r="G242">
            <v>6</v>
          </cell>
          <cell r="H242">
            <v>4453523</v>
          </cell>
          <cell r="I242" t="e">
            <v>#N/A</v>
          </cell>
          <cell r="J242" t="str">
            <v>PHOENIX</v>
          </cell>
          <cell r="K242" t="str">
            <v>JUDICIAL</v>
          </cell>
          <cell r="L242" t="str">
            <v>121-150</v>
          </cell>
          <cell r="M242" t="str">
            <v>151-180</v>
          </cell>
          <cell r="N242" t="str">
            <v>VIGENTE</v>
          </cell>
        </row>
        <row r="243">
          <cell r="D243">
            <v>2685964</v>
          </cell>
          <cell r="F243">
            <v>0</v>
          </cell>
          <cell r="G243">
            <v>0</v>
          </cell>
          <cell r="H243">
            <v>5213455</v>
          </cell>
          <cell r="I243" t="e">
            <v>#N/A</v>
          </cell>
          <cell r="J243" t="str">
            <v>PHOENIX</v>
          </cell>
          <cell r="K243" t="str">
            <v>JUDICIAL</v>
          </cell>
          <cell r="L243" t="str">
            <v>1-30</v>
          </cell>
          <cell r="M243" t="str">
            <v>AL DIA</v>
          </cell>
          <cell r="N243" t="str">
            <v>VIGENTE</v>
          </cell>
        </row>
        <row r="244">
          <cell r="D244">
            <v>2690834</v>
          </cell>
          <cell r="E244" t="str">
            <v>Ariel Silva</v>
          </cell>
          <cell r="F244">
            <v>370</v>
          </cell>
          <cell r="H244">
            <v>10261073</v>
          </cell>
          <cell r="I244" t="e">
            <v>#N/A</v>
          </cell>
          <cell r="J244" t="str">
            <v>PHOENIX</v>
          </cell>
          <cell r="K244" t="str">
            <v>JUDICIAL</v>
          </cell>
          <cell r="L244" t="str">
            <v>366-730</v>
          </cell>
          <cell r="M244" t="str">
            <v>366-730</v>
          </cell>
          <cell r="N244" t="str">
            <v>CASTIGO</v>
          </cell>
        </row>
        <row r="245">
          <cell r="D245">
            <v>2699951</v>
          </cell>
          <cell r="E245" t="str">
            <v>Ariel Silva</v>
          </cell>
          <cell r="F245">
            <v>64</v>
          </cell>
          <cell r="H245">
            <v>10007396</v>
          </cell>
          <cell r="I245" t="e">
            <v>#N/A</v>
          </cell>
          <cell r="J245" t="str">
            <v>PHOENIX</v>
          </cell>
          <cell r="K245" t="str">
            <v>JUDICIAL</v>
          </cell>
          <cell r="L245" t="str">
            <v>0-365</v>
          </cell>
          <cell r="M245" t="str">
            <v>0-365</v>
          </cell>
          <cell r="N245" t="str">
            <v>CASTIGO</v>
          </cell>
        </row>
        <row r="246">
          <cell r="D246">
            <v>2709871</v>
          </cell>
          <cell r="F246">
            <v>52</v>
          </cell>
          <cell r="G246">
            <v>2</v>
          </cell>
          <cell r="H246">
            <v>2312548</v>
          </cell>
          <cell r="I246" t="e">
            <v>#N/A</v>
          </cell>
          <cell r="J246" t="str">
            <v>PHOENIX</v>
          </cell>
          <cell r="K246" t="str">
            <v>JUDICIAL</v>
          </cell>
          <cell r="L246" t="str">
            <v>31-60</v>
          </cell>
          <cell r="M246" t="str">
            <v>31-60</v>
          </cell>
          <cell r="N246" t="str">
            <v>VIGENTE</v>
          </cell>
        </row>
        <row r="247">
          <cell r="D247">
            <v>2710716</v>
          </cell>
          <cell r="F247">
            <v>57</v>
          </cell>
          <cell r="G247">
            <v>2</v>
          </cell>
          <cell r="H247">
            <v>4977073</v>
          </cell>
          <cell r="I247" t="e">
            <v>#N/A</v>
          </cell>
          <cell r="J247" t="str">
            <v>PHOENIX</v>
          </cell>
          <cell r="K247" t="str">
            <v>JUDICIAL</v>
          </cell>
          <cell r="L247" t="str">
            <v>31-60</v>
          </cell>
          <cell r="M247" t="str">
            <v>31-60</v>
          </cell>
          <cell r="N247" t="str">
            <v>VIGENTE</v>
          </cell>
        </row>
        <row r="248">
          <cell r="D248">
            <v>2724801</v>
          </cell>
          <cell r="F248">
            <v>250</v>
          </cell>
          <cell r="G248">
            <v>9</v>
          </cell>
          <cell r="H248">
            <v>6101251</v>
          </cell>
          <cell r="I248" t="e">
            <v>#N/A</v>
          </cell>
          <cell r="J248" t="str">
            <v>PHOENIX</v>
          </cell>
          <cell r="K248" t="str">
            <v>JUDICIAL</v>
          </cell>
          <cell r="L248" t="str">
            <v>241-270</v>
          </cell>
          <cell r="M248" t="str">
            <v>241-270</v>
          </cell>
          <cell r="N248" t="str">
            <v>VIGENTE</v>
          </cell>
        </row>
        <row r="249">
          <cell r="D249">
            <v>2740588</v>
          </cell>
          <cell r="E249" t="str">
            <v>Ariel Silva</v>
          </cell>
          <cell r="F249">
            <v>126</v>
          </cell>
          <cell r="H249">
            <v>9109254</v>
          </cell>
          <cell r="I249">
            <v>46097</v>
          </cell>
          <cell r="J249" t="str">
            <v>PHOENIX</v>
          </cell>
          <cell r="K249" t="str">
            <v>JUDICIAL</v>
          </cell>
          <cell r="L249" t="str">
            <v>0-365</v>
          </cell>
          <cell r="M249" t="str">
            <v>0-365</v>
          </cell>
          <cell r="N249" t="str">
            <v>CASTIGO</v>
          </cell>
        </row>
        <row r="250">
          <cell r="D250">
            <v>2741702</v>
          </cell>
          <cell r="F250">
            <v>33</v>
          </cell>
          <cell r="G250">
            <v>2</v>
          </cell>
          <cell r="H250">
            <v>6009402</v>
          </cell>
          <cell r="I250" t="e">
            <v>#N/A</v>
          </cell>
          <cell r="J250" t="str">
            <v>PHOENIX</v>
          </cell>
          <cell r="K250" t="str">
            <v>JUDICIAL</v>
          </cell>
          <cell r="L250" t="str">
            <v>31-60</v>
          </cell>
          <cell r="M250" t="str">
            <v>31-60</v>
          </cell>
          <cell r="N250" t="str">
            <v>VIGENTE</v>
          </cell>
        </row>
        <row r="251">
          <cell r="D251">
            <v>2742999</v>
          </cell>
          <cell r="F251">
            <v>241</v>
          </cell>
          <cell r="G251">
            <v>8</v>
          </cell>
          <cell r="H251">
            <v>4871567</v>
          </cell>
          <cell r="I251" t="e">
            <v>#N/A</v>
          </cell>
          <cell r="J251" t="str">
            <v>PHOENIX</v>
          </cell>
          <cell r="K251" t="str">
            <v>JUDICIAL</v>
          </cell>
          <cell r="L251" t="str">
            <v>211-240</v>
          </cell>
          <cell r="M251" t="str">
            <v>241-270</v>
          </cell>
          <cell r="N251" t="str">
            <v>VIGENTE</v>
          </cell>
        </row>
        <row r="252">
          <cell r="D252">
            <v>2748236</v>
          </cell>
          <cell r="F252">
            <v>86</v>
          </cell>
          <cell r="G252">
            <v>3</v>
          </cell>
          <cell r="H252">
            <v>4401779</v>
          </cell>
          <cell r="I252" t="e">
            <v>#N/A</v>
          </cell>
          <cell r="J252" t="str">
            <v>PHOENIX</v>
          </cell>
          <cell r="K252" t="str">
            <v>JUDICIAL</v>
          </cell>
          <cell r="L252" t="str">
            <v>61-90</v>
          </cell>
          <cell r="M252" t="str">
            <v>61-90</v>
          </cell>
          <cell r="N252" t="str">
            <v>VIGENTE</v>
          </cell>
        </row>
        <row r="253">
          <cell r="D253">
            <v>2749966</v>
          </cell>
          <cell r="E253" t="str">
            <v>Ariel Silva</v>
          </cell>
          <cell r="F253">
            <v>64</v>
          </cell>
          <cell r="H253">
            <v>11670690</v>
          </cell>
          <cell r="I253">
            <v>46017</v>
          </cell>
          <cell r="J253" t="str">
            <v>PHOENIX</v>
          </cell>
          <cell r="K253" t="str">
            <v>JUDICIAL</v>
          </cell>
          <cell r="L253" t="str">
            <v>0-365</v>
          </cell>
          <cell r="M253" t="str">
            <v>0-365</v>
          </cell>
          <cell r="N253" t="str">
            <v>CASTIGO</v>
          </cell>
        </row>
        <row r="254">
          <cell r="D254">
            <v>2751867</v>
          </cell>
          <cell r="E254" t="str">
            <v>Ariel Silva</v>
          </cell>
          <cell r="F254">
            <v>95</v>
          </cell>
          <cell r="H254">
            <v>5982190</v>
          </cell>
          <cell r="I254">
            <v>46105</v>
          </cell>
          <cell r="J254" t="str">
            <v>PHOENIX</v>
          </cell>
          <cell r="K254" t="str">
            <v>JUDICIAL</v>
          </cell>
          <cell r="L254" t="str">
            <v>0-365</v>
          </cell>
          <cell r="M254" t="str">
            <v>0-365</v>
          </cell>
          <cell r="N254" t="str">
            <v>CASTIGO</v>
          </cell>
        </row>
        <row r="255">
          <cell r="D255">
            <v>2753455</v>
          </cell>
          <cell r="E255" t="str">
            <v>Ariel Silva</v>
          </cell>
          <cell r="F255">
            <v>156</v>
          </cell>
          <cell r="H255">
            <v>10000175</v>
          </cell>
          <cell r="I255" t="e">
            <v>#N/A</v>
          </cell>
          <cell r="J255" t="str">
            <v>PHOENIX</v>
          </cell>
          <cell r="K255" t="str">
            <v>JUDICIAL</v>
          </cell>
          <cell r="L255" t="str">
            <v>0-365</v>
          </cell>
          <cell r="M255" t="str">
            <v>0-365</v>
          </cell>
          <cell r="N255" t="str">
            <v>CASTIGO</v>
          </cell>
        </row>
        <row r="256">
          <cell r="D256">
            <v>2757617</v>
          </cell>
          <cell r="E256" t="str">
            <v>Ariel Silva</v>
          </cell>
          <cell r="F256">
            <v>95</v>
          </cell>
          <cell r="H256">
            <v>9115829</v>
          </cell>
          <cell r="I256" t="e">
            <v>#N/A</v>
          </cell>
          <cell r="J256" t="str">
            <v>PHOENIX</v>
          </cell>
          <cell r="K256" t="str">
            <v>JUDICIAL</v>
          </cell>
          <cell r="L256" t="str">
            <v>0-365</v>
          </cell>
          <cell r="M256" t="str">
            <v>0-365</v>
          </cell>
          <cell r="N256" t="str">
            <v>CASTIGO</v>
          </cell>
        </row>
        <row r="257">
          <cell r="D257">
            <v>2758458</v>
          </cell>
          <cell r="E257" t="str">
            <v>Ariel Silva</v>
          </cell>
          <cell r="F257">
            <v>340</v>
          </cell>
          <cell r="H257">
            <v>7453892</v>
          </cell>
          <cell r="I257" t="e">
            <v>#N/A</v>
          </cell>
          <cell r="J257" t="str">
            <v>PHOENIX</v>
          </cell>
          <cell r="K257" t="str">
            <v>JUDICIAL</v>
          </cell>
          <cell r="L257" t="str">
            <v>0-365</v>
          </cell>
          <cell r="M257" t="str">
            <v>0-365</v>
          </cell>
          <cell r="N257" t="str">
            <v>CASTIGO</v>
          </cell>
        </row>
        <row r="258">
          <cell r="D258">
            <v>2762910</v>
          </cell>
          <cell r="E258" t="str">
            <v>Ariel Silva</v>
          </cell>
          <cell r="F258">
            <v>340</v>
          </cell>
          <cell r="H258">
            <v>15253118</v>
          </cell>
          <cell r="I258" t="e">
            <v>#N/A</v>
          </cell>
          <cell r="J258" t="str">
            <v>PHOENIX</v>
          </cell>
          <cell r="K258" t="str">
            <v>JUDICIAL</v>
          </cell>
          <cell r="L258" t="str">
            <v>0-365</v>
          </cell>
          <cell r="M258" t="str">
            <v>0-365</v>
          </cell>
          <cell r="N258" t="str">
            <v>CASTIGO</v>
          </cell>
        </row>
        <row r="259">
          <cell r="D259">
            <v>2762947</v>
          </cell>
          <cell r="F259">
            <v>62</v>
          </cell>
          <cell r="G259">
            <v>3</v>
          </cell>
          <cell r="H259">
            <v>3590265</v>
          </cell>
          <cell r="I259" t="e">
            <v>#N/A</v>
          </cell>
          <cell r="J259" t="str">
            <v>PHOENIX</v>
          </cell>
          <cell r="K259" t="str">
            <v>JUDICIAL</v>
          </cell>
          <cell r="L259" t="str">
            <v>31-60</v>
          </cell>
          <cell r="M259" t="str">
            <v>61-90</v>
          </cell>
          <cell r="N259" t="str">
            <v>VIGENTE</v>
          </cell>
        </row>
        <row r="260">
          <cell r="D260">
            <v>2764515</v>
          </cell>
          <cell r="E260" t="str">
            <v>Ariel Silva</v>
          </cell>
          <cell r="F260">
            <v>95</v>
          </cell>
          <cell r="H260">
            <v>6725884</v>
          </cell>
          <cell r="I260">
            <v>46384</v>
          </cell>
          <cell r="J260" t="str">
            <v>PHOENIX</v>
          </cell>
          <cell r="K260" t="str">
            <v>JUDICIAL</v>
          </cell>
          <cell r="L260" t="str">
            <v>0-365</v>
          </cell>
          <cell r="M260" t="str">
            <v>0-365</v>
          </cell>
          <cell r="N260" t="str">
            <v>CASTIGO</v>
          </cell>
        </row>
        <row r="261">
          <cell r="D261">
            <v>2764809</v>
          </cell>
          <cell r="F261">
            <v>139</v>
          </cell>
          <cell r="G261">
            <v>5</v>
          </cell>
          <cell r="H261">
            <v>4618339</v>
          </cell>
          <cell r="I261" t="e">
            <v>#N/A</v>
          </cell>
          <cell r="J261" t="str">
            <v>PHOENIX</v>
          </cell>
          <cell r="K261" t="str">
            <v>JUDICIAL</v>
          </cell>
          <cell r="L261" t="str">
            <v>121-150</v>
          </cell>
          <cell r="M261" t="str">
            <v>121-150</v>
          </cell>
          <cell r="N261" t="str">
            <v>VIGENTE</v>
          </cell>
        </row>
        <row r="262">
          <cell r="D262">
            <v>2766055</v>
          </cell>
          <cell r="F262">
            <v>182</v>
          </cell>
          <cell r="G262">
            <v>7</v>
          </cell>
          <cell r="H262">
            <v>6404128</v>
          </cell>
          <cell r="I262" t="e">
            <v>#N/A</v>
          </cell>
          <cell r="J262" t="str">
            <v>PHOENIX</v>
          </cell>
          <cell r="K262" t="str">
            <v>JUDICIAL</v>
          </cell>
          <cell r="L262" t="str">
            <v>151-180</v>
          </cell>
          <cell r="M262" t="str">
            <v>181-210</v>
          </cell>
          <cell r="N262" t="str">
            <v>VIGENTE</v>
          </cell>
        </row>
        <row r="263">
          <cell r="D263">
            <v>2768158</v>
          </cell>
          <cell r="F263">
            <v>31</v>
          </cell>
          <cell r="G263">
            <v>2</v>
          </cell>
          <cell r="H263">
            <v>8494120</v>
          </cell>
          <cell r="I263" t="e">
            <v>#N/A</v>
          </cell>
          <cell r="J263" t="str">
            <v>PHOENIX</v>
          </cell>
          <cell r="K263" t="str">
            <v>JUDICIAL</v>
          </cell>
          <cell r="L263" t="str">
            <v>1-30</v>
          </cell>
          <cell r="M263" t="str">
            <v>31-60</v>
          </cell>
          <cell r="N263" t="str">
            <v>VIGENTE</v>
          </cell>
        </row>
        <row r="264">
          <cell r="D264">
            <v>2768727</v>
          </cell>
          <cell r="E264" t="str">
            <v>Ariel Silva</v>
          </cell>
          <cell r="F264">
            <v>248</v>
          </cell>
          <cell r="H264">
            <v>8654891</v>
          </cell>
          <cell r="I264">
            <v>45957</v>
          </cell>
          <cell r="J264" t="str">
            <v>PHOENIX</v>
          </cell>
          <cell r="K264" t="str">
            <v>JUDICIAL</v>
          </cell>
          <cell r="L264" t="str">
            <v>0-365</v>
          </cell>
          <cell r="M264" t="str">
            <v>0-365</v>
          </cell>
          <cell r="N264" t="str">
            <v>CASTIGO</v>
          </cell>
        </row>
        <row r="265">
          <cell r="D265">
            <v>2774859</v>
          </cell>
          <cell r="F265">
            <v>25</v>
          </cell>
          <cell r="G265">
            <v>1</v>
          </cell>
          <cell r="H265">
            <v>5909185</v>
          </cell>
          <cell r="I265" t="e">
            <v>#N/A</v>
          </cell>
          <cell r="J265" t="str">
            <v>PHOENIX</v>
          </cell>
          <cell r="K265" t="str">
            <v>JUDICIAL</v>
          </cell>
          <cell r="L265" t="str">
            <v>1-30</v>
          </cell>
          <cell r="M265" t="str">
            <v>1-30</v>
          </cell>
          <cell r="N265" t="str">
            <v>VIGENTE</v>
          </cell>
        </row>
        <row r="266">
          <cell r="D266">
            <v>2783446</v>
          </cell>
          <cell r="F266">
            <v>62</v>
          </cell>
          <cell r="G266">
            <v>3</v>
          </cell>
          <cell r="H266">
            <v>7986431</v>
          </cell>
          <cell r="I266" t="e">
            <v>#N/A</v>
          </cell>
          <cell r="J266" t="str">
            <v>PHOENIX</v>
          </cell>
          <cell r="K266" t="str">
            <v>JUDICIAL</v>
          </cell>
          <cell r="L266" t="str">
            <v>31-60</v>
          </cell>
          <cell r="M266" t="str">
            <v>61-90</v>
          </cell>
          <cell r="N266" t="str">
            <v>VIGENTE</v>
          </cell>
        </row>
        <row r="267">
          <cell r="D267">
            <v>2791167</v>
          </cell>
          <cell r="E267" t="str">
            <v>Ariel Silva</v>
          </cell>
          <cell r="F267">
            <v>309</v>
          </cell>
          <cell r="H267">
            <v>12778445</v>
          </cell>
          <cell r="I267" t="e">
            <v>#N/A</v>
          </cell>
          <cell r="J267" t="str">
            <v>PHOENIX</v>
          </cell>
          <cell r="K267" t="str">
            <v>JUDICIAL</v>
          </cell>
          <cell r="L267" t="str">
            <v>0-365</v>
          </cell>
          <cell r="M267" t="str">
            <v>0-365</v>
          </cell>
          <cell r="N267" t="str">
            <v>CASTIGO</v>
          </cell>
        </row>
        <row r="268">
          <cell r="D268">
            <v>2791803</v>
          </cell>
          <cell r="F268">
            <v>30</v>
          </cell>
          <cell r="G268">
            <v>1</v>
          </cell>
          <cell r="H268">
            <v>5981386</v>
          </cell>
          <cell r="I268" t="e">
            <v>#N/A</v>
          </cell>
          <cell r="J268" t="str">
            <v>PHOENIX</v>
          </cell>
          <cell r="K268" t="str">
            <v>JUDICIAL</v>
          </cell>
          <cell r="L268" t="str">
            <v>1-30</v>
          </cell>
          <cell r="M268" t="str">
            <v>1-30</v>
          </cell>
          <cell r="N268" t="str">
            <v>VIGENTE</v>
          </cell>
        </row>
        <row r="269">
          <cell r="D269">
            <v>2793485</v>
          </cell>
          <cell r="F269">
            <v>3</v>
          </cell>
          <cell r="G269">
            <v>1</v>
          </cell>
          <cell r="H269">
            <v>4755284</v>
          </cell>
          <cell r="I269" t="e">
            <v>#N/A</v>
          </cell>
          <cell r="J269" t="str">
            <v>PHOENIX</v>
          </cell>
          <cell r="K269" t="str">
            <v>JUDICIAL</v>
          </cell>
          <cell r="L269" t="str">
            <v>1-30</v>
          </cell>
          <cell r="M269" t="str">
            <v>1-30</v>
          </cell>
          <cell r="N269" t="str">
            <v>VIGENTE</v>
          </cell>
        </row>
        <row r="270">
          <cell r="D270">
            <v>2793595</v>
          </cell>
          <cell r="E270" t="str">
            <v>Ariel Silva</v>
          </cell>
          <cell r="F270">
            <v>309</v>
          </cell>
          <cell r="H270">
            <v>19891250</v>
          </cell>
          <cell r="I270" t="e">
            <v>#N/A</v>
          </cell>
          <cell r="J270" t="str">
            <v>PHOENIX</v>
          </cell>
          <cell r="K270" t="str">
            <v>JUDICIAL</v>
          </cell>
          <cell r="L270" t="str">
            <v>0-365</v>
          </cell>
          <cell r="M270" t="str">
            <v>0-365</v>
          </cell>
          <cell r="N270" t="str">
            <v>CASTIGO</v>
          </cell>
        </row>
        <row r="271">
          <cell r="D271">
            <v>2794654</v>
          </cell>
          <cell r="F271">
            <v>88</v>
          </cell>
          <cell r="G271">
            <v>3</v>
          </cell>
          <cell r="H271">
            <v>3203245</v>
          </cell>
          <cell r="I271">
            <v>46086</v>
          </cell>
          <cell r="J271" t="str">
            <v>PHOENIX</v>
          </cell>
          <cell r="K271" t="str">
            <v>JUDICIAL</v>
          </cell>
          <cell r="L271" t="str">
            <v>91-120</v>
          </cell>
          <cell r="M271" t="str">
            <v>61-90</v>
          </cell>
          <cell r="N271" t="str">
            <v>VIGENTE</v>
          </cell>
        </row>
        <row r="272">
          <cell r="D272">
            <v>2796242</v>
          </cell>
          <cell r="F272">
            <v>59</v>
          </cell>
          <cell r="G272">
            <v>3</v>
          </cell>
          <cell r="H272">
            <v>4348272</v>
          </cell>
          <cell r="I272" t="e">
            <v>#N/A</v>
          </cell>
          <cell r="J272" t="str">
            <v>PHOENIX</v>
          </cell>
          <cell r="K272" t="str">
            <v>JUDICIAL</v>
          </cell>
          <cell r="L272" t="str">
            <v>31-60</v>
          </cell>
          <cell r="M272" t="str">
            <v>31-60</v>
          </cell>
          <cell r="N272" t="str">
            <v>VIGENTE</v>
          </cell>
        </row>
        <row r="273">
          <cell r="D273">
            <v>2811631</v>
          </cell>
          <cell r="E273" t="str">
            <v>Ariel Silva</v>
          </cell>
          <cell r="F273">
            <v>126</v>
          </cell>
          <cell r="H273">
            <v>9297429</v>
          </cell>
          <cell r="I273" t="e">
            <v>#N/A</v>
          </cell>
          <cell r="J273" t="str">
            <v>PHOENIX</v>
          </cell>
          <cell r="K273" t="str">
            <v>JUDICIAL</v>
          </cell>
          <cell r="L273" t="str">
            <v>0-365</v>
          </cell>
          <cell r="M273" t="str">
            <v>0-365</v>
          </cell>
          <cell r="N273" t="str">
            <v>CASTIGO</v>
          </cell>
        </row>
        <row r="274">
          <cell r="D274">
            <v>2811998</v>
          </cell>
          <cell r="E274" t="str">
            <v>Ariel Silva</v>
          </cell>
          <cell r="F274">
            <v>187</v>
          </cell>
          <cell r="H274">
            <v>9900746</v>
          </cell>
          <cell r="I274" t="e">
            <v>#N/A</v>
          </cell>
          <cell r="J274" t="str">
            <v>PHOENIX</v>
          </cell>
          <cell r="K274" t="str">
            <v>JUDICIAL</v>
          </cell>
          <cell r="L274" t="str">
            <v>0-365</v>
          </cell>
          <cell r="M274" t="str">
            <v>0-365</v>
          </cell>
          <cell r="N274" t="str">
            <v>CASTIGO</v>
          </cell>
        </row>
        <row r="275">
          <cell r="D275">
            <v>2817318</v>
          </cell>
          <cell r="F275">
            <v>42</v>
          </cell>
          <cell r="G275">
            <v>2</v>
          </cell>
          <cell r="H275">
            <v>5415478</v>
          </cell>
          <cell r="I275" t="e">
            <v>#N/A</v>
          </cell>
          <cell r="J275" t="str">
            <v>PHOENIX</v>
          </cell>
          <cell r="K275" t="str">
            <v>JUDICIAL</v>
          </cell>
          <cell r="L275" t="str">
            <v>31-60</v>
          </cell>
          <cell r="M275" t="str">
            <v>31-60</v>
          </cell>
          <cell r="N275" t="str">
            <v>VIGENTE</v>
          </cell>
        </row>
        <row r="276">
          <cell r="D276">
            <v>2817859</v>
          </cell>
          <cell r="F276">
            <v>129</v>
          </cell>
          <cell r="G276">
            <v>2</v>
          </cell>
          <cell r="H276">
            <v>1075233</v>
          </cell>
          <cell r="I276" t="e">
            <v>#N/A</v>
          </cell>
          <cell r="J276" t="str">
            <v>PHOENIX</v>
          </cell>
          <cell r="K276" t="str">
            <v>JUDICIAL</v>
          </cell>
          <cell r="L276" t="str">
            <v>121-150</v>
          </cell>
          <cell r="M276" t="str">
            <v>121-150</v>
          </cell>
          <cell r="N276" t="str">
            <v>VIGENTE</v>
          </cell>
        </row>
        <row r="277">
          <cell r="D277">
            <v>2818536</v>
          </cell>
          <cell r="F277">
            <v>124</v>
          </cell>
          <cell r="G277">
            <v>5</v>
          </cell>
          <cell r="H277">
            <v>3680778</v>
          </cell>
          <cell r="I277" t="e">
            <v>#N/A</v>
          </cell>
          <cell r="J277" t="str">
            <v>PHOENIX</v>
          </cell>
          <cell r="K277" t="str">
            <v>JUDICIAL</v>
          </cell>
          <cell r="L277" t="str">
            <v>91-120</v>
          </cell>
          <cell r="M277" t="str">
            <v>121-150</v>
          </cell>
          <cell r="N277" t="str">
            <v>VIGENTE</v>
          </cell>
        </row>
        <row r="278">
          <cell r="D278">
            <v>2822126</v>
          </cell>
          <cell r="F278">
            <v>78</v>
          </cell>
          <cell r="G278">
            <v>3</v>
          </cell>
          <cell r="H278">
            <v>3052939</v>
          </cell>
          <cell r="I278" t="e">
            <v>#N/A</v>
          </cell>
          <cell r="J278" t="str">
            <v>PHOENIX</v>
          </cell>
          <cell r="K278" t="str">
            <v>JUDICIAL</v>
          </cell>
          <cell r="L278" t="str">
            <v>91-120</v>
          </cell>
          <cell r="M278" t="str">
            <v>61-90</v>
          </cell>
          <cell r="N278" t="str">
            <v>VIGENTE</v>
          </cell>
        </row>
        <row r="279">
          <cell r="D279">
            <v>2822537</v>
          </cell>
          <cell r="F279">
            <v>0</v>
          </cell>
          <cell r="G279">
            <v>0</v>
          </cell>
          <cell r="H279">
            <v>4349808</v>
          </cell>
          <cell r="I279" t="e">
            <v>#N/A</v>
          </cell>
          <cell r="J279" t="str">
            <v>PHOENIX</v>
          </cell>
          <cell r="K279" t="str">
            <v>JUDICIAL</v>
          </cell>
          <cell r="L279" t="str">
            <v>31-60</v>
          </cell>
          <cell r="M279" t="str">
            <v>AL DIA</v>
          </cell>
          <cell r="N279" t="str">
            <v>VIGENTE</v>
          </cell>
        </row>
        <row r="280">
          <cell r="D280">
            <v>2830526</v>
          </cell>
          <cell r="F280">
            <v>66</v>
          </cell>
          <cell r="G280">
            <v>3</v>
          </cell>
          <cell r="H280">
            <v>3540290</v>
          </cell>
          <cell r="I280" t="e">
            <v>#N/A</v>
          </cell>
          <cell r="J280" t="str">
            <v>PHOENIX</v>
          </cell>
          <cell r="K280" t="str">
            <v>JUDICIAL</v>
          </cell>
          <cell r="L280" t="str">
            <v>31-60</v>
          </cell>
          <cell r="M280" t="str">
            <v>61-90</v>
          </cell>
          <cell r="N280" t="str">
            <v>VIGENTE</v>
          </cell>
        </row>
        <row r="281">
          <cell r="D281">
            <v>2832579</v>
          </cell>
          <cell r="F281">
            <v>62</v>
          </cell>
          <cell r="G281">
            <v>3</v>
          </cell>
          <cell r="H281">
            <v>14307395</v>
          </cell>
          <cell r="I281" t="e">
            <v>#N/A</v>
          </cell>
          <cell r="J281" t="str">
            <v>PHOENIX</v>
          </cell>
          <cell r="K281" t="str">
            <v>JUDICIAL</v>
          </cell>
          <cell r="L281" t="str">
            <v>31-60</v>
          </cell>
          <cell r="M281" t="str">
            <v>61-90</v>
          </cell>
          <cell r="N281" t="str">
            <v>VIGENTE</v>
          </cell>
        </row>
        <row r="282">
          <cell r="D282">
            <v>2842579</v>
          </cell>
          <cell r="F282">
            <v>277</v>
          </cell>
          <cell r="G282">
            <v>10</v>
          </cell>
          <cell r="H282">
            <v>7335229</v>
          </cell>
          <cell r="I282" t="e">
            <v>#N/A</v>
          </cell>
          <cell r="J282" t="str">
            <v>PHOENIX</v>
          </cell>
          <cell r="K282" t="str">
            <v>JUDICIAL</v>
          </cell>
          <cell r="L282" t="str">
            <v>241-270</v>
          </cell>
          <cell r="M282" t="str">
            <v>271-300</v>
          </cell>
          <cell r="N282" t="str">
            <v>VIGENTE</v>
          </cell>
        </row>
        <row r="283">
          <cell r="D283">
            <v>2843070</v>
          </cell>
          <cell r="F283">
            <v>34</v>
          </cell>
          <cell r="G283">
            <v>2</v>
          </cell>
          <cell r="H283">
            <v>6332356</v>
          </cell>
          <cell r="I283" t="e">
            <v>#N/A</v>
          </cell>
          <cell r="J283" t="str">
            <v>PHOENIX</v>
          </cell>
          <cell r="K283" t="str">
            <v>JUDICIAL</v>
          </cell>
          <cell r="L283" t="str">
            <v>61-90</v>
          </cell>
          <cell r="M283" t="str">
            <v>31-60</v>
          </cell>
          <cell r="N283" t="str">
            <v>VIGENTE</v>
          </cell>
        </row>
        <row r="284">
          <cell r="D284">
            <v>2851863</v>
          </cell>
          <cell r="F284">
            <v>211</v>
          </cell>
          <cell r="G284">
            <v>7</v>
          </cell>
          <cell r="H284">
            <v>9491268</v>
          </cell>
          <cell r="I284" t="e">
            <v>#N/A</v>
          </cell>
          <cell r="J284" t="str">
            <v>PHOENIX</v>
          </cell>
          <cell r="K284" t="str">
            <v>JUDICIAL</v>
          </cell>
          <cell r="L284" t="str">
            <v>181-210</v>
          </cell>
          <cell r="M284" t="str">
            <v>211-240</v>
          </cell>
          <cell r="N284" t="str">
            <v>VIGENTE</v>
          </cell>
        </row>
        <row r="285">
          <cell r="D285">
            <v>2861527</v>
          </cell>
          <cell r="F285">
            <v>0</v>
          </cell>
          <cell r="G285">
            <v>0</v>
          </cell>
          <cell r="H285">
            <v>8989381</v>
          </cell>
          <cell r="I285" t="e">
            <v>#N/A</v>
          </cell>
          <cell r="J285" t="str">
            <v>PHOENIX</v>
          </cell>
          <cell r="K285" t="str">
            <v>JUDICIAL</v>
          </cell>
          <cell r="L285" t="str">
            <v>1-30</v>
          </cell>
          <cell r="M285" t="str">
            <v>AL DIA</v>
          </cell>
          <cell r="N285" t="str">
            <v>VIGENTE</v>
          </cell>
        </row>
        <row r="286">
          <cell r="D286">
            <v>2869439</v>
          </cell>
          <cell r="F286">
            <v>227</v>
          </cell>
          <cell r="G286">
            <v>8</v>
          </cell>
          <cell r="H286">
            <v>11635227</v>
          </cell>
          <cell r="I286">
            <v>46079</v>
          </cell>
          <cell r="J286" t="str">
            <v>PHOENIX</v>
          </cell>
          <cell r="K286" t="str">
            <v>JUDICIAL</v>
          </cell>
          <cell r="L286" t="str">
            <v>211-240</v>
          </cell>
          <cell r="M286" t="str">
            <v>211-240</v>
          </cell>
          <cell r="N286" t="str">
            <v>VIGENTE</v>
          </cell>
        </row>
        <row r="287">
          <cell r="D287">
            <v>2870165</v>
          </cell>
          <cell r="F287">
            <v>135</v>
          </cell>
          <cell r="G287">
            <v>5</v>
          </cell>
          <cell r="H287">
            <v>3605588</v>
          </cell>
          <cell r="I287" t="e">
            <v>#N/A</v>
          </cell>
          <cell r="J287" t="str">
            <v>PHOENIX</v>
          </cell>
          <cell r="K287" t="str">
            <v>JUDICIAL</v>
          </cell>
          <cell r="L287" t="str">
            <v>121-150</v>
          </cell>
          <cell r="M287" t="str">
            <v>121-150</v>
          </cell>
          <cell r="N287" t="str">
            <v>VIGENTE</v>
          </cell>
        </row>
        <row r="288">
          <cell r="D288">
            <v>2870557</v>
          </cell>
          <cell r="F288">
            <v>62</v>
          </cell>
          <cell r="G288">
            <v>3</v>
          </cell>
          <cell r="H288">
            <v>3191264</v>
          </cell>
          <cell r="I288" t="e">
            <v>#N/A</v>
          </cell>
          <cell r="J288" t="str">
            <v>PHOENIX</v>
          </cell>
          <cell r="K288" t="str">
            <v>JUDICIAL</v>
          </cell>
          <cell r="L288" t="str">
            <v>31-60</v>
          </cell>
          <cell r="M288" t="str">
            <v>61-90</v>
          </cell>
          <cell r="N288" t="str">
            <v>VIGENTE</v>
          </cell>
        </row>
        <row r="289">
          <cell r="D289">
            <v>2872325</v>
          </cell>
          <cell r="E289" t="str">
            <v>Ariel Silva</v>
          </cell>
          <cell r="F289">
            <v>217</v>
          </cell>
          <cell r="H289">
            <v>12727665</v>
          </cell>
          <cell r="I289" t="e">
            <v>#N/A</v>
          </cell>
          <cell r="J289" t="str">
            <v>PHOENIX</v>
          </cell>
          <cell r="K289" t="str">
            <v>JUDICIAL</v>
          </cell>
          <cell r="L289" t="str">
            <v>0-365</v>
          </cell>
          <cell r="M289" t="str">
            <v>0-365</v>
          </cell>
          <cell r="N289" t="str">
            <v>CASTIGO</v>
          </cell>
        </row>
        <row r="290">
          <cell r="D290">
            <v>2872668</v>
          </cell>
          <cell r="E290" t="str">
            <v>Ariel Silva</v>
          </cell>
          <cell r="F290">
            <v>156</v>
          </cell>
          <cell r="H290">
            <v>17431081</v>
          </cell>
          <cell r="I290" t="e">
            <v>#N/A</v>
          </cell>
          <cell r="J290" t="str">
            <v>PHOENIX</v>
          </cell>
          <cell r="K290" t="str">
            <v>JUDICIAL</v>
          </cell>
          <cell r="L290" t="str">
            <v>0-365</v>
          </cell>
          <cell r="M290" t="str">
            <v>0-365</v>
          </cell>
          <cell r="N290" t="str">
            <v>CASTIGO</v>
          </cell>
        </row>
        <row r="291">
          <cell r="D291">
            <v>2873911</v>
          </cell>
          <cell r="E291" t="str">
            <v>Ariel Silva</v>
          </cell>
          <cell r="F291">
            <v>64</v>
          </cell>
          <cell r="H291">
            <v>14567474</v>
          </cell>
          <cell r="I291" t="e">
            <v>#N/A</v>
          </cell>
          <cell r="J291" t="str">
            <v>PHOENIX</v>
          </cell>
          <cell r="K291" t="str">
            <v>JUDICIAL</v>
          </cell>
          <cell r="L291" t="str">
            <v>0-365</v>
          </cell>
          <cell r="M291" t="str">
            <v>0-365</v>
          </cell>
          <cell r="N291" t="str">
            <v>CASTIGO</v>
          </cell>
        </row>
        <row r="292">
          <cell r="D292">
            <v>2879575</v>
          </cell>
          <cell r="E292" t="str">
            <v>Ariel Silva</v>
          </cell>
          <cell r="F292">
            <v>248</v>
          </cell>
          <cell r="H292">
            <v>21853028</v>
          </cell>
          <cell r="I292" t="e">
            <v>#N/A</v>
          </cell>
          <cell r="J292" t="str">
            <v>PHOENIX</v>
          </cell>
          <cell r="K292" t="str">
            <v>JUDICIAL</v>
          </cell>
          <cell r="L292" t="str">
            <v>0-365</v>
          </cell>
          <cell r="M292" t="str">
            <v>0-365</v>
          </cell>
          <cell r="N292" t="str">
            <v>CASTIGO</v>
          </cell>
        </row>
        <row r="293">
          <cell r="D293">
            <v>2882648</v>
          </cell>
          <cell r="F293">
            <v>3</v>
          </cell>
          <cell r="G293">
            <v>1</v>
          </cell>
          <cell r="H293">
            <v>2646114</v>
          </cell>
          <cell r="I293" t="e">
            <v>#N/A</v>
          </cell>
          <cell r="J293" t="str">
            <v>PHOENIX</v>
          </cell>
          <cell r="K293" t="str">
            <v>JUDICIAL</v>
          </cell>
          <cell r="L293" t="str">
            <v>1-30</v>
          </cell>
          <cell r="M293" t="str">
            <v>1-30</v>
          </cell>
          <cell r="N293" t="str">
            <v>VIGENTE</v>
          </cell>
        </row>
        <row r="294">
          <cell r="D294">
            <v>2886733</v>
          </cell>
          <cell r="F294">
            <v>3</v>
          </cell>
          <cell r="G294">
            <v>1</v>
          </cell>
          <cell r="H294">
            <v>930734</v>
          </cell>
          <cell r="I294" t="e">
            <v>#N/A</v>
          </cell>
          <cell r="J294" t="str">
            <v>PHOENIX</v>
          </cell>
          <cell r="K294" t="str">
            <v>JUDICIAL</v>
          </cell>
          <cell r="L294" t="str">
            <v>31-60</v>
          </cell>
          <cell r="M294" t="str">
            <v>1-30</v>
          </cell>
          <cell r="N294" t="str">
            <v>VIGENTE</v>
          </cell>
        </row>
        <row r="295">
          <cell r="D295">
            <v>2887545</v>
          </cell>
          <cell r="F295">
            <v>0</v>
          </cell>
          <cell r="H295">
            <v>4758038</v>
          </cell>
          <cell r="I295" t="e">
            <v>#N/A</v>
          </cell>
          <cell r="J295" t="str">
            <v>PHOENIX</v>
          </cell>
          <cell r="K295" t="str">
            <v>JUDICIAL</v>
          </cell>
          <cell r="L295" t="str">
            <v>331-360</v>
          </cell>
          <cell r="M295" t="str">
            <v>361-390</v>
          </cell>
          <cell r="N295" t="str">
            <v>VIGENTE</v>
          </cell>
        </row>
        <row r="296">
          <cell r="D296">
            <v>2893403</v>
          </cell>
          <cell r="F296">
            <v>117</v>
          </cell>
          <cell r="G296">
            <v>4</v>
          </cell>
          <cell r="H296">
            <v>6408585</v>
          </cell>
          <cell r="I296">
            <v>46055</v>
          </cell>
          <cell r="J296" t="str">
            <v>PHOENIX</v>
          </cell>
          <cell r="K296" t="str">
            <v>JUDICIAL</v>
          </cell>
          <cell r="L296" t="str">
            <v>91-120</v>
          </cell>
          <cell r="M296" t="str">
            <v>91-120</v>
          </cell>
          <cell r="N296" t="str">
            <v>VIGENTE</v>
          </cell>
        </row>
        <row r="297">
          <cell r="D297">
            <v>2894905</v>
          </cell>
          <cell r="F297">
            <v>137</v>
          </cell>
          <cell r="G297">
            <v>5</v>
          </cell>
          <cell r="H297">
            <v>4979032</v>
          </cell>
          <cell r="I297" t="e">
            <v>#N/A</v>
          </cell>
          <cell r="J297" t="str">
            <v>PHOENIX</v>
          </cell>
          <cell r="K297" t="str">
            <v>JUDICIAL</v>
          </cell>
          <cell r="L297" t="str">
            <v>121-150</v>
          </cell>
          <cell r="M297" t="str">
            <v>121-150</v>
          </cell>
          <cell r="N297" t="str">
            <v>VIGENTE</v>
          </cell>
        </row>
        <row r="298">
          <cell r="D298">
            <v>2895886</v>
          </cell>
          <cell r="E298" t="str">
            <v>Ariel Silva</v>
          </cell>
          <cell r="F298">
            <v>156</v>
          </cell>
          <cell r="H298">
            <v>10374206</v>
          </cell>
          <cell r="I298">
            <v>45855</v>
          </cell>
          <cell r="J298" t="str">
            <v>PHOENIX</v>
          </cell>
          <cell r="K298" t="str">
            <v>JUDICIAL</v>
          </cell>
          <cell r="L298" t="str">
            <v>0-365</v>
          </cell>
          <cell r="M298" t="str">
            <v>0-365</v>
          </cell>
          <cell r="N298" t="str">
            <v>CASTIGO</v>
          </cell>
        </row>
        <row r="299">
          <cell r="D299">
            <v>2901203</v>
          </cell>
          <cell r="F299">
            <v>34</v>
          </cell>
          <cell r="G299">
            <v>2</v>
          </cell>
          <cell r="H299">
            <v>6278908</v>
          </cell>
          <cell r="I299" t="e">
            <v>#N/A</v>
          </cell>
          <cell r="J299" t="str">
            <v>PHOENIX</v>
          </cell>
          <cell r="K299" t="str">
            <v>JUDICIAL</v>
          </cell>
          <cell r="L299" t="str">
            <v>31-60</v>
          </cell>
          <cell r="M299" t="str">
            <v>31-60</v>
          </cell>
          <cell r="N299" t="str">
            <v>VIGENTE</v>
          </cell>
        </row>
        <row r="300">
          <cell r="D300">
            <v>2908514</v>
          </cell>
          <cell r="F300">
            <v>297</v>
          </cell>
          <cell r="G300">
            <v>10</v>
          </cell>
          <cell r="H300">
            <v>9147487</v>
          </cell>
          <cell r="I300" t="e">
            <v>#N/A</v>
          </cell>
          <cell r="J300" t="str">
            <v>PHOENIX</v>
          </cell>
          <cell r="K300" t="str">
            <v>JUDICIAL</v>
          </cell>
          <cell r="L300" t="str">
            <v>271-300</v>
          </cell>
          <cell r="M300" t="str">
            <v>271-300</v>
          </cell>
          <cell r="N300" t="str">
            <v>VIGENTE</v>
          </cell>
        </row>
        <row r="301">
          <cell r="D301">
            <v>2914167</v>
          </cell>
          <cell r="F301">
            <v>24</v>
          </cell>
          <cell r="G301">
            <v>1</v>
          </cell>
          <cell r="H301">
            <v>3019680</v>
          </cell>
          <cell r="I301" t="e">
            <v>#N/A</v>
          </cell>
          <cell r="J301" t="str">
            <v>PHOENIX</v>
          </cell>
          <cell r="K301" t="str">
            <v>JUDICIAL</v>
          </cell>
          <cell r="L301" t="str">
            <v>31-60</v>
          </cell>
          <cell r="M301" t="str">
            <v>1-30</v>
          </cell>
          <cell r="N301" t="str">
            <v>VIGENTE</v>
          </cell>
        </row>
        <row r="302">
          <cell r="D302">
            <v>2916362</v>
          </cell>
          <cell r="F302">
            <v>34</v>
          </cell>
          <cell r="G302">
            <v>2</v>
          </cell>
          <cell r="H302">
            <v>1813207</v>
          </cell>
          <cell r="I302" t="e">
            <v>#N/A</v>
          </cell>
          <cell r="J302" t="str">
            <v>PHOENIX</v>
          </cell>
          <cell r="K302" t="str">
            <v>JUDICIAL</v>
          </cell>
          <cell r="L302" t="str">
            <v>31-60</v>
          </cell>
          <cell r="M302" t="str">
            <v>31-60</v>
          </cell>
          <cell r="N302" t="str">
            <v>VIGENTE</v>
          </cell>
        </row>
        <row r="303">
          <cell r="D303">
            <v>2924242</v>
          </cell>
          <cell r="E303" t="str">
            <v>Ariel Silva</v>
          </cell>
          <cell r="F303">
            <v>64</v>
          </cell>
          <cell r="H303">
            <v>2184677</v>
          </cell>
          <cell r="I303" t="e">
            <v>#N/A</v>
          </cell>
          <cell r="J303" t="str">
            <v>PHOENIX</v>
          </cell>
          <cell r="K303" t="str">
            <v>JUDICIAL</v>
          </cell>
          <cell r="L303" t="str">
            <v>0-365</v>
          </cell>
          <cell r="M303" t="str">
            <v>0-365</v>
          </cell>
          <cell r="N303" t="str">
            <v>CASTIGO</v>
          </cell>
        </row>
        <row r="304">
          <cell r="D304">
            <v>2926004</v>
          </cell>
          <cell r="F304">
            <v>307</v>
          </cell>
          <cell r="G304">
            <v>11</v>
          </cell>
          <cell r="H304">
            <v>13513514</v>
          </cell>
          <cell r="I304" t="e">
            <v>#N/A</v>
          </cell>
          <cell r="J304" t="str">
            <v>PHOENIX</v>
          </cell>
          <cell r="K304" t="str">
            <v>JUDICIAL</v>
          </cell>
          <cell r="L304" t="str">
            <v>271-300</v>
          </cell>
          <cell r="M304" t="str">
            <v>301-330</v>
          </cell>
          <cell r="N304" t="str">
            <v>VIGENTE</v>
          </cell>
        </row>
        <row r="305">
          <cell r="D305">
            <v>2926586</v>
          </cell>
          <cell r="F305">
            <v>62</v>
          </cell>
          <cell r="G305">
            <v>3</v>
          </cell>
          <cell r="H305">
            <v>1743128</v>
          </cell>
          <cell r="I305" t="e">
            <v>#N/A</v>
          </cell>
          <cell r="J305" t="str">
            <v>PHOENIX</v>
          </cell>
          <cell r="K305" t="str">
            <v>JUDICIAL</v>
          </cell>
          <cell r="L305" t="str">
            <v>31-60</v>
          </cell>
          <cell r="M305" t="str">
            <v>61-90</v>
          </cell>
          <cell r="N305" t="str">
            <v>VIGENTE</v>
          </cell>
        </row>
        <row r="306">
          <cell r="D306">
            <v>2930448</v>
          </cell>
          <cell r="E306" t="str">
            <v>Ariel Silva</v>
          </cell>
          <cell r="F306">
            <v>126</v>
          </cell>
          <cell r="H306">
            <v>15322216</v>
          </cell>
          <cell r="I306" t="e">
            <v>#N/A</v>
          </cell>
          <cell r="J306" t="str">
            <v>PHOENIX</v>
          </cell>
          <cell r="K306" t="str">
            <v>JUDICIAL</v>
          </cell>
          <cell r="L306" t="str">
            <v>0-365</v>
          </cell>
          <cell r="M306" t="str">
            <v>0-365</v>
          </cell>
          <cell r="N306" t="str">
            <v>CASTIGO</v>
          </cell>
        </row>
        <row r="307">
          <cell r="D307">
            <v>2933440</v>
          </cell>
          <cell r="E307" t="str">
            <v>Ariel Silva</v>
          </cell>
          <cell r="F307">
            <v>340</v>
          </cell>
          <cell r="H307">
            <v>21874712</v>
          </cell>
          <cell r="I307" t="e">
            <v>#N/A</v>
          </cell>
          <cell r="J307" t="str">
            <v>PHOENIX</v>
          </cell>
          <cell r="K307" t="str">
            <v>JUDICIAL</v>
          </cell>
          <cell r="L307" t="str">
            <v>0-365</v>
          </cell>
          <cell r="M307" t="str">
            <v>0-365</v>
          </cell>
          <cell r="N307" t="str">
            <v>CASTIGO</v>
          </cell>
        </row>
        <row r="308">
          <cell r="D308">
            <v>2936686</v>
          </cell>
          <cell r="F308">
            <v>52</v>
          </cell>
          <cell r="G308">
            <v>2</v>
          </cell>
          <cell r="H308">
            <v>7088064</v>
          </cell>
          <cell r="I308" t="e">
            <v>#N/A</v>
          </cell>
          <cell r="J308" t="str">
            <v>PHOENIX</v>
          </cell>
          <cell r="K308" t="str">
            <v>JUDICIAL</v>
          </cell>
          <cell r="L308" t="str">
            <v>31-60</v>
          </cell>
          <cell r="M308" t="str">
            <v>31-60</v>
          </cell>
          <cell r="N308" t="str">
            <v>VIGENTE</v>
          </cell>
        </row>
        <row r="309">
          <cell r="D309">
            <v>2938323</v>
          </cell>
          <cell r="F309">
            <v>144</v>
          </cell>
          <cell r="G309">
            <v>5</v>
          </cell>
          <cell r="H309">
            <v>7212124</v>
          </cell>
          <cell r="I309" t="e">
            <v>#N/A</v>
          </cell>
          <cell r="J309" t="str">
            <v>PHOENIX</v>
          </cell>
          <cell r="K309" t="str">
            <v>JUDICIAL</v>
          </cell>
          <cell r="L309" t="str">
            <v>121-150</v>
          </cell>
          <cell r="M309" t="str">
            <v>121-150</v>
          </cell>
          <cell r="N309" t="str">
            <v>VIGENTE</v>
          </cell>
        </row>
        <row r="310">
          <cell r="D310">
            <v>2942690</v>
          </cell>
          <cell r="E310" t="str">
            <v>Ariel Silva</v>
          </cell>
          <cell r="F310">
            <v>340</v>
          </cell>
          <cell r="H310">
            <v>12943322</v>
          </cell>
          <cell r="I310">
            <v>45853</v>
          </cell>
          <cell r="J310" t="str">
            <v>PHOENIX</v>
          </cell>
          <cell r="K310" t="str">
            <v>JUDICIAL</v>
          </cell>
          <cell r="L310" t="str">
            <v>0-365</v>
          </cell>
          <cell r="M310" t="str">
            <v>0-365</v>
          </cell>
          <cell r="N310" t="str">
            <v>CASTIGO</v>
          </cell>
        </row>
        <row r="311">
          <cell r="D311">
            <v>2944646</v>
          </cell>
          <cell r="F311">
            <v>135</v>
          </cell>
          <cell r="G311">
            <v>5</v>
          </cell>
          <cell r="H311">
            <v>10435299</v>
          </cell>
          <cell r="I311" t="e">
            <v>#N/A</v>
          </cell>
          <cell r="J311" t="str">
            <v>PHOENIX</v>
          </cell>
          <cell r="K311" t="str">
            <v>JUDICIAL</v>
          </cell>
          <cell r="L311" t="str">
            <v>121-150</v>
          </cell>
          <cell r="M311" t="str">
            <v>121-150</v>
          </cell>
          <cell r="N311" t="str">
            <v>VIGENTE</v>
          </cell>
        </row>
        <row r="312">
          <cell r="D312">
            <v>2949060</v>
          </cell>
          <cell r="F312">
            <v>40</v>
          </cell>
          <cell r="G312">
            <v>2</v>
          </cell>
          <cell r="H312">
            <v>3008812</v>
          </cell>
          <cell r="I312" t="e">
            <v>#N/A</v>
          </cell>
          <cell r="J312" t="str">
            <v>PHOENIX</v>
          </cell>
          <cell r="K312" t="str">
            <v>JUDICIAL</v>
          </cell>
          <cell r="L312" t="str">
            <v>31-60</v>
          </cell>
          <cell r="M312" t="str">
            <v>31-60</v>
          </cell>
          <cell r="N312" t="str">
            <v>VIGENTE</v>
          </cell>
        </row>
        <row r="313">
          <cell r="D313">
            <v>2949267</v>
          </cell>
          <cell r="F313">
            <v>42</v>
          </cell>
          <cell r="G313">
            <v>2</v>
          </cell>
          <cell r="H313">
            <v>5631345</v>
          </cell>
          <cell r="I313" t="e">
            <v>#N/A</v>
          </cell>
          <cell r="J313" t="str">
            <v>PHOENIX</v>
          </cell>
          <cell r="K313" t="str">
            <v>JUDICIAL</v>
          </cell>
          <cell r="L313" t="str">
            <v>31-60</v>
          </cell>
          <cell r="M313" t="str">
            <v>31-60</v>
          </cell>
          <cell r="N313" t="str">
            <v>VIGENTE</v>
          </cell>
        </row>
        <row r="314">
          <cell r="D314">
            <v>2949458</v>
          </cell>
          <cell r="F314">
            <v>47</v>
          </cell>
          <cell r="G314">
            <v>2</v>
          </cell>
          <cell r="H314">
            <v>2997213</v>
          </cell>
          <cell r="I314" t="e">
            <v>#N/A</v>
          </cell>
          <cell r="J314" t="str">
            <v>PHOENIX</v>
          </cell>
          <cell r="K314" t="str">
            <v>JUDICIAL</v>
          </cell>
          <cell r="L314" t="str">
            <v>31-60</v>
          </cell>
          <cell r="M314" t="str">
            <v>31-60</v>
          </cell>
          <cell r="N314" t="str">
            <v>VIGENTE</v>
          </cell>
        </row>
        <row r="315">
          <cell r="D315">
            <v>2957208</v>
          </cell>
          <cell r="F315">
            <v>219</v>
          </cell>
          <cell r="G315">
            <v>8</v>
          </cell>
          <cell r="H315">
            <v>8030596</v>
          </cell>
          <cell r="I315" t="e">
            <v>#N/A</v>
          </cell>
          <cell r="J315" t="str">
            <v>PHOENIX</v>
          </cell>
          <cell r="K315" t="str">
            <v>JUDICIAL</v>
          </cell>
          <cell r="L315" t="str">
            <v>211-240</v>
          </cell>
          <cell r="M315" t="str">
            <v>211-240</v>
          </cell>
          <cell r="N315" t="str">
            <v>VIGENTE</v>
          </cell>
        </row>
        <row r="316">
          <cell r="D316">
            <v>2957432</v>
          </cell>
          <cell r="E316" t="str">
            <v>Ariel Silva</v>
          </cell>
          <cell r="F316">
            <v>95</v>
          </cell>
          <cell r="H316">
            <v>6324796</v>
          </cell>
          <cell r="I316" t="e">
            <v>#N/A</v>
          </cell>
          <cell r="J316" t="str">
            <v>PHOENIX</v>
          </cell>
          <cell r="K316" t="str">
            <v>JUDICIAL</v>
          </cell>
          <cell r="L316" t="str">
            <v>0-365</v>
          </cell>
          <cell r="M316" t="str">
            <v>0-365</v>
          </cell>
          <cell r="N316" t="str">
            <v>CASTIGO</v>
          </cell>
        </row>
        <row r="317">
          <cell r="D317">
            <v>2958755</v>
          </cell>
          <cell r="F317">
            <v>185</v>
          </cell>
          <cell r="G317">
            <v>7</v>
          </cell>
          <cell r="H317">
            <v>8681348</v>
          </cell>
          <cell r="I317" t="e">
            <v>#N/A</v>
          </cell>
          <cell r="J317" t="str">
            <v>PHOENIX</v>
          </cell>
          <cell r="K317" t="str">
            <v>JUDICIAL</v>
          </cell>
          <cell r="L317" t="str">
            <v>151-180</v>
          </cell>
          <cell r="M317" t="str">
            <v>181-210</v>
          </cell>
          <cell r="N317" t="str">
            <v>VIGENTE</v>
          </cell>
        </row>
        <row r="318">
          <cell r="D318">
            <v>2959119</v>
          </cell>
          <cell r="E318" t="str">
            <v>Ariel Silva</v>
          </cell>
          <cell r="F318">
            <v>95</v>
          </cell>
          <cell r="H318">
            <v>6731141</v>
          </cell>
          <cell r="I318">
            <v>45916</v>
          </cell>
          <cell r="J318" t="str">
            <v>PHOENIX</v>
          </cell>
          <cell r="K318" t="str">
            <v>JUDICIAL</v>
          </cell>
          <cell r="L318" t="str">
            <v>0-365</v>
          </cell>
          <cell r="M318" t="str">
            <v>0-365</v>
          </cell>
          <cell r="N318" t="str">
            <v>CASTIGO</v>
          </cell>
        </row>
        <row r="319">
          <cell r="D319">
            <v>2960003</v>
          </cell>
          <cell r="E319" t="str">
            <v>Ariel Silva</v>
          </cell>
          <cell r="F319">
            <v>309</v>
          </cell>
          <cell r="H319">
            <v>25392714</v>
          </cell>
          <cell r="I319">
            <v>45742</v>
          </cell>
          <cell r="J319" t="str">
            <v>PHOENIX</v>
          </cell>
          <cell r="K319" t="str">
            <v>JUDICIAL</v>
          </cell>
          <cell r="L319" t="str">
            <v>0-365</v>
          </cell>
          <cell r="M319" t="str">
            <v>0-365</v>
          </cell>
          <cell r="N319" t="str">
            <v>CASTIGO</v>
          </cell>
        </row>
        <row r="320">
          <cell r="D320">
            <v>2965293</v>
          </cell>
          <cell r="F320">
            <v>57</v>
          </cell>
          <cell r="G320">
            <v>2</v>
          </cell>
          <cell r="H320">
            <v>8884417</v>
          </cell>
          <cell r="I320" t="e">
            <v>#N/A</v>
          </cell>
          <cell r="J320" t="str">
            <v>PHOENIX</v>
          </cell>
          <cell r="K320" t="str">
            <v>JUDICIAL</v>
          </cell>
          <cell r="L320" t="str">
            <v>31-60</v>
          </cell>
          <cell r="M320" t="str">
            <v>31-60</v>
          </cell>
          <cell r="N320" t="str">
            <v>VIGENTE</v>
          </cell>
        </row>
        <row r="321">
          <cell r="D321">
            <v>2965499</v>
          </cell>
          <cell r="F321">
            <v>3</v>
          </cell>
          <cell r="G321">
            <v>1</v>
          </cell>
          <cell r="H321">
            <v>4647363</v>
          </cell>
          <cell r="I321" t="e">
            <v>#N/A</v>
          </cell>
          <cell r="J321" t="str">
            <v>PHOENIX</v>
          </cell>
          <cell r="K321" t="str">
            <v>JUDICIAL</v>
          </cell>
          <cell r="L321" t="str">
            <v>1-30</v>
          </cell>
          <cell r="M321" t="str">
            <v>1-30</v>
          </cell>
          <cell r="N321" t="str">
            <v>VIGENTE</v>
          </cell>
        </row>
        <row r="322">
          <cell r="D322">
            <v>2966597</v>
          </cell>
          <cell r="F322">
            <v>57</v>
          </cell>
          <cell r="G322">
            <v>2</v>
          </cell>
          <cell r="H322">
            <v>2905293</v>
          </cell>
          <cell r="I322" t="e">
            <v>#N/A</v>
          </cell>
          <cell r="J322" t="str">
            <v>PHOENIX</v>
          </cell>
          <cell r="K322" t="str">
            <v>JUDICIAL</v>
          </cell>
          <cell r="L322" t="str">
            <v>31-60</v>
          </cell>
          <cell r="M322" t="str">
            <v>31-60</v>
          </cell>
          <cell r="N322" t="str">
            <v>VIGENTE</v>
          </cell>
        </row>
        <row r="323">
          <cell r="D323">
            <v>2974045</v>
          </cell>
          <cell r="E323" t="str">
            <v>Ariel Silva</v>
          </cell>
          <cell r="F323">
            <v>279</v>
          </cell>
          <cell r="H323">
            <v>13891343</v>
          </cell>
          <cell r="I323">
            <v>46000</v>
          </cell>
          <cell r="J323" t="str">
            <v>PHOENIX</v>
          </cell>
          <cell r="K323" t="str">
            <v>JUDICIAL</v>
          </cell>
          <cell r="L323" t="str">
            <v>0-365</v>
          </cell>
          <cell r="M323" t="str">
            <v>0-365</v>
          </cell>
          <cell r="N323" t="str">
            <v>CASTIGO</v>
          </cell>
        </row>
        <row r="324">
          <cell r="D324">
            <v>2975455</v>
          </cell>
          <cell r="E324" t="str">
            <v>Ariel Silva</v>
          </cell>
          <cell r="F324">
            <v>64</v>
          </cell>
          <cell r="H324">
            <v>5130013</v>
          </cell>
          <cell r="I324" t="e">
            <v>#N/A</v>
          </cell>
          <cell r="J324" t="str">
            <v>PHOENIX</v>
          </cell>
          <cell r="K324" t="str">
            <v>JUDICIAL</v>
          </cell>
          <cell r="L324" t="str">
            <v>0-365</v>
          </cell>
          <cell r="M324" t="str">
            <v>0-365</v>
          </cell>
          <cell r="N324" t="str">
            <v>CASTIGO</v>
          </cell>
        </row>
        <row r="325">
          <cell r="D325">
            <v>2982296</v>
          </cell>
          <cell r="F325">
            <v>248</v>
          </cell>
          <cell r="G325">
            <v>9</v>
          </cell>
          <cell r="H325">
            <v>11055466</v>
          </cell>
          <cell r="I325" t="e">
            <v>#N/A</v>
          </cell>
          <cell r="J325" t="str">
            <v>PHOENIX</v>
          </cell>
          <cell r="K325" t="str">
            <v>JUDICIAL</v>
          </cell>
          <cell r="L325" t="str">
            <v>211-240</v>
          </cell>
          <cell r="M325" t="str">
            <v>241-270</v>
          </cell>
          <cell r="N325" t="str">
            <v>VIGENTE</v>
          </cell>
        </row>
        <row r="326">
          <cell r="D326">
            <v>2984397</v>
          </cell>
          <cell r="E326" t="str">
            <v>Ariel Silva</v>
          </cell>
          <cell r="F326">
            <v>217</v>
          </cell>
          <cell r="H326">
            <v>7543017</v>
          </cell>
          <cell r="I326">
            <v>45728</v>
          </cell>
          <cell r="J326" t="str">
            <v>PHOENIX</v>
          </cell>
          <cell r="K326" t="str">
            <v>JUDICIAL</v>
          </cell>
          <cell r="L326" t="str">
            <v>0-365</v>
          </cell>
          <cell r="M326" t="str">
            <v>0-365</v>
          </cell>
          <cell r="N326" t="str">
            <v>CASTIGO</v>
          </cell>
        </row>
        <row r="327">
          <cell r="D327">
            <v>2991691</v>
          </cell>
          <cell r="F327">
            <v>34</v>
          </cell>
          <cell r="G327">
            <v>2</v>
          </cell>
          <cell r="H327">
            <v>5949472</v>
          </cell>
          <cell r="I327" t="e">
            <v>#N/A</v>
          </cell>
          <cell r="J327" t="str">
            <v>PHOENIX</v>
          </cell>
          <cell r="K327" t="str">
            <v>JUDICIAL</v>
          </cell>
          <cell r="L327" t="str">
            <v>1-30</v>
          </cell>
          <cell r="M327" t="str">
            <v>31-60</v>
          </cell>
          <cell r="N327" t="str">
            <v>VIGENTE</v>
          </cell>
        </row>
        <row r="328">
          <cell r="D328">
            <v>2993173</v>
          </cell>
          <cell r="F328">
            <v>148</v>
          </cell>
          <cell r="G328">
            <v>5</v>
          </cell>
          <cell r="H328">
            <v>4482749</v>
          </cell>
          <cell r="I328" t="e">
            <v>#N/A</v>
          </cell>
          <cell r="J328" t="str">
            <v>PHOENIX</v>
          </cell>
          <cell r="K328" t="str">
            <v>JUDICIAL</v>
          </cell>
          <cell r="L328" t="str">
            <v>121-150</v>
          </cell>
          <cell r="M328" t="str">
            <v>121-150</v>
          </cell>
          <cell r="N328" t="str">
            <v>VIGENTE</v>
          </cell>
        </row>
        <row r="329">
          <cell r="D329">
            <v>2994448</v>
          </cell>
          <cell r="E329" t="str">
            <v>Ariel Silva</v>
          </cell>
          <cell r="F329">
            <v>279</v>
          </cell>
          <cell r="H329">
            <v>9026755</v>
          </cell>
          <cell r="I329" t="e">
            <v>#N/A</v>
          </cell>
          <cell r="J329" t="str">
            <v>PHOENIX</v>
          </cell>
          <cell r="K329" t="str">
            <v>JUDICIAL</v>
          </cell>
          <cell r="L329" t="str">
            <v>0-365</v>
          </cell>
          <cell r="M329" t="str">
            <v>0-365</v>
          </cell>
          <cell r="N329" t="str">
            <v>CASTIGO</v>
          </cell>
        </row>
        <row r="330">
          <cell r="D330">
            <v>2996876</v>
          </cell>
          <cell r="F330">
            <v>0</v>
          </cell>
          <cell r="G330">
            <v>0</v>
          </cell>
          <cell r="H330">
            <v>2371068</v>
          </cell>
          <cell r="I330" t="e">
            <v>#N/A</v>
          </cell>
          <cell r="J330" t="str">
            <v>PHOENIX</v>
          </cell>
          <cell r="K330" t="str">
            <v>JUDICIAL</v>
          </cell>
          <cell r="L330" t="str">
            <v>121-150</v>
          </cell>
          <cell r="M330" t="str">
            <v>AL DIA</v>
          </cell>
          <cell r="N330" t="str">
            <v>VIGENTE</v>
          </cell>
        </row>
        <row r="331">
          <cell r="D331">
            <v>2999473</v>
          </cell>
          <cell r="F331">
            <v>234</v>
          </cell>
          <cell r="G331">
            <v>8</v>
          </cell>
          <cell r="H331">
            <v>5722126</v>
          </cell>
          <cell r="I331" t="e">
            <v>#N/A</v>
          </cell>
          <cell r="J331" t="str">
            <v>PHOENIX</v>
          </cell>
          <cell r="K331" t="str">
            <v>JUDICIAL</v>
          </cell>
          <cell r="L331" t="str">
            <v>211-240</v>
          </cell>
          <cell r="M331" t="str">
            <v>211-240</v>
          </cell>
          <cell r="N331" t="str">
            <v>VIGENTE</v>
          </cell>
        </row>
        <row r="332">
          <cell r="D332">
            <v>3008575</v>
          </cell>
          <cell r="F332">
            <v>166</v>
          </cell>
          <cell r="G332">
            <v>6</v>
          </cell>
          <cell r="H332">
            <v>5216887</v>
          </cell>
          <cell r="I332" t="e">
            <v>#N/A</v>
          </cell>
          <cell r="J332" t="str">
            <v>PHOENIX</v>
          </cell>
          <cell r="K332" t="str">
            <v>JUDICIAL</v>
          </cell>
          <cell r="L332" t="str">
            <v>151-180</v>
          </cell>
          <cell r="M332" t="str">
            <v>151-180</v>
          </cell>
          <cell r="N332" t="str">
            <v>VIGENTE</v>
          </cell>
        </row>
        <row r="333">
          <cell r="D333">
            <v>3008599</v>
          </cell>
          <cell r="F333">
            <v>43</v>
          </cell>
          <cell r="G333">
            <v>2</v>
          </cell>
          <cell r="H333">
            <v>3562936</v>
          </cell>
          <cell r="I333" t="e">
            <v>#N/A</v>
          </cell>
          <cell r="J333" t="str">
            <v>PHOENIX</v>
          </cell>
          <cell r="K333" t="str">
            <v>JUDICIAL</v>
          </cell>
          <cell r="L333" t="str">
            <v>31-60</v>
          </cell>
          <cell r="M333" t="str">
            <v>31-60</v>
          </cell>
          <cell r="N333" t="str">
            <v>VIGENTE</v>
          </cell>
        </row>
        <row r="334">
          <cell r="D334">
            <v>3009851</v>
          </cell>
          <cell r="F334">
            <v>196</v>
          </cell>
          <cell r="G334">
            <v>7</v>
          </cell>
          <cell r="H334">
            <v>4540534</v>
          </cell>
          <cell r="I334" t="e">
            <v>#N/A</v>
          </cell>
          <cell r="J334" t="str">
            <v>PHOENIX</v>
          </cell>
          <cell r="K334" t="str">
            <v>JUDICIAL</v>
          </cell>
          <cell r="L334" t="str">
            <v>181-210</v>
          </cell>
          <cell r="M334" t="str">
            <v>181-210</v>
          </cell>
          <cell r="N334" t="str">
            <v>VIGENTE</v>
          </cell>
        </row>
        <row r="335">
          <cell r="D335">
            <v>3010592</v>
          </cell>
          <cell r="F335">
            <v>93</v>
          </cell>
          <cell r="G335">
            <v>4</v>
          </cell>
          <cell r="H335">
            <v>8865490</v>
          </cell>
          <cell r="I335" t="e">
            <v>#N/A</v>
          </cell>
          <cell r="J335" t="str">
            <v>PHOENIX</v>
          </cell>
          <cell r="K335" t="str">
            <v>JUDICIAL</v>
          </cell>
          <cell r="L335" t="str">
            <v>61-90</v>
          </cell>
          <cell r="M335" t="str">
            <v>91-120</v>
          </cell>
          <cell r="N335" t="str">
            <v>VIGENTE</v>
          </cell>
        </row>
        <row r="336">
          <cell r="D336">
            <v>3014523</v>
          </cell>
          <cell r="F336">
            <v>250</v>
          </cell>
          <cell r="G336">
            <v>9</v>
          </cell>
          <cell r="H336">
            <v>6447948</v>
          </cell>
          <cell r="I336" t="e">
            <v>#N/A</v>
          </cell>
          <cell r="J336" t="str">
            <v>PHOENIX</v>
          </cell>
          <cell r="K336" t="str">
            <v>JUDICIAL</v>
          </cell>
          <cell r="L336" t="str">
            <v>241-270</v>
          </cell>
          <cell r="M336" t="str">
            <v>241-270</v>
          </cell>
          <cell r="N336" t="str">
            <v>VIGENTE</v>
          </cell>
        </row>
        <row r="337">
          <cell r="D337">
            <v>3018067</v>
          </cell>
          <cell r="F337">
            <v>66</v>
          </cell>
          <cell r="G337">
            <v>3</v>
          </cell>
          <cell r="H337">
            <v>7515545</v>
          </cell>
          <cell r="I337" t="e">
            <v>#N/A</v>
          </cell>
          <cell r="J337" t="str">
            <v>PHOENIX</v>
          </cell>
          <cell r="K337" t="str">
            <v>JUDICIAL</v>
          </cell>
          <cell r="L337" t="str">
            <v>31-60</v>
          </cell>
          <cell r="M337" t="str">
            <v>61-90</v>
          </cell>
          <cell r="N337" t="str">
            <v>VIGENTE</v>
          </cell>
        </row>
        <row r="338">
          <cell r="D338">
            <v>3018111</v>
          </cell>
          <cell r="E338" t="str">
            <v>Ariel Silva</v>
          </cell>
          <cell r="F338">
            <v>156</v>
          </cell>
          <cell r="H338">
            <v>7956679</v>
          </cell>
          <cell r="I338" t="e">
            <v>#N/A</v>
          </cell>
          <cell r="J338" t="str">
            <v>PHOENIX</v>
          </cell>
          <cell r="K338" t="str">
            <v>JUDICIAL</v>
          </cell>
          <cell r="L338" t="str">
            <v>0-365</v>
          </cell>
          <cell r="M338" t="str">
            <v>0-365</v>
          </cell>
          <cell r="N338" t="str">
            <v>CASTIGO</v>
          </cell>
        </row>
        <row r="339">
          <cell r="D339">
            <v>3019194</v>
          </cell>
          <cell r="F339">
            <v>180</v>
          </cell>
          <cell r="G339">
            <v>6</v>
          </cell>
          <cell r="H339">
            <v>4340162</v>
          </cell>
          <cell r="I339" t="e">
            <v>#N/A</v>
          </cell>
          <cell r="J339" t="str">
            <v>PHOENIX</v>
          </cell>
          <cell r="K339" t="str">
            <v>JUDICIAL</v>
          </cell>
          <cell r="L339" t="str">
            <v>151-180</v>
          </cell>
          <cell r="M339" t="str">
            <v>151-180</v>
          </cell>
          <cell r="N339" t="str">
            <v>VIGENTE</v>
          </cell>
        </row>
        <row r="340">
          <cell r="D340">
            <v>3023630</v>
          </cell>
          <cell r="E340" t="str">
            <v>Ariel Silva</v>
          </cell>
          <cell r="F340">
            <v>217</v>
          </cell>
          <cell r="H340">
            <v>6008596</v>
          </cell>
          <cell r="I340" t="e">
            <v>#N/A</v>
          </cell>
          <cell r="J340" t="str">
            <v>PHOENIX</v>
          </cell>
          <cell r="K340" t="str">
            <v>JUDICIAL</v>
          </cell>
          <cell r="L340" t="str">
            <v>0-365</v>
          </cell>
          <cell r="M340" t="str">
            <v>0-365</v>
          </cell>
          <cell r="N340" t="str">
            <v>CASTIGO</v>
          </cell>
        </row>
        <row r="341">
          <cell r="D341">
            <v>3024161</v>
          </cell>
          <cell r="E341" t="str">
            <v>Ariel Silva</v>
          </cell>
          <cell r="F341">
            <v>156</v>
          </cell>
          <cell r="H341">
            <v>2427639</v>
          </cell>
          <cell r="I341" t="e">
            <v>#N/A</v>
          </cell>
          <cell r="J341" t="str">
            <v>PHOENIX</v>
          </cell>
          <cell r="K341" t="str">
            <v>JUDICIAL</v>
          </cell>
          <cell r="L341" t="str">
            <v>0-365</v>
          </cell>
          <cell r="M341" t="str">
            <v>0-365</v>
          </cell>
          <cell r="N341" t="str">
            <v>CASTIGO</v>
          </cell>
        </row>
        <row r="342">
          <cell r="D342">
            <v>3029432</v>
          </cell>
          <cell r="F342">
            <v>28</v>
          </cell>
          <cell r="G342">
            <v>1</v>
          </cell>
          <cell r="H342">
            <v>20775816</v>
          </cell>
          <cell r="I342" t="e">
            <v>#N/A</v>
          </cell>
          <cell r="J342" t="str">
            <v>PHOENIX</v>
          </cell>
          <cell r="K342" t="str">
            <v>JUDICIAL</v>
          </cell>
          <cell r="L342" t="str">
            <v>1-30</v>
          </cell>
          <cell r="M342" t="str">
            <v>1-30</v>
          </cell>
          <cell r="N342" t="str">
            <v>VIGENTE</v>
          </cell>
        </row>
        <row r="343">
          <cell r="D343">
            <v>3029842</v>
          </cell>
          <cell r="F343">
            <v>189</v>
          </cell>
          <cell r="G343">
            <v>7</v>
          </cell>
          <cell r="H343">
            <v>7971470</v>
          </cell>
          <cell r="I343" t="e">
            <v>#N/A</v>
          </cell>
          <cell r="J343" t="str">
            <v>PHOENIX</v>
          </cell>
          <cell r="K343" t="str">
            <v>JUDICIAL</v>
          </cell>
          <cell r="L343" t="str">
            <v>181-210</v>
          </cell>
          <cell r="M343" t="str">
            <v>181-210</v>
          </cell>
          <cell r="N343" t="str">
            <v>VIGENTE</v>
          </cell>
        </row>
        <row r="344">
          <cell r="D344">
            <v>3030656</v>
          </cell>
          <cell r="F344">
            <v>300</v>
          </cell>
          <cell r="G344">
            <v>10</v>
          </cell>
          <cell r="H344">
            <v>2502387</v>
          </cell>
          <cell r="I344" t="e">
            <v>#N/A</v>
          </cell>
          <cell r="J344" t="str">
            <v>PHOENIX</v>
          </cell>
          <cell r="K344" t="str">
            <v>JUDICIAL</v>
          </cell>
          <cell r="L344" t="str">
            <v>271-300</v>
          </cell>
          <cell r="M344" t="str">
            <v>271-300</v>
          </cell>
          <cell r="N344" t="str">
            <v>VIGENTE</v>
          </cell>
        </row>
        <row r="345">
          <cell r="D345">
            <v>3031321</v>
          </cell>
          <cell r="F345">
            <v>92</v>
          </cell>
          <cell r="G345">
            <v>4</v>
          </cell>
          <cell r="H345">
            <v>10801272</v>
          </cell>
          <cell r="I345" t="e">
            <v>#N/A</v>
          </cell>
          <cell r="J345" t="str">
            <v>PHOENIX</v>
          </cell>
          <cell r="K345" t="str">
            <v>JUDICIAL</v>
          </cell>
          <cell r="L345" t="str">
            <v>61-90</v>
          </cell>
          <cell r="M345" t="str">
            <v>91-120</v>
          </cell>
          <cell r="N345" t="str">
            <v>VIGENTE</v>
          </cell>
        </row>
        <row r="346">
          <cell r="D346">
            <v>3032093</v>
          </cell>
          <cell r="F346">
            <v>34</v>
          </cell>
          <cell r="G346">
            <v>2</v>
          </cell>
          <cell r="H346">
            <v>6966795</v>
          </cell>
          <cell r="I346" t="e">
            <v>#N/A</v>
          </cell>
          <cell r="J346" t="str">
            <v>PHOENIX</v>
          </cell>
          <cell r="K346" t="str">
            <v>JUDICIAL</v>
          </cell>
          <cell r="L346" t="str">
            <v>1-30</v>
          </cell>
          <cell r="M346" t="str">
            <v>31-60</v>
          </cell>
          <cell r="N346" t="str">
            <v>VIGENTE</v>
          </cell>
        </row>
        <row r="347">
          <cell r="D347">
            <v>3033201</v>
          </cell>
          <cell r="E347" t="str">
            <v>Ariel Silva</v>
          </cell>
          <cell r="F347">
            <v>95</v>
          </cell>
          <cell r="H347">
            <v>9131337</v>
          </cell>
          <cell r="I347" t="e">
            <v>#N/A</v>
          </cell>
          <cell r="J347" t="str">
            <v>PHOENIX</v>
          </cell>
          <cell r="K347" t="str">
            <v>JUDICIAL</v>
          </cell>
          <cell r="L347" t="str">
            <v>0-365</v>
          </cell>
          <cell r="M347" t="str">
            <v>0-365</v>
          </cell>
          <cell r="N347" t="str">
            <v>CASTIGO</v>
          </cell>
        </row>
        <row r="348">
          <cell r="D348">
            <v>3033614</v>
          </cell>
          <cell r="E348" t="str">
            <v>Ariel Silva</v>
          </cell>
          <cell r="F348">
            <v>279</v>
          </cell>
          <cell r="H348">
            <v>9235537</v>
          </cell>
          <cell r="I348" t="e">
            <v>#N/A</v>
          </cell>
          <cell r="J348" t="str">
            <v>PHOENIX</v>
          </cell>
          <cell r="K348" t="str">
            <v>JUDICIAL</v>
          </cell>
          <cell r="L348" t="str">
            <v>0-365</v>
          </cell>
          <cell r="M348" t="str">
            <v>0-365</v>
          </cell>
          <cell r="N348" t="str">
            <v>CASTIGO</v>
          </cell>
        </row>
        <row r="349">
          <cell r="D349">
            <v>3033889</v>
          </cell>
          <cell r="F349">
            <v>119</v>
          </cell>
          <cell r="G349">
            <v>4</v>
          </cell>
          <cell r="H349">
            <v>1884519</v>
          </cell>
          <cell r="I349" t="e">
            <v>#N/A</v>
          </cell>
          <cell r="J349" t="str">
            <v>PHOENIX</v>
          </cell>
          <cell r="K349" t="str">
            <v>JUDICIAL</v>
          </cell>
          <cell r="L349" t="str">
            <v>91-120</v>
          </cell>
          <cell r="M349" t="str">
            <v>91-120</v>
          </cell>
          <cell r="N349" t="str">
            <v>VIGENTE</v>
          </cell>
        </row>
        <row r="350">
          <cell r="D350">
            <v>3048075</v>
          </cell>
          <cell r="E350" t="str">
            <v>Ariel Silva</v>
          </cell>
          <cell r="F350">
            <v>156</v>
          </cell>
          <cell r="H350">
            <v>6301684</v>
          </cell>
          <cell r="I350" t="e">
            <v>#N/A</v>
          </cell>
          <cell r="J350" t="str">
            <v>PHOENIX</v>
          </cell>
          <cell r="K350" t="str">
            <v>JUDICIAL</v>
          </cell>
          <cell r="L350" t="str">
            <v>0-365</v>
          </cell>
          <cell r="M350" t="str">
            <v>0-365</v>
          </cell>
          <cell r="N350" t="str">
            <v>CASTIGO</v>
          </cell>
        </row>
        <row r="351">
          <cell r="D351">
            <v>3052601</v>
          </cell>
          <cell r="E351" t="str">
            <v>Ariel Silva</v>
          </cell>
          <cell r="F351">
            <v>248</v>
          </cell>
          <cell r="H351">
            <v>28194778</v>
          </cell>
          <cell r="I351">
            <v>45912</v>
          </cell>
          <cell r="J351" t="str">
            <v>PHOENIX</v>
          </cell>
          <cell r="K351" t="str">
            <v>JUDICIAL</v>
          </cell>
          <cell r="L351" t="str">
            <v>0-365</v>
          </cell>
          <cell r="M351" t="str">
            <v>0-365</v>
          </cell>
          <cell r="N351" t="str">
            <v>CASTIGO</v>
          </cell>
        </row>
        <row r="352">
          <cell r="D352">
            <v>3052978</v>
          </cell>
          <cell r="E352" t="str">
            <v>Ariel Silva</v>
          </cell>
          <cell r="F352">
            <v>1</v>
          </cell>
          <cell r="H352">
            <v>14420891</v>
          </cell>
          <cell r="I352">
            <v>45904</v>
          </cell>
          <cell r="J352" t="str">
            <v>PHOENIX</v>
          </cell>
          <cell r="K352" t="str">
            <v>JUDICIAL</v>
          </cell>
          <cell r="L352" t="str">
            <v>0-365</v>
          </cell>
          <cell r="M352" t="str">
            <v>0-365</v>
          </cell>
          <cell r="N352" t="str">
            <v>CASTIGO</v>
          </cell>
        </row>
        <row r="353">
          <cell r="D353">
            <v>3057949</v>
          </cell>
          <cell r="F353">
            <v>119</v>
          </cell>
          <cell r="G353">
            <v>4</v>
          </cell>
          <cell r="H353">
            <v>8016985</v>
          </cell>
          <cell r="I353" t="e">
            <v>#N/A</v>
          </cell>
          <cell r="J353" t="str">
            <v>PHOENIX</v>
          </cell>
          <cell r="K353" t="str">
            <v>JUDICIAL</v>
          </cell>
          <cell r="L353" t="str">
            <v>91-120</v>
          </cell>
          <cell r="M353" t="str">
            <v>91-120</v>
          </cell>
          <cell r="N353" t="str">
            <v>VIGENTE</v>
          </cell>
        </row>
        <row r="354">
          <cell r="D354">
            <v>3074092</v>
          </cell>
          <cell r="F354">
            <v>277</v>
          </cell>
          <cell r="G354">
            <v>10</v>
          </cell>
          <cell r="H354">
            <v>3372805</v>
          </cell>
          <cell r="I354" t="e">
            <v>#N/A</v>
          </cell>
          <cell r="J354" t="str">
            <v>PHOENIX</v>
          </cell>
          <cell r="K354" t="str">
            <v>JUDICIAL</v>
          </cell>
          <cell r="L354" t="str">
            <v>241-270</v>
          </cell>
          <cell r="M354" t="str">
            <v>271-300</v>
          </cell>
          <cell r="N354" t="str">
            <v>VIGENTE</v>
          </cell>
        </row>
        <row r="355">
          <cell r="D355">
            <v>3075097</v>
          </cell>
          <cell r="F355">
            <v>119</v>
          </cell>
          <cell r="G355">
            <v>4</v>
          </cell>
          <cell r="H355">
            <v>4812198</v>
          </cell>
          <cell r="I355" t="e">
            <v>#N/A</v>
          </cell>
          <cell r="J355" t="str">
            <v>PHOENIX</v>
          </cell>
          <cell r="K355" t="str">
            <v>JUDICIAL</v>
          </cell>
          <cell r="L355" t="str">
            <v>91-120</v>
          </cell>
          <cell r="M355" t="str">
            <v>91-120</v>
          </cell>
          <cell r="N355" t="str">
            <v>VIGENTE</v>
          </cell>
        </row>
        <row r="356">
          <cell r="D356">
            <v>3088103</v>
          </cell>
          <cell r="F356">
            <v>149</v>
          </cell>
          <cell r="G356">
            <v>5</v>
          </cell>
          <cell r="H356">
            <v>8576636</v>
          </cell>
          <cell r="I356" t="e">
            <v>#N/A</v>
          </cell>
          <cell r="J356" t="str">
            <v>PHOENIX</v>
          </cell>
          <cell r="K356" t="str">
            <v>JUDICIAL</v>
          </cell>
          <cell r="L356" t="str">
            <v>121-150</v>
          </cell>
          <cell r="M356" t="str">
            <v>121-150</v>
          </cell>
          <cell r="N356" t="str">
            <v>VIGENTE</v>
          </cell>
        </row>
        <row r="357">
          <cell r="D357">
            <v>3089537</v>
          </cell>
          <cell r="F357">
            <v>52</v>
          </cell>
          <cell r="G357">
            <v>2</v>
          </cell>
          <cell r="H357">
            <v>7858109</v>
          </cell>
          <cell r="I357" t="e">
            <v>#N/A</v>
          </cell>
          <cell r="J357" t="str">
            <v>PHOENIX</v>
          </cell>
          <cell r="K357" t="str">
            <v>JUDICIAL</v>
          </cell>
          <cell r="L357" t="str">
            <v>31-60</v>
          </cell>
          <cell r="M357" t="str">
            <v>31-60</v>
          </cell>
          <cell r="N357" t="str">
            <v>VIGENTE</v>
          </cell>
        </row>
        <row r="358">
          <cell r="D358">
            <v>3091163</v>
          </cell>
          <cell r="F358">
            <v>96</v>
          </cell>
          <cell r="G358">
            <v>4</v>
          </cell>
          <cell r="H358">
            <v>8881644</v>
          </cell>
          <cell r="I358" t="e">
            <v>#N/A</v>
          </cell>
          <cell r="J358" t="str">
            <v>PHOENIX</v>
          </cell>
          <cell r="K358" t="str">
            <v>JUDICIAL</v>
          </cell>
          <cell r="L358" t="str">
            <v>61-90</v>
          </cell>
          <cell r="M358" t="str">
            <v>91-120</v>
          </cell>
          <cell r="N358" t="str">
            <v>VIGENTE</v>
          </cell>
        </row>
        <row r="359">
          <cell r="D359">
            <v>3092244</v>
          </cell>
          <cell r="F359">
            <v>144</v>
          </cell>
          <cell r="G359">
            <v>5</v>
          </cell>
          <cell r="H359">
            <v>3199825</v>
          </cell>
          <cell r="I359" t="e">
            <v>#N/A</v>
          </cell>
          <cell r="J359" t="str">
            <v>PHOENIX</v>
          </cell>
          <cell r="K359" t="str">
            <v>JUDICIAL</v>
          </cell>
          <cell r="L359" t="str">
            <v>121-150</v>
          </cell>
          <cell r="M359" t="str">
            <v>121-150</v>
          </cell>
          <cell r="N359" t="str">
            <v>VIGENTE</v>
          </cell>
        </row>
        <row r="360">
          <cell r="D360">
            <v>3101591</v>
          </cell>
          <cell r="E360" t="str">
            <v>Ariel Silva</v>
          </cell>
          <cell r="F360">
            <v>187</v>
          </cell>
          <cell r="H360">
            <v>5397065</v>
          </cell>
          <cell r="I360" t="e">
            <v>#N/A</v>
          </cell>
          <cell r="J360" t="str">
            <v>PHOENIX</v>
          </cell>
          <cell r="K360" t="str">
            <v>JUDICIAL</v>
          </cell>
          <cell r="L360" t="str">
            <v>0-365</v>
          </cell>
          <cell r="M360" t="str">
            <v>0-365</v>
          </cell>
          <cell r="N360" t="str">
            <v>CASTIGO</v>
          </cell>
        </row>
        <row r="361">
          <cell r="D361">
            <v>3102979</v>
          </cell>
          <cell r="F361">
            <v>66</v>
          </cell>
          <cell r="G361">
            <v>3</v>
          </cell>
          <cell r="H361">
            <v>7415152</v>
          </cell>
          <cell r="I361" t="e">
            <v>#N/A</v>
          </cell>
          <cell r="J361" t="str">
            <v>PHOENIX</v>
          </cell>
          <cell r="K361" t="str">
            <v>JUDICIAL</v>
          </cell>
          <cell r="L361" t="str">
            <v>31-60</v>
          </cell>
          <cell r="M361" t="str">
            <v>61-90</v>
          </cell>
          <cell r="N361" t="str">
            <v>VIGENTE</v>
          </cell>
        </row>
        <row r="362">
          <cell r="D362">
            <v>3105588</v>
          </cell>
          <cell r="F362">
            <v>244</v>
          </cell>
          <cell r="G362">
            <v>9</v>
          </cell>
          <cell r="H362">
            <v>8346649</v>
          </cell>
          <cell r="I362" t="e">
            <v>#N/A</v>
          </cell>
          <cell r="J362" t="str">
            <v>PHOENIX</v>
          </cell>
          <cell r="K362" t="str">
            <v>JUDICIAL</v>
          </cell>
          <cell r="L362" t="str">
            <v>211-240</v>
          </cell>
          <cell r="M362" t="str">
            <v>241-270</v>
          </cell>
          <cell r="N362" t="str">
            <v>VIGENTE</v>
          </cell>
        </row>
        <row r="363">
          <cell r="D363">
            <v>3106371</v>
          </cell>
          <cell r="F363">
            <v>266</v>
          </cell>
          <cell r="G363">
            <v>9</v>
          </cell>
          <cell r="H363">
            <v>12635401</v>
          </cell>
          <cell r="I363" t="e">
            <v>#N/A</v>
          </cell>
          <cell r="J363" t="str">
            <v>PHOENIX</v>
          </cell>
          <cell r="K363" t="str">
            <v>JUDICIAL</v>
          </cell>
          <cell r="L363" t="str">
            <v>241-270</v>
          </cell>
          <cell r="M363" t="str">
            <v>241-270</v>
          </cell>
          <cell r="N363" t="str">
            <v>VIGENTE</v>
          </cell>
        </row>
        <row r="364">
          <cell r="D364">
            <v>3111100</v>
          </cell>
          <cell r="E364" t="str">
            <v>Ariel Silva</v>
          </cell>
          <cell r="F364">
            <v>126</v>
          </cell>
          <cell r="H364">
            <v>16502517</v>
          </cell>
          <cell r="I364">
            <v>45818</v>
          </cell>
          <cell r="J364" t="str">
            <v>PHOENIX</v>
          </cell>
          <cell r="K364" t="str">
            <v>JUDICIAL</v>
          </cell>
          <cell r="L364" t="str">
            <v>0-365</v>
          </cell>
          <cell r="M364" t="str">
            <v>0-365</v>
          </cell>
          <cell r="N364" t="str">
            <v>CASTIGO</v>
          </cell>
        </row>
        <row r="365">
          <cell r="D365">
            <v>3115354</v>
          </cell>
          <cell r="F365">
            <v>288</v>
          </cell>
          <cell r="G365">
            <v>10</v>
          </cell>
          <cell r="H365">
            <v>9746584</v>
          </cell>
          <cell r="I365" t="e">
            <v>#N/A</v>
          </cell>
          <cell r="J365" t="str">
            <v>PHOENIX</v>
          </cell>
          <cell r="K365" t="str">
            <v>JUDICIAL</v>
          </cell>
          <cell r="L365" t="str">
            <v>271-300</v>
          </cell>
          <cell r="M365" t="str">
            <v>271-300</v>
          </cell>
          <cell r="N365" t="str">
            <v>VIGENTE</v>
          </cell>
        </row>
        <row r="366">
          <cell r="D366">
            <v>3115557</v>
          </cell>
          <cell r="E366" t="str">
            <v>Ariel Silva</v>
          </cell>
          <cell r="F366">
            <v>95</v>
          </cell>
          <cell r="H366">
            <v>10316441</v>
          </cell>
          <cell r="I366" t="e">
            <v>#N/A</v>
          </cell>
          <cell r="J366" t="str">
            <v>PHOENIX</v>
          </cell>
          <cell r="K366" t="str">
            <v>JUDICIAL</v>
          </cell>
          <cell r="L366" t="str">
            <v>0-365</v>
          </cell>
          <cell r="M366" t="str">
            <v>0-365</v>
          </cell>
          <cell r="N366" t="str">
            <v>CASTIGO</v>
          </cell>
        </row>
        <row r="367">
          <cell r="D367">
            <v>3120521</v>
          </cell>
          <cell r="E367" t="str">
            <v>Ariel Silva</v>
          </cell>
          <cell r="F367">
            <v>156</v>
          </cell>
          <cell r="H367">
            <v>15352634</v>
          </cell>
          <cell r="I367" t="e">
            <v>#N/A</v>
          </cell>
          <cell r="J367" t="str">
            <v>PHOENIX</v>
          </cell>
          <cell r="K367" t="str">
            <v>JUDICIAL</v>
          </cell>
          <cell r="L367" t="str">
            <v>0-365</v>
          </cell>
          <cell r="M367" t="str">
            <v>0-365</v>
          </cell>
          <cell r="N367" t="str">
            <v>CASTIGO</v>
          </cell>
        </row>
        <row r="368">
          <cell r="D368">
            <v>3124170</v>
          </cell>
          <cell r="F368">
            <v>311</v>
          </cell>
          <cell r="G368">
            <v>11</v>
          </cell>
          <cell r="H368">
            <v>7233742</v>
          </cell>
          <cell r="I368" t="e">
            <v>#N/A</v>
          </cell>
          <cell r="J368" t="str">
            <v>PHOENIX</v>
          </cell>
          <cell r="K368" t="str">
            <v>JUDICIAL</v>
          </cell>
          <cell r="L368" t="str">
            <v>301-330</v>
          </cell>
          <cell r="M368" t="str">
            <v>301-330</v>
          </cell>
          <cell r="N368" t="str">
            <v>VIGENTE</v>
          </cell>
        </row>
        <row r="369">
          <cell r="D369">
            <v>3126130</v>
          </cell>
          <cell r="F369">
            <v>166</v>
          </cell>
          <cell r="G369">
            <v>6</v>
          </cell>
          <cell r="H369">
            <v>9364281</v>
          </cell>
          <cell r="I369" t="e">
            <v>#N/A</v>
          </cell>
          <cell r="J369" t="str">
            <v>PHOENIX</v>
          </cell>
          <cell r="K369" t="str">
            <v>JUDICIAL</v>
          </cell>
          <cell r="L369" t="str">
            <v>151-180</v>
          </cell>
          <cell r="M369" t="str">
            <v>151-180</v>
          </cell>
          <cell r="N369" t="str">
            <v>VIGENTE</v>
          </cell>
        </row>
        <row r="370">
          <cell r="D370">
            <v>3128019</v>
          </cell>
          <cell r="F370">
            <v>13</v>
          </cell>
          <cell r="G370">
            <v>1</v>
          </cell>
          <cell r="H370">
            <v>8021967</v>
          </cell>
          <cell r="I370" t="e">
            <v>#N/A</v>
          </cell>
          <cell r="J370" t="str">
            <v>PHOENIX</v>
          </cell>
          <cell r="K370" t="str">
            <v>JUDICIAL</v>
          </cell>
          <cell r="L370" t="str">
            <v>31-60</v>
          </cell>
          <cell r="M370" t="str">
            <v>1-30</v>
          </cell>
          <cell r="N370" t="str">
            <v>VIGENTE</v>
          </cell>
        </row>
        <row r="371">
          <cell r="D371">
            <v>3129282</v>
          </cell>
          <cell r="F371">
            <v>245</v>
          </cell>
          <cell r="G371">
            <v>9</v>
          </cell>
          <cell r="H371">
            <v>8502503</v>
          </cell>
          <cell r="I371" t="e">
            <v>#N/A</v>
          </cell>
          <cell r="J371" t="str">
            <v>PHOENIX</v>
          </cell>
          <cell r="K371" t="str">
            <v>JUDICIAL</v>
          </cell>
          <cell r="L371" t="str">
            <v>211-240</v>
          </cell>
          <cell r="M371" t="str">
            <v>241-270</v>
          </cell>
          <cell r="N371" t="str">
            <v>VIGENTE</v>
          </cell>
        </row>
        <row r="372">
          <cell r="D372">
            <v>3136967</v>
          </cell>
          <cell r="E372" t="str">
            <v>Ariel Silva</v>
          </cell>
          <cell r="F372">
            <v>187</v>
          </cell>
          <cell r="H372">
            <v>4486091</v>
          </cell>
          <cell r="I372" t="e">
            <v>#N/A</v>
          </cell>
          <cell r="J372" t="str">
            <v>PHOENIX</v>
          </cell>
          <cell r="K372" t="str">
            <v>JUDICIAL</v>
          </cell>
          <cell r="L372" t="str">
            <v>0-365</v>
          </cell>
          <cell r="M372" t="str">
            <v>0-365</v>
          </cell>
          <cell r="N372" t="str">
            <v>CASTIGO</v>
          </cell>
        </row>
        <row r="373">
          <cell r="D373">
            <v>3139873</v>
          </cell>
          <cell r="E373" t="str">
            <v>Ariel Silva</v>
          </cell>
          <cell r="F373">
            <v>187</v>
          </cell>
          <cell r="H373">
            <v>14952440</v>
          </cell>
          <cell r="I373" t="e">
            <v>#N/A</v>
          </cell>
          <cell r="J373" t="str">
            <v>PHOENIX</v>
          </cell>
          <cell r="K373" t="str">
            <v>JUDICIAL</v>
          </cell>
          <cell r="L373" t="str">
            <v>0-365</v>
          </cell>
          <cell r="M373" t="str">
            <v>0-365</v>
          </cell>
          <cell r="N373" t="str">
            <v>CASTIGO</v>
          </cell>
        </row>
        <row r="374">
          <cell r="D374">
            <v>3142604</v>
          </cell>
          <cell r="F374">
            <v>342</v>
          </cell>
          <cell r="G374">
            <v>12</v>
          </cell>
          <cell r="H374">
            <v>8487006</v>
          </cell>
          <cell r="I374" t="e">
            <v>#N/A</v>
          </cell>
          <cell r="J374" t="str">
            <v>PHOENIX</v>
          </cell>
          <cell r="K374" t="str">
            <v>JUDICIAL</v>
          </cell>
          <cell r="L374" t="str">
            <v>331-360</v>
          </cell>
          <cell r="M374" t="str">
            <v>331-360</v>
          </cell>
          <cell r="N374" t="str">
            <v>VIGENTE</v>
          </cell>
        </row>
        <row r="375">
          <cell r="D375">
            <v>3145390</v>
          </cell>
          <cell r="E375" t="str">
            <v>Ariel Silva</v>
          </cell>
          <cell r="F375">
            <v>187</v>
          </cell>
          <cell r="H375">
            <v>11199444</v>
          </cell>
          <cell r="I375" t="e">
            <v>#N/A</v>
          </cell>
          <cell r="J375" t="str">
            <v>PHOENIX</v>
          </cell>
          <cell r="K375" t="str">
            <v>JUDICIAL</v>
          </cell>
          <cell r="L375" t="str">
            <v>0-365</v>
          </cell>
          <cell r="M375" t="str">
            <v>0-365</v>
          </cell>
          <cell r="N375" t="str">
            <v>CASTIGO</v>
          </cell>
        </row>
        <row r="376">
          <cell r="D376">
            <v>3151163</v>
          </cell>
          <cell r="F376">
            <v>63</v>
          </cell>
          <cell r="G376">
            <v>3</v>
          </cell>
          <cell r="H376">
            <v>16994018</v>
          </cell>
          <cell r="I376" t="e">
            <v>#N/A</v>
          </cell>
          <cell r="J376" t="str">
            <v>PHOENIX</v>
          </cell>
          <cell r="K376" t="str">
            <v>JUDICIAL</v>
          </cell>
          <cell r="L376" t="str">
            <v>31-60</v>
          </cell>
          <cell r="M376" t="str">
            <v>61-90</v>
          </cell>
          <cell r="N376" t="str">
            <v>VIGENTE</v>
          </cell>
        </row>
        <row r="377">
          <cell r="D377">
            <v>3152876</v>
          </cell>
          <cell r="F377">
            <v>258</v>
          </cell>
          <cell r="G377">
            <v>9</v>
          </cell>
          <cell r="H377">
            <v>7864849</v>
          </cell>
          <cell r="I377" t="e">
            <v>#N/A</v>
          </cell>
          <cell r="J377" t="str">
            <v>PHOENIX</v>
          </cell>
          <cell r="K377" t="str">
            <v>JUDICIAL</v>
          </cell>
          <cell r="L377" t="str">
            <v>241-270</v>
          </cell>
          <cell r="M377" t="str">
            <v>241-270</v>
          </cell>
          <cell r="N377" t="str">
            <v>VIGENTE</v>
          </cell>
        </row>
        <row r="378">
          <cell r="D378">
            <v>3158483</v>
          </cell>
          <cell r="F378">
            <v>221</v>
          </cell>
          <cell r="G378">
            <v>8</v>
          </cell>
          <cell r="H378">
            <v>4130822</v>
          </cell>
          <cell r="I378" t="e">
            <v>#N/A</v>
          </cell>
          <cell r="J378" t="str">
            <v>PHOENIX</v>
          </cell>
          <cell r="K378" t="str">
            <v>JUDICIAL</v>
          </cell>
          <cell r="L378" t="str">
            <v>211-240</v>
          </cell>
          <cell r="M378" t="str">
            <v>211-240</v>
          </cell>
          <cell r="N378" t="str">
            <v>VIGENTE</v>
          </cell>
        </row>
        <row r="379">
          <cell r="D379">
            <v>3159040</v>
          </cell>
          <cell r="F379">
            <v>51</v>
          </cell>
          <cell r="G379">
            <v>2</v>
          </cell>
          <cell r="H379">
            <v>16330273</v>
          </cell>
          <cell r="I379" t="e">
            <v>#N/A</v>
          </cell>
          <cell r="J379" t="str">
            <v>PHOENIX</v>
          </cell>
          <cell r="K379" t="str">
            <v>JUDICIAL</v>
          </cell>
          <cell r="L379" t="str">
            <v>31-60</v>
          </cell>
          <cell r="M379" t="str">
            <v>31-60</v>
          </cell>
          <cell r="N379" t="str">
            <v>VIGENTE</v>
          </cell>
        </row>
        <row r="380">
          <cell r="D380">
            <v>3159188</v>
          </cell>
          <cell r="E380" t="str">
            <v>Ariel Silva</v>
          </cell>
          <cell r="F380">
            <v>156</v>
          </cell>
          <cell r="H380">
            <v>11018901</v>
          </cell>
          <cell r="I380">
            <v>46015</v>
          </cell>
          <cell r="J380" t="str">
            <v>PHOENIX</v>
          </cell>
          <cell r="K380" t="str">
            <v>JUDICIAL</v>
          </cell>
          <cell r="L380" t="str">
            <v>0-365</v>
          </cell>
          <cell r="M380" t="str">
            <v>0-365</v>
          </cell>
          <cell r="N380" t="str">
            <v>CASTIGO</v>
          </cell>
        </row>
        <row r="381">
          <cell r="D381">
            <v>3165842</v>
          </cell>
          <cell r="F381">
            <v>215</v>
          </cell>
          <cell r="G381">
            <v>8</v>
          </cell>
          <cell r="H381">
            <v>8817306</v>
          </cell>
          <cell r="I381" t="e">
            <v>#N/A</v>
          </cell>
          <cell r="J381" t="str">
            <v>PHOENIX</v>
          </cell>
          <cell r="K381" t="str">
            <v>JUDICIAL</v>
          </cell>
          <cell r="L381" t="str">
            <v>181-210</v>
          </cell>
          <cell r="M381" t="str">
            <v>211-240</v>
          </cell>
          <cell r="N381" t="str">
            <v>VIGENTE</v>
          </cell>
        </row>
        <row r="382">
          <cell r="D382">
            <v>3167343</v>
          </cell>
          <cell r="F382">
            <v>246</v>
          </cell>
          <cell r="G382">
            <v>9</v>
          </cell>
          <cell r="H382">
            <v>6511728</v>
          </cell>
          <cell r="I382" t="e">
            <v>#N/A</v>
          </cell>
          <cell r="J382" t="str">
            <v>PHOENIX</v>
          </cell>
          <cell r="K382" t="str">
            <v>JUDICIAL</v>
          </cell>
          <cell r="L382" t="str">
            <v>211-240</v>
          </cell>
          <cell r="M382" t="str">
            <v>241-270</v>
          </cell>
          <cell r="N382" t="str">
            <v>VIGENTE</v>
          </cell>
        </row>
        <row r="383">
          <cell r="D383">
            <v>3170179</v>
          </cell>
          <cell r="E383" t="str">
            <v>Ariel Silva</v>
          </cell>
          <cell r="F383">
            <v>126</v>
          </cell>
          <cell r="H383">
            <v>20999759</v>
          </cell>
          <cell r="I383">
            <v>46014</v>
          </cell>
          <cell r="J383" t="str">
            <v>PHOENIX</v>
          </cell>
          <cell r="K383" t="str">
            <v>JUDICIAL</v>
          </cell>
          <cell r="L383" t="str">
            <v>0-365</v>
          </cell>
          <cell r="M383" t="str">
            <v>0-365</v>
          </cell>
          <cell r="N383" t="str">
            <v>CASTIGO</v>
          </cell>
        </row>
        <row r="384">
          <cell r="D384">
            <v>3170180</v>
          </cell>
          <cell r="F384">
            <v>241</v>
          </cell>
          <cell r="G384">
            <v>8</v>
          </cell>
          <cell r="H384">
            <v>7998288</v>
          </cell>
          <cell r="I384" t="e">
            <v>#N/A</v>
          </cell>
          <cell r="J384" t="str">
            <v>PHOENIX</v>
          </cell>
          <cell r="K384" t="str">
            <v>JUDICIAL</v>
          </cell>
          <cell r="L384" t="str">
            <v>211-240</v>
          </cell>
          <cell r="M384" t="str">
            <v>241-270</v>
          </cell>
          <cell r="N384" t="str">
            <v>VIGENTE</v>
          </cell>
        </row>
        <row r="385">
          <cell r="D385">
            <v>3171859</v>
          </cell>
          <cell r="F385">
            <v>160</v>
          </cell>
          <cell r="G385">
            <v>6</v>
          </cell>
          <cell r="H385">
            <v>3524049</v>
          </cell>
          <cell r="I385" t="e">
            <v>#N/A</v>
          </cell>
          <cell r="J385" t="str">
            <v>PHOENIX</v>
          </cell>
          <cell r="K385" t="str">
            <v>JUDICIAL</v>
          </cell>
          <cell r="L385" t="str">
            <v>151-180</v>
          </cell>
          <cell r="M385" t="str">
            <v>151-180</v>
          </cell>
          <cell r="N385" t="str">
            <v>VIGENTE</v>
          </cell>
        </row>
        <row r="386">
          <cell r="D386">
            <v>3172499</v>
          </cell>
          <cell r="F386">
            <v>109</v>
          </cell>
          <cell r="G386">
            <v>4</v>
          </cell>
          <cell r="H386">
            <v>4324877</v>
          </cell>
          <cell r="I386" t="e">
            <v>#N/A</v>
          </cell>
          <cell r="J386" t="str">
            <v>PHOENIX</v>
          </cell>
          <cell r="K386" t="str">
            <v>JUDICIAL</v>
          </cell>
          <cell r="L386" t="str">
            <v>91-120</v>
          </cell>
          <cell r="M386" t="str">
            <v>91-120</v>
          </cell>
          <cell r="N386" t="str">
            <v>VIGENTE</v>
          </cell>
        </row>
        <row r="387">
          <cell r="D387">
            <v>3178119</v>
          </cell>
          <cell r="F387">
            <v>358</v>
          </cell>
          <cell r="G387">
            <v>12</v>
          </cell>
          <cell r="H387">
            <v>10137375</v>
          </cell>
          <cell r="I387" t="e">
            <v>#N/A</v>
          </cell>
          <cell r="J387" t="str">
            <v>PHOENIX</v>
          </cell>
          <cell r="K387" t="str">
            <v>JUDICIAL</v>
          </cell>
          <cell r="L387" t="str">
            <v>331-360</v>
          </cell>
          <cell r="M387" t="str">
            <v>331-360</v>
          </cell>
          <cell r="N387" t="str">
            <v>VIGENTE</v>
          </cell>
        </row>
        <row r="388">
          <cell r="D388">
            <v>3181529</v>
          </cell>
          <cell r="F388">
            <v>297</v>
          </cell>
          <cell r="G388">
            <v>10</v>
          </cell>
          <cell r="H388">
            <v>7149195</v>
          </cell>
          <cell r="I388" t="e">
            <v>#N/A</v>
          </cell>
          <cell r="J388" t="str">
            <v>PHOENIX</v>
          </cell>
          <cell r="K388" t="str">
            <v>JUDICIAL</v>
          </cell>
          <cell r="L388" t="str">
            <v>271-300</v>
          </cell>
          <cell r="M388" t="str">
            <v>271-300</v>
          </cell>
          <cell r="N388" t="str">
            <v>VIGENTE</v>
          </cell>
        </row>
        <row r="389">
          <cell r="D389">
            <v>3182276</v>
          </cell>
          <cell r="F389">
            <v>38</v>
          </cell>
          <cell r="G389">
            <v>2</v>
          </cell>
          <cell r="H389">
            <v>3653101</v>
          </cell>
          <cell r="I389" t="e">
            <v>#N/A</v>
          </cell>
          <cell r="J389" t="str">
            <v>PHOENIX</v>
          </cell>
          <cell r="K389" t="str">
            <v>JUDICIAL</v>
          </cell>
          <cell r="L389" t="str">
            <v>1-30</v>
          </cell>
          <cell r="M389" t="str">
            <v>31-60</v>
          </cell>
          <cell r="N389" t="str">
            <v>VIGENTE</v>
          </cell>
        </row>
        <row r="390">
          <cell r="D390">
            <v>3196584</v>
          </cell>
          <cell r="F390">
            <v>185</v>
          </cell>
          <cell r="G390">
            <v>7</v>
          </cell>
          <cell r="H390">
            <v>6241808</v>
          </cell>
          <cell r="I390" t="e">
            <v>#N/A</v>
          </cell>
          <cell r="J390" t="str">
            <v>PHOENIX</v>
          </cell>
          <cell r="K390" t="str">
            <v>JUDICIAL</v>
          </cell>
          <cell r="L390" t="str">
            <v>151-180</v>
          </cell>
          <cell r="M390" t="str">
            <v>181-210</v>
          </cell>
          <cell r="N390" t="str">
            <v>VIGENTE</v>
          </cell>
        </row>
        <row r="391">
          <cell r="D391">
            <v>3201695</v>
          </cell>
          <cell r="F391">
            <v>246</v>
          </cell>
          <cell r="G391">
            <v>9</v>
          </cell>
          <cell r="H391">
            <v>11220517</v>
          </cell>
          <cell r="I391" t="e">
            <v>#N/A</v>
          </cell>
          <cell r="J391" t="str">
            <v>PHOENIX</v>
          </cell>
          <cell r="K391" t="str">
            <v>JUDICIAL</v>
          </cell>
          <cell r="L391" t="str">
            <v>211-240</v>
          </cell>
          <cell r="M391" t="str">
            <v>241-270</v>
          </cell>
          <cell r="N391" t="str">
            <v>VIGENTE</v>
          </cell>
        </row>
        <row r="392">
          <cell r="D392">
            <v>3202810</v>
          </cell>
          <cell r="F392">
            <v>313</v>
          </cell>
          <cell r="G392">
            <v>11</v>
          </cell>
          <cell r="H392">
            <v>5430029</v>
          </cell>
          <cell r="I392" t="e">
            <v>#N/A</v>
          </cell>
          <cell r="J392" t="str">
            <v>PHOENIX</v>
          </cell>
          <cell r="K392" t="str">
            <v>JUDICIAL</v>
          </cell>
          <cell r="L392" t="str">
            <v>301-330</v>
          </cell>
          <cell r="M392" t="str">
            <v>301-330</v>
          </cell>
          <cell r="N392" t="str">
            <v>VIGENTE</v>
          </cell>
        </row>
        <row r="393">
          <cell r="D393">
            <v>3204579</v>
          </cell>
          <cell r="F393">
            <v>241</v>
          </cell>
          <cell r="G393">
            <v>8</v>
          </cell>
          <cell r="H393">
            <v>9380969</v>
          </cell>
          <cell r="I393" t="e">
            <v>#N/A</v>
          </cell>
          <cell r="J393" t="str">
            <v>PHOENIX</v>
          </cell>
          <cell r="K393" t="str">
            <v>JUDICIAL</v>
          </cell>
          <cell r="L393" t="str">
            <v>211-240</v>
          </cell>
          <cell r="M393" t="str">
            <v>241-270</v>
          </cell>
          <cell r="N393" t="str">
            <v>VIGENTE</v>
          </cell>
        </row>
        <row r="394">
          <cell r="D394">
            <v>3211805</v>
          </cell>
          <cell r="E394" t="str">
            <v>Ariel Silva</v>
          </cell>
          <cell r="F394">
            <v>95</v>
          </cell>
          <cell r="H394">
            <v>11543221</v>
          </cell>
          <cell r="I394" t="e">
            <v>#N/A</v>
          </cell>
          <cell r="J394" t="str">
            <v>PHOENIX</v>
          </cell>
          <cell r="K394" t="str">
            <v>JUDICIAL</v>
          </cell>
          <cell r="L394" t="str">
            <v>0-365</v>
          </cell>
          <cell r="M394" t="str">
            <v>0-365</v>
          </cell>
          <cell r="N394" t="str">
            <v>CASTIGO</v>
          </cell>
        </row>
        <row r="395">
          <cell r="D395">
            <v>3222068</v>
          </cell>
          <cell r="F395">
            <v>97</v>
          </cell>
          <cell r="G395">
            <v>2</v>
          </cell>
          <cell r="H395">
            <v>751544</v>
          </cell>
          <cell r="I395" t="e">
            <v>#N/A</v>
          </cell>
          <cell r="J395" t="str">
            <v>PHOENIX</v>
          </cell>
          <cell r="K395" t="str">
            <v>JUDICIAL</v>
          </cell>
          <cell r="L395" t="str">
            <v>91-120</v>
          </cell>
          <cell r="M395" t="str">
            <v>91-120</v>
          </cell>
          <cell r="N395" t="str">
            <v>VIGENTE</v>
          </cell>
        </row>
        <row r="396">
          <cell r="D396">
            <v>3227495</v>
          </cell>
          <cell r="F396">
            <v>250</v>
          </cell>
          <cell r="G396">
            <v>9</v>
          </cell>
          <cell r="H396">
            <v>14028698</v>
          </cell>
          <cell r="I396" t="e">
            <v>#N/A</v>
          </cell>
          <cell r="J396" t="str">
            <v>PHOENIX</v>
          </cell>
          <cell r="K396" t="str">
            <v>JUDICIAL</v>
          </cell>
          <cell r="L396" t="str">
            <v>241-270</v>
          </cell>
          <cell r="M396" t="str">
            <v>241-270</v>
          </cell>
          <cell r="N396" t="str">
            <v>VIGENTE</v>
          </cell>
        </row>
        <row r="397">
          <cell r="D397">
            <v>3229989</v>
          </cell>
          <cell r="E397" t="str">
            <v>Ariel Silva</v>
          </cell>
          <cell r="F397">
            <v>95</v>
          </cell>
          <cell r="H397">
            <v>20974222</v>
          </cell>
          <cell r="I397" t="e">
            <v>#N/A</v>
          </cell>
          <cell r="J397" t="str">
            <v>PHOENIX</v>
          </cell>
          <cell r="K397" t="str">
            <v>JUDICIAL</v>
          </cell>
          <cell r="L397" t="str">
            <v>0-365</v>
          </cell>
          <cell r="M397" t="str">
            <v>0-365</v>
          </cell>
          <cell r="N397" t="str">
            <v>CASTIGO</v>
          </cell>
        </row>
        <row r="398">
          <cell r="D398">
            <v>3232308</v>
          </cell>
          <cell r="F398">
            <v>340</v>
          </cell>
          <cell r="G398">
            <v>12</v>
          </cell>
          <cell r="H398">
            <v>13994065</v>
          </cell>
          <cell r="I398" t="e">
            <v>#N/A</v>
          </cell>
          <cell r="J398" t="str">
            <v>PHOENIX</v>
          </cell>
          <cell r="K398" t="str">
            <v>JUDICIAL</v>
          </cell>
          <cell r="L398" t="str">
            <v>331-360</v>
          </cell>
          <cell r="M398" t="str">
            <v>331-360</v>
          </cell>
          <cell r="N398" t="str">
            <v>VIGENTE</v>
          </cell>
        </row>
        <row r="399">
          <cell r="D399">
            <v>3246183</v>
          </cell>
          <cell r="E399" t="str">
            <v>Ariel Silva</v>
          </cell>
          <cell r="F399">
            <v>64</v>
          </cell>
          <cell r="H399">
            <v>9836611</v>
          </cell>
          <cell r="I399">
            <v>46087</v>
          </cell>
          <cell r="J399" t="str">
            <v>PHOENIX</v>
          </cell>
          <cell r="K399" t="str">
            <v>JUDICIAL</v>
          </cell>
          <cell r="L399" t="str">
            <v>0-365</v>
          </cell>
          <cell r="M399" t="str">
            <v>0-365</v>
          </cell>
          <cell r="N399" t="str">
            <v>CASTIGO</v>
          </cell>
        </row>
        <row r="400">
          <cell r="D400">
            <v>3251019</v>
          </cell>
          <cell r="F400">
            <v>57</v>
          </cell>
          <cell r="G400">
            <v>2</v>
          </cell>
          <cell r="H400">
            <v>10170473</v>
          </cell>
          <cell r="I400" t="e">
            <v>#N/A</v>
          </cell>
          <cell r="J400" t="str">
            <v>PHOENIX</v>
          </cell>
          <cell r="K400" t="str">
            <v>JUDICIAL</v>
          </cell>
          <cell r="L400" t="str">
            <v>31-60</v>
          </cell>
          <cell r="M400" t="str">
            <v>31-60</v>
          </cell>
          <cell r="N400" t="str">
            <v>VIGENTE</v>
          </cell>
        </row>
        <row r="401">
          <cell r="D401">
            <v>3251456</v>
          </cell>
          <cell r="F401">
            <v>272</v>
          </cell>
          <cell r="G401">
            <v>9</v>
          </cell>
          <cell r="H401">
            <v>7291990</v>
          </cell>
          <cell r="I401" t="e">
            <v>#N/A</v>
          </cell>
          <cell r="J401" t="str">
            <v>PHOENIX</v>
          </cell>
          <cell r="K401" t="str">
            <v>JUDICIAL</v>
          </cell>
          <cell r="L401" t="str">
            <v>241-270</v>
          </cell>
          <cell r="M401" t="str">
            <v>271-300</v>
          </cell>
          <cell r="N401" t="str">
            <v>VIGENTE</v>
          </cell>
        </row>
        <row r="402">
          <cell r="D402">
            <v>3253109</v>
          </cell>
          <cell r="F402">
            <v>124</v>
          </cell>
          <cell r="G402">
            <v>5</v>
          </cell>
          <cell r="H402">
            <v>10551229</v>
          </cell>
          <cell r="I402" t="e">
            <v>#N/A</v>
          </cell>
          <cell r="J402" t="str">
            <v>PHOENIX</v>
          </cell>
          <cell r="K402" t="str">
            <v>JUDICIAL</v>
          </cell>
          <cell r="L402" t="str">
            <v>91-120</v>
          </cell>
          <cell r="M402" t="str">
            <v>121-150</v>
          </cell>
          <cell r="N402" t="str">
            <v>VIGENTE</v>
          </cell>
        </row>
        <row r="403">
          <cell r="D403">
            <v>3253290</v>
          </cell>
          <cell r="E403" t="str">
            <v>Ariel Silva</v>
          </cell>
          <cell r="F403">
            <v>95</v>
          </cell>
          <cell r="H403">
            <v>11223328</v>
          </cell>
          <cell r="I403">
            <v>45978</v>
          </cell>
          <cell r="J403" t="str">
            <v>PHOENIX</v>
          </cell>
          <cell r="K403" t="str">
            <v>JUDICIAL</v>
          </cell>
          <cell r="L403" t="str">
            <v>0-365</v>
          </cell>
          <cell r="M403" t="str">
            <v>0-365</v>
          </cell>
          <cell r="N403" t="str">
            <v>CASTIGO</v>
          </cell>
        </row>
        <row r="404">
          <cell r="D404">
            <v>3256612</v>
          </cell>
          <cell r="F404">
            <v>272</v>
          </cell>
          <cell r="G404">
            <v>9</v>
          </cell>
          <cell r="H404">
            <v>8114217</v>
          </cell>
          <cell r="I404" t="e">
            <v>#N/A</v>
          </cell>
          <cell r="J404" t="str">
            <v>PHOENIX</v>
          </cell>
          <cell r="K404" t="str">
            <v>JUDICIAL</v>
          </cell>
          <cell r="L404" t="str">
            <v>241-270</v>
          </cell>
          <cell r="M404" t="str">
            <v>271-300</v>
          </cell>
          <cell r="N404" t="str">
            <v>VIGENTE</v>
          </cell>
        </row>
        <row r="405">
          <cell r="D405">
            <v>3274975</v>
          </cell>
          <cell r="F405">
            <v>154</v>
          </cell>
          <cell r="G405">
            <v>6</v>
          </cell>
          <cell r="H405">
            <v>3383071</v>
          </cell>
          <cell r="I405" t="e">
            <v>#N/A</v>
          </cell>
          <cell r="J405" t="str">
            <v>PHOENIX</v>
          </cell>
          <cell r="K405" t="str">
            <v>JUDICIAL</v>
          </cell>
          <cell r="L405" t="str">
            <v>121-150</v>
          </cell>
          <cell r="M405" t="str">
            <v>151-180</v>
          </cell>
          <cell r="N405" t="str">
            <v>VIGENTE</v>
          </cell>
        </row>
        <row r="406">
          <cell r="D406">
            <v>3277070</v>
          </cell>
          <cell r="F406">
            <v>74</v>
          </cell>
          <cell r="G406">
            <v>3</v>
          </cell>
          <cell r="H406">
            <v>7028192</v>
          </cell>
          <cell r="I406" t="e">
            <v>#N/A</v>
          </cell>
          <cell r="J406" t="str">
            <v>PHOENIX</v>
          </cell>
          <cell r="K406" t="str">
            <v>JUDICIAL</v>
          </cell>
          <cell r="L406" t="str">
            <v>61-90</v>
          </cell>
          <cell r="M406" t="str">
            <v>61-90</v>
          </cell>
          <cell r="N406" t="str">
            <v>VIGENTE</v>
          </cell>
        </row>
        <row r="407">
          <cell r="D407">
            <v>3279513</v>
          </cell>
          <cell r="E407" t="str">
            <v>Ariel Silva</v>
          </cell>
          <cell r="F407">
            <v>1</v>
          </cell>
          <cell r="H407">
            <v>22258356</v>
          </cell>
          <cell r="I407">
            <v>45993</v>
          </cell>
          <cell r="J407" t="str">
            <v>PHOENIX</v>
          </cell>
          <cell r="K407" t="str">
            <v>JUDICIAL</v>
          </cell>
          <cell r="L407" t="str">
            <v>0-365</v>
          </cell>
          <cell r="M407" t="str">
            <v>0-365</v>
          </cell>
          <cell r="N407" t="str">
            <v>CASTIGO</v>
          </cell>
        </row>
        <row r="408">
          <cell r="D408">
            <v>3288242</v>
          </cell>
          <cell r="F408">
            <v>70</v>
          </cell>
          <cell r="G408">
            <v>3</v>
          </cell>
          <cell r="H408">
            <v>14684824</v>
          </cell>
          <cell r="I408" t="e">
            <v>#N/A</v>
          </cell>
          <cell r="J408" t="str">
            <v>PHOENIX</v>
          </cell>
          <cell r="K408" t="str">
            <v>JUDICIAL</v>
          </cell>
          <cell r="L408" t="str">
            <v>61-90</v>
          </cell>
          <cell r="M408" t="str">
            <v>61-90</v>
          </cell>
          <cell r="N408" t="str">
            <v>VIGENTE</v>
          </cell>
        </row>
        <row r="409">
          <cell r="D409">
            <v>3289969</v>
          </cell>
          <cell r="F409">
            <v>284</v>
          </cell>
          <cell r="G409">
            <v>10</v>
          </cell>
          <cell r="H409">
            <v>9305082</v>
          </cell>
          <cell r="I409" t="e">
            <v>#N/A</v>
          </cell>
          <cell r="J409" t="str">
            <v>PHOENIX</v>
          </cell>
          <cell r="K409" t="str">
            <v>JUDICIAL</v>
          </cell>
          <cell r="L409" t="str">
            <v>271-300</v>
          </cell>
          <cell r="M409" t="str">
            <v>271-300</v>
          </cell>
          <cell r="N409" t="str">
            <v>VIGENTE</v>
          </cell>
        </row>
        <row r="410">
          <cell r="D410">
            <v>3290027</v>
          </cell>
          <cell r="F410">
            <v>246</v>
          </cell>
          <cell r="G410">
            <v>9</v>
          </cell>
          <cell r="H410">
            <v>5151920</v>
          </cell>
          <cell r="I410" t="e">
            <v>#N/A</v>
          </cell>
          <cell r="J410" t="str">
            <v>PHOENIX</v>
          </cell>
          <cell r="K410" t="str">
            <v>JUDICIAL</v>
          </cell>
          <cell r="L410" t="str">
            <v>211-240</v>
          </cell>
          <cell r="M410" t="str">
            <v>241-270</v>
          </cell>
          <cell r="N410" t="str">
            <v>VIGENTE</v>
          </cell>
        </row>
        <row r="411">
          <cell r="D411">
            <v>3291352</v>
          </cell>
          <cell r="F411">
            <v>223</v>
          </cell>
          <cell r="G411">
            <v>8</v>
          </cell>
          <cell r="H411">
            <v>5019812</v>
          </cell>
          <cell r="I411" t="e">
            <v>#N/A</v>
          </cell>
          <cell r="J411" t="str">
            <v>PHOENIX</v>
          </cell>
          <cell r="K411" t="str">
            <v>JUDICIAL</v>
          </cell>
          <cell r="L411" t="str">
            <v>211-240</v>
          </cell>
          <cell r="M411" t="str">
            <v>211-240</v>
          </cell>
          <cell r="N411" t="str">
            <v>VIGENTE</v>
          </cell>
        </row>
        <row r="412">
          <cell r="D412">
            <v>3299202</v>
          </cell>
          <cell r="F412">
            <v>342</v>
          </cell>
          <cell r="G412">
            <v>12</v>
          </cell>
          <cell r="H412">
            <v>5303370</v>
          </cell>
          <cell r="I412" t="e">
            <v>#N/A</v>
          </cell>
          <cell r="J412" t="str">
            <v>PHOENIX</v>
          </cell>
          <cell r="K412" t="str">
            <v>JUDICIAL</v>
          </cell>
          <cell r="L412" t="str">
            <v>331-360</v>
          </cell>
          <cell r="M412" t="str">
            <v>331-360</v>
          </cell>
          <cell r="N412" t="str">
            <v>VIGENTE</v>
          </cell>
        </row>
        <row r="413">
          <cell r="D413">
            <v>3300453</v>
          </cell>
          <cell r="F413">
            <v>246</v>
          </cell>
          <cell r="G413">
            <v>9</v>
          </cell>
          <cell r="H413">
            <v>7686140</v>
          </cell>
          <cell r="I413" t="e">
            <v>#N/A</v>
          </cell>
          <cell r="J413" t="str">
            <v>PHOENIX</v>
          </cell>
          <cell r="K413" t="str">
            <v>JUDICIAL</v>
          </cell>
          <cell r="L413" t="str">
            <v>211-240</v>
          </cell>
          <cell r="M413" t="str">
            <v>241-270</v>
          </cell>
          <cell r="N413" t="str">
            <v>VIGENTE</v>
          </cell>
        </row>
        <row r="414">
          <cell r="D414">
            <v>3300923</v>
          </cell>
          <cell r="F414">
            <v>282</v>
          </cell>
          <cell r="G414">
            <v>10</v>
          </cell>
          <cell r="H414">
            <v>4532228</v>
          </cell>
          <cell r="I414">
            <v>46054</v>
          </cell>
          <cell r="J414" t="str">
            <v>PHOENIX</v>
          </cell>
          <cell r="K414" t="str">
            <v>JUDICIAL</v>
          </cell>
          <cell r="L414" t="str">
            <v>271-300</v>
          </cell>
          <cell r="M414" t="str">
            <v>271-300</v>
          </cell>
          <cell r="N414" t="str">
            <v>VIGENTE</v>
          </cell>
        </row>
        <row r="415">
          <cell r="D415">
            <v>3306478</v>
          </cell>
          <cell r="F415">
            <v>210</v>
          </cell>
          <cell r="G415">
            <v>7</v>
          </cell>
          <cell r="H415">
            <v>29850679</v>
          </cell>
          <cell r="I415" t="e">
            <v>#N/A</v>
          </cell>
          <cell r="J415" t="str">
            <v>PHOENIX</v>
          </cell>
          <cell r="K415" t="str">
            <v>JUDICIAL</v>
          </cell>
          <cell r="L415" t="str">
            <v>181-210</v>
          </cell>
          <cell r="M415" t="str">
            <v>181-210</v>
          </cell>
          <cell r="N415" t="str">
            <v>VIGENTE</v>
          </cell>
        </row>
        <row r="416">
          <cell r="D416">
            <v>3306565</v>
          </cell>
          <cell r="F416">
            <v>180</v>
          </cell>
          <cell r="G416">
            <v>6</v>
          </cell>
          <cell r="H416">
            <v>12041150</v>
          </cell>
          <cell r="I416" t="e">
            <v>#N/A</v>
          </cell>
          <cell r="J416" t="str">
            <v>PHOENIX</v>
          </cell>
          <cell r="K416" t="str">
            <v>JUDICIAL</v>
          </cell>
          <cell r="L416" t="str">
            <v>151-180</v>
          </cell>
          <cell r="M416" t="str">
            <v>151-180</v>
          </cell>
          <cell r="N416" t="str">
            <v>VIGENTE</v>
          </cell>
        </row>
        <row r="417">
          <cell r="D417">
            <v>3307443</v>
          </cell>
          <cell r="F417">
            <v>97</v>
          </cell>
          <cell r="G417">
            <v>4</v>
          </cell>
          <cell r="H417">
            <v>6808142</v>
          </cell>
          <cell r="I417">
            <v>46106</v>
          </cell>
          <cell r="J417" t="str">
            <v>PHOENIX</v>
          </cell>
          <cell r="K417" t="str">
            <v>JUDICIAL</v>
          </cell>
          <cell r="L417" t="str">
            <v>61-90</v>
          </cell>
          <cell r="M417" t="str">
            <v>91-120</v>
          </cell>
          <cell r="N417" t="str">
            <v>VIGENTE</v>
          </cell>
        </row>
        <row r="418">
          <cell r="D418">
            <v>3309254</v>
          </cell>
          <cell r="F418">
            <v>99</v>
          </cell>
          <cell r="G418">
            <v>4</v>
          </cell>
          <cell r="H418">
            <v>5993363</v>
          </cell>
          <cell r="I418" t="e">
            <v>#N/A</v>
          </cell>
          <cell r="J418" t="str">
            <v>PHOENIX</v>
          </cell>
          <cell r="K418" t="str">
            <v>JUDICIAL</v>
          </cell>
          <cell r="L418" t="str">
            <v>121-150</v>
          </cell>
          <cell r="M418" t="str">
            <v>91-120</v>
          </cell>
          <cell r="N418" t="str">
            <v>VIGENTE</v>
          </cell>
        </row>
        <row r="419">
          <cell r="D419">
            <v>3317826</v>
          </cell>
          <cell r="F419">
            <v>62</v>
          </cell>
          <cell r="G419">
            <v>3</v>
          </cell>
          <cell r="H419">
            <v>4717337</v>
          </cell>
          <cell r="I419" t="e">
            <v>#N/A</v>
          </cell>
          <cell r="J419" t="str">
            <v>PHOENIX</v>
          </cell>
          <cell r="K419" t="str">
            <v>JUDICIAL</v>
          </cell>
          <cell r="L419" t="str">
            <v>31-60</v>
          </cell>
          <cell r="M419" t="str">
            <v>61-90</v>
          </cell>
          <cell r="N419" t="str">
            <v>VIGENTE</v>
          </cell>
        </row>
        <row r="420">
          <cell r="D420">
            <v>3321265</v>
          </cell>
          <cell r="F420">
            <v>294</v>
          </cell>
          <cell r="G420">
            <v>10</v>
          </cell>
          <cell r="H420">
            <v>8539863</v>
          </cell>
          <cell r="I420">
            <v>46125</v>
          </cell>
          <cell r="J420" t="str">
            <v>PHOENIX</v>
          </cell>
          <cell r="K420" t="str">
            <v>JUDICIAL</v>
          </cell>
          <cell r="L420" t="str">
            <v>271-300</v>
          </cell>
          <cell r="M420" t="str">
            <v>271-300</v>
          </cell>
          <cell r="N420" t="str">
            <v>VIGENTE</v>
          </cell>
        </row>
        <row r="421">
          <cell r="D421">
            <v>3322707</v>
          </cell>
          <cell r="F421">
            <v>213</v>
          </cell>
          <cell r="G421">
            <v>8</v>
          </cell>
          <cell r="H421">
            <v>11650145</v>
          </cell>
          <cell r="I421" t="e">
            <v>#N/A</v>
          </cell>
          <cell r="J421" t="str">
            <v>PHOENIX</v>
          </cell>
          <cell r="K421" t="str">
            <v>JUDICIAL</v>
          </cell>
          <cell r="L421" t="str">
            <v>181-210</v>
          </cell>
          <cell r="M421" t="str">
            <v>211-240</v>
          </cell>
          <cell r="N421" t="str">
            <v>VIGENTE</v>
          </cell>
        </row>
        <row r="422">
          <cell r="D422">
            <v>3323737</v>
          </cell>
          <cell r="F422">
            <v>272</v>
          </cell>
          <cell r="G422">
            <v>9</v>
          </cell>
          <cell r="H422">
            <v>7630382</v>
          </cell>
          <cell r="I422" t="e">
            <v>#N/A</v>
          </cell>
          <cell r="J422" t="str">
            <v>PHOENIX</v>
          </cell>
          <cell r="K422" t="str">
            <v>JUDICIAL</v>
          </cell>
          <cell r="L422" t="str">
            <v>241-270</v>
          </cell>
          <cell r="M422" t="str">
            <v>271-300</v>
          </cell>
          <cell r="N422" t="str">
            <v>VIGENTE</v>
          </cell>
        </row>
        <row r="423">
          <cell r="D423">
            <v>3334027</v>
          </cell>
          <cell r="F423">
            <v>246</v>
          </cell>
          <cell r="G423">
            <v>9</v>
          </cell>
          <cell r="H423">
            <v>6962325</v>
          </cell>
          <cell r="I423" t="e">
            <v>#N/A</v>
          </cell>
          <cell r="J423" t="str">
            <v>PHOENIX</v>
          </cell>
          <cell r="K423" t="str">
            <v>JUDICIAL</v>
          </cell>
          <cell r="L423" t="str">
            <v>211-240</v>
          </cell>
          <cell r="M423" t="str">
            <v>241-270</v>
          </cell>
          <cell r="N423" t="str">
            <v>VIGENTE</v>
          </cell>
        </row>
        <row r="424">
          <cell r="D424">
            <v>3334914</v>
          </cell>
          <cell r="F424">
            <v>185</v>
          </cell>
          <cell r="G424">
            <v>7</v>
          </cell>
          <cell r="H424">
            <v>10768289</v>
          </cell>
          <cell r="I424" t="e">
            <v>#N/A</v>
          </cell>
          <cell r="J424" t="str">
            <v>PHOENIX</v>
          </cell>
          <cell r="K424" t="str">
            <v>JUDICIAL</v>
          </cell>
          <cell r="L424" t="str">
            <v>151-180</v>
          </cell>
          <cell r="M424" t="str">
            <v>181-210</v>
          </cell>
          <cell r="N424" t="str">
            <v>VIGENTE</v>
          </cell>
        </row>
        <row r="425">
          <cell r="D425">
            <v>3337736</v>
          </cell>
          <cell r="F425">
            <v>246</v>
          </cell>
          <cell r="G425">
            <v>8</v>
          </cell>
          <cell r="H425">
            <v>7658735</v>
          </cell>
          <cell r="I425" t="e">
            <v>#N/A</v>
          </cell>
          <cell r="J425" t="str">
            <v>PHOENIX</v>
          </cell>
          <cell r="K425" t="str">
            <v>JUDICIAL</v>
          </cell>
          <cell r="L425" t="str">
            <v>211-240</v>
          </cell>
          <cell r="M425" t="str">
            <v>241-270</v>
          </cell>
          <cell r="N425" t="str">
            <v>VIGENTE</v>
          </cell>
        </row>
        <row r="426">
          <cell r="D426">
            <v>3344186</v>
          </cell>
          <cell r="F426">
            <v>185</v>
          </cell>
          <cell r="G426">
            <v>7</v>
          </cell>
          <cell r="H426">
            <v>8539360</v>
          </cell>
          <cell r="I426" t="e">
            <v>#N/A</v>
          </cell>
          <cell r="J426" t="str">
            <v>PHOENIX</v>
          </cell>
          <cell r="K426" t="str">
            <v>JUDICIAL</v>
          </cell>
          <cell r="L426" t="str">
            <v>151-180</v>
          </cell>
          <cell r="M426" t="str">
            <v>181-210</v>
          </cell>
          <cell r="N426" t="str">
            <v>VIGENTE</v>
          </cell>
        </row>
        <row r="427">
          <cell r="D427">
            <v>3346122</v>
          </cell>
          <cell r="F427">
            <v>144</v>
          </cell>
          <cell r="G427">
            <v>5</v>
          </cell>
          <cell r="H427">
            <v>1934493</v>
          </cell>
          <cell r="I427" t="e">
            <v>#N/A</v>
          </cell>
          <cell r="J427" t="str">
            <v>PHOENIX</v>
          </cell>
          <cell r="K427" t="str">
            <v>JUDICIAL</v>
          </cell>
          <cell r="L427" t="str">
            <v>121-150</v>
          </cell>
          <cell r="M427" t="str">
            <v>121-150</v>
          </cell>
          <cell r="N427" t="str">
            <v>VIGENTE</v>
          </cell>
        </row>
        <row r="428">
          <cell r="D428">
            <v>3350049</v>
          </cell>
          <cell r="F428">
            <v>78</v>
          </cell>
          <cell r="G428">
            <v>3</v>
          </cell>
          <cell r="H428">
            <v>5661718</v>
          </cell>
          <cell r="I428" t="e">
            <v>#N/A</v>
          </cell>
          <cell r="J428" t="str">
            <v>PHOENIX</v>
          </cell>
          <cell r="K428" t="str">
            <v>JUDICIAL</v>
          </cell>
          <cell r="L428" t="str">
            <v>61-90</v>
          </cell>
          <cell r="M428" t="str">
            <v>61-90</v>
          </cell>
          <cell r="N428" t="str">
            <v>VIGENTE</v>
          </cell>
        </row>
        <row r="429">
          <cell r="D429">
            <v>3352007</v>
          </cell>
          <cell r="F429">
            <v>68</v>
          </cell>
          <cell r="G429">
            <v>3</v>
          </cell>
          <cell r="H429">
            <v>3640067</v>
          </cell>
          <cell r="I429" t="e">
            <v>#N/A</v>
          </cell>
          <cell r="J429" t="str">
            <v>PHOENIX</v>
          </cell>
          <cell r="K429" t="str">
            <v>JUDICIAL</v>
          </cell>
          <cell r="L429" t="str">
            <v>91-120</v>
          </cell>
          <cell r="M429" t="str">
            <v>61-90</v>
          </cell>
          <cell r="N429" t="str">
            <v>VIGENTE</v>
          </cell>
        </row>
        <row r="430">
          <cell r="D430">
            <v>3352545</v>
          </cell>
          <cell r="F430">
            <v>338</v>
          </cell>
          <cell r="G430">
            <v>12</v>
          </cell>
          <cell r="H430">
            <v>16102340</v>
          </cell>
          <cell r="I430" t="e">
            <v>#N/A</v>
          </cell>
          <cell r="J430" t="str">
            <v>PHOENIX</v>
          </cell>
          <cell r="K430" t="str">
            <v>JUDICIAL</v>
          </cell>
          <cell r="L430" t="str">
            <v>301-330</v>
          </cell>
          <cell r="M430" t="str">
            <v>331-360</v>
          </cell>
          <cell r="N430" t="str">
            <v>VIGENTE</v>
          </cell>
        </row>
        <row r="431">
          <cell r="D431">
            <v>3353242</v>
          </cell>
          <cell r="F431">
            <v>114</v>
          </cell>
          <cell r="G431">
            <v>4</v>
          </cell>
          <cell r="H431">
            <v>4026591</v>
          </cell>
          <cell r="I431" t="e">
            <v>#N/A</v>
          </cell>
          <cell r="J431" t="str">
            <v>PHOENIX</v>
          </cell>
          <cell r="K431" t="str">
            <v>JUDICIAL</v>
          </cell>
          <cell r="L431" t="str">
            <v>91-120</v>
          </cell>
          <cell r="M431" t="str">
            <v>91-120</v>
          </cell>
          <cell r="N431" t="str">
            <v>VIGENTE</v>
          </cell>
        </row>
        <row r="432">
          <cell r="D432">
            <v>3354368</v>
          </cell>
          <cell r="F432">
            <v>362</v>
          </cell>
          <cell r="G432">
            <v>12</v>
          </cell>
          <cell r="H432">
            <v>21888349</v>
          </cell>
          <cell r="I432" t="e">
            <v>#N/A</v>
          </cell>
          <cell r="J432" t="str">
            <v>PHOENIX</v>
          </cell>
          <cell r="K432" t="str">
            <v>JUDICIAL</v>
          </cell>
          <cell r="L432" t="str">
            <v>331-360</v>
          </cell>
          <cell r="M432" t="str">
            <v>361-390</v>
          </cell>
          <cell r="N432" t="str">
            <v>VIGENTE</v>
          </cell>
        </row>
        <row r="433">
          <cell r="D433">
            <v>3365202</v>
          </cell>
          <cell r="F433">
            <v>338</v>
          </cell>
          <cell r="G433">
            <v>12</v>
          </cell>
          <cell r="H433">
            <v>8073242</v>
          </cell>
          <cell r="I433">
            <v>46054</v>
          </cell>
          <cell r="J433" t="str">
            <v>PHOENIX</v>
          </cell>
          <cell r="K433" t="str">
            <v>JUDICIAL</v>
          </cell>
          <cell r="L433" t="str">
            <v>301-330</v>
          </cell>
          <cell r="M433" t="str">
            <v>331-360</v>
          </cell>
          <cell r="N433" t="str">
            <v>VIGENTE</v>
          </cell>
        </row>
        <row r="434">
          <cell r="D434">
            <v>3366045</v>
          </cell>
          <cell r="F434">
            <v>62</v>
          </cell>
          <cell r="G434">
            <v>3</v>
          </cell>
          <cell r="H434">
            <v>2625235</v>
          </cell>
          <cell r="I434" t="e">
            <v>#N/A</v>
          </cell>
          <cell r="J434" t="str">
            <v>PHOENIX</v>
          </cell>
          <cell r="K434" t="str">
            <v>JUDICIAL</v>
          </cell>
          <cell r="L434" t="str">
            <v>31-60</v>
          </cell>
          <cell r="M434" t="str">
            <v>61-90</v>
          </cell>
          <cell r="N434" t="str">
            <v>VIGENTE</v>
          </cell>
        </row>
        <row r="435">
          <cell r="D435">
            <v>3370287</v>
          </cell>
          <cell r="F435">
            <v>247</v>
          </cell>
          <cell r="G435">
            <v>9</v>
          </cell>
          <cell r="H435">
            <v>8154232</v>
          </cell>
          <cell r="I435" t="e">
            <v>#N/A</v>
          </cell>
          <cell r="J435" t="str">
            <v>PHOENIX</v>
          </cell>
          <cell r="K435" t="str">
            <v>JUDICIAL</v>
          </cell>
          <cell r="L435" t="str">
            <v>211-240</v>
          </cell>
          <cell r="M435" t="str">
            <v>241-270</v>
          </cell>
          <cell r="N435" t="str">
            <v>VIGENTE</v>
          </cell>
        </row>
        <row r="436">
          <cell r="D436">
            <v>3371421</v>
          </cell>
          <cell r="F436">
            <v>43</v>
          </cell>
          <cell r="G436">
            <v>2</v>
          </cell>
          <cell r="H436">
            <v>6207083</v>
          </cell>
          <cell r="I436" t="e">
            <v>#N/A</v>
          </cell>
          <cell r="J436" t="str">
            <v>PHOENIX</v>
          </cell>
          <cell r="K436" t="str">
            <v>JUDICIAL</v>
          </cell>
          <cell r="L436" t="str">
            <v>31-60</v>
          </cell>
          <cell r="M436" t="str">
            <v>31-60</v>
          </cell>
          <cell r="N436" t="str">
            <v>VIGENTE</v>
          </cell>
        </row>
        <row r="437">
          <cell r="D437">
            <v>3373904</v>
          </cell>
          <cell r="F437">
            <v>175</v>
          </cell>
          <cell r="G437">
            <v>6</v>
          </cell>
          <cell r="H437">
            <v>7994869</v>
          </cell>
          <cell r="I437" t="e">
            <v>#N/A</v>
          </cell>
          <cell r="J437" t="str">
            <v>PHOENIX</v>
          </cell>
          <cell r="K437" t="str">
            <v>JUDICIAL</v>
          </cell>
          <cell r="L437" t="str">
            <v>151-180</v>
          </cell>
          <cell r="M437" t="str">
            <v>151-180</v>
          </cell>
          <cell r="N437" t="str">
            <v>VIGENTE</v>
          </cell>
        </row>
        <row r="438">
          <cell r="D438">
            <v>3376847</v>
          </cell>
          <cell r="F438">
            <v>157</v>
          </cell>
          <cell r="G438">
            <v>6</v>
          </cell>
          <cell r="H438">
            <v>2862834</v>
          </cell>
          <cell r="I438" t="e">
            <v>#N/A</v>
          </cell>
          <cell r="J438" t="str">
            <v>PHOENIX</v>
          </cell>
          <cell r="K438" t="str">
            <v>JUDICIAL</v>
          </cell>
          <cell r="L438" t="str">
            <v>121-150</v>
          </cell>
          <cell r="M438" t="str">
            <v>151-180</v>
          </cell>
          <cell r="N438" t="str">
            <v>VIGENTE</v>
          </cell>
        </row>
        <row r="439">
          <cell r="D439">
            <v>3378278</v>
          </cell>
          <cell r="F439">
            <v>93</v>
          </cell>
          <cell r="G439">
            <v>4</v>
          </cell>
          <cell r="H439">
            <v>7464707</v>
          </cell>
          <cell r="I439" t="e">
            <v>#N/A</v>
          </cell>
          <cell r="J439" t="str">
            <v>PHOENIX</v>
          </cell>
          <cell r="K439" t="str">
            <v>JUDICIAL</v>
          </cell>
          <cell r="L439" t="str">
            <v>61-90</v>
          </cell>
          <cell r="M439" t="str">
            <v>91-120</v>
          </cell>
          <cell r="N439" t="str">
            <v>VIGENTE</v>
          </cell>
        </row>
        <row r="440">
          <cell r="D440">
            <v>3379591</v>
          </cell>
          <cell r="F440">
            <v>175</v>
          </cell>
          <cell r="G440">
            <v>6</v>
          </cell>
          <cell r="H440">
            <v>10856174</v>
          </cell>
          <cell r="I440" t="e">
            <v>#N/A</v>
          </cell>
          <cell r="J440" t="str">
            <v>PHOENIX</v>
          </cell>
          <cell r="K440" t="str">
            <v>JUDICIAL</v>
          </cell>
          <cell r="L440" t="str">
            <v>151-180</v>
          </cell>
          <cell r="M440" t="str">
            <v>151-180</v>
          </cell>
          <cell r="N440" t="str">
            <v>VIGENTE</v>
          </cell>
        </row>
        <row r="441">
          <cell r="D441">
            <v>3379660</v>
          </cell>
          <cell r="F441">
            <v>144</v>
          </cell>
          <cell r="G441">
            <v>5</v>
          </cell>
          <cell r="H441">
            <v>8374586</v>
          </cell>
          <cell r="I441" t="e">
            <v>#N/A</v>
          </cell>
          <cell r="J441" t="str">
            <v>PHOENIX</v>
          </cell>
          <cell r="K441" t="str">
            <v>JUDICIAL</v>
          </cell>
          <cell r="L441" t="str">
            <v>121-150</v>
          </cell>
          <cell r="M441" t="str">
            <v>121-150</v>
          </cell>
          <cell r="N441" t="str">
            <v>VIGENTE</v>
          </cell>
        </row>
        <row r="442">
          <cell r="D442">
            <v>3382113</v>
          </cell>
          <cell r="F442">
            <v>241</v>
          </cell>
          <cell r="G442">
            <v>8</v>
          </cell>
          <cell r="H442">
            <v>6806827</v>
          </cell>
          <cell r="I442" t="e">
            <v>#N/A</v>
          </cell>
          <cell r="J442" t="str">
            <v>PHOENIX</v>
          </cell>
          <cell r="K442" t="str">
            <v>JUDICIAL</v>
          </cell>
          <cell r="L442" t="str">
            <v>211-240</v>
          </cell>
          <cell r="M442" t="str">
            <v>241-270</v>
          </cell>
          <cell r="N442" t="str">
            <v>VIGENTE</v>
          </cell>
        </row>
        <row r="443">
          <cell r="D443">
            <v>3386408</v>
          </cell>
          <cell r="F443">
            <v>311</v>
          </cell>
          <cell r="G443">
            <v>11</v>
          </cell>
          <cell r="H443">
            <v>12104783</v>
          </cell>
          <cell r="I443" t="e">
            <v>#N/A</v>
          </cell>
          <cell r="J443" t="str">
            <v>PHOENIX</v>
          </cell>
          <cell r="K443" t="str">
            <v>JUDICIAL</v>
          </cell>
          <cell r="L443" t="str">
            <v>301-330</v>
          </cell>
          <cell r="M443" t="str">
            <v>301-330</v>
          </cell>
          <cell r="N443" t="str">
            <v>VIGENTE</v>
          </cell>
        </row>
        <row r="444">
          <cell r="D444">
            <v>3392387</v>
          </cell>
          <cell r="F444">
            <v>249</v>
          </cell>
          <cell r="G444">
            <v>9</v>
          </cell>
          <cell r="H444">
            <v>10484070</v>
          </cell>
          <cell r="I444" t="e">
            <v>#N/A</v>
          </cell>
          <cell r="J444" t="str">
            <v>PHOENIX</v>
          </cell>
          <cell r="K444" t="str">
            <v>JUDICIAL</v>
          </cell>
          <cell r="L444" t="str">
            <v>241-270</v>
          </cell>
          <cell r="M444" t="str">
            <v>241-270</v>
          </cell>
          <cell r="N444" t="str">
            <v>VIGENTE</v>
          </cell>
        </row>
        <row r="445">
          <cell r="D445">
            <v>3400713</v>
          </cell>
          <cell r="F445">
            <v>34</v>
          </cell>
          <cell r="G445">
            <v>2</v>
          </cell>
          <cell r="H445">
            <v>8755299</v>
          </cell>
          <cell r="I445" t="e">
            <v>#N/A</v>
          </cell>
          <cell r="J445" t="str">
            <v>PHOENIX</v>
          </cell>
          <cell r="K445" t="str">
            <v>JUDICIAL</v>
          </cell>
          <cell r="L445" t="str">
            <v>211-240</v>
          </cell>
          <cell r="M445" t="str">
            <v>31-60</v>
          </cell>
          <cell r="N445" t="str">
            <v>VIGENTE</v>
          </cell>
        </row>
        <row r="446">
          <cell r="D446">
            <v>3409313</v>
          </cell>
          <cell r="F446">
            <v>277</v>
          </cell>
          <cell r="G446">
            <v>10</v>
          </cell>
          <cell r="H446">
            <v>12662922</v>
          </cell>
          <cell r="I446" t="e">
            <v>#N/A</v>
          </cell>
          <cell r="J446" t="str">
            <v>PHOENIX</v>
          </cell>
          <cell r="K446" t="str">
            <v>JUDICIAL</v>
          </cell>
          <cell r="L446" t="str">
            <v>241-270</v>
          </cell>
          <cell r="M446" t="str">
            <v>271-300</v>
          </cell>
          <cell r="N446" t="str">
            <v>VIGENTE</v>
          </cell>
        </row>
        <row r="447">
          <cell r="D447">
            <v>3414223</v>
          </cell>
          <cell r="F447">
            <v>246</v>
          </cell>
          <cell r="G447">
            <v>9</v>
          </cell>
          <cell r="H447">
            <v>6431652</v>
          </cell>
          <cell r="I447" t="e">
            <v>#N/A</v>
          </cell>
          <cell r="J447" t="str">
            <v>PHOENIX</v>
          </cell>
          <cell r="K447" t="str">
            <v>JUDICIAL</v>
          </cell>
          <cell r="L447" t="str">
            <v>211-240</v>
          </cell>
          <cell r="M447" t="str">
            <v>241-270</v>
          </cell>
          <cell r="N447" t="str">
            <v>VIGENTE</v>
          </cell>
        </row>
        <row r="448">
          <cell r="D448">
            <v>3417756</v>
          </cell>
          <cell r="F448">
            <v>281</v>
          </cell>
          <cell r="G448">
            <v>10</v>
          </cell>
          <cell r="H448">
            <v>21584998</v>
          </cell>
          <cell r="I448" t="e">
            <v>#N/A</v>
          </cell>
          <cell r="J448" t="str">
            <v>PHOENIX</v>
          </cell>
          <cell r="K448" t="str">
            <v>JUDICIAL</v>
          </cell>
          <cell r="L448" t="str">
            <v>271-300</v>
          </cell>
          <cell r="M448" t="str">
            <v>271-300</v>
          </cell>
          <cell r="N448" t="str">
            <v>VIGENTE</v>
          </cell>
        </row>
        <row r="449">
          <cell r="D449">
            <v>3421001</v>
          </cell>
          <cell r="F449">
            <v>68</v>
          </cell>
          <cell r="G449">
            <v>3</v>
          </cell>
          <cell r="H449">
            <v>9926495</v>
          </cell>
          <cell r="I449" t="e">
            <v>#N/A</v>
          </cell>
          <cell r="J449" t="str">
            <v>PHOENIX</v>
          </cell>
          <cell r="K449" t="str">
            <v>JUDICIAL</v>
          </cell>
          <cell r="L449" t="str">
            <v>31-60</v>
          </cell>
          <cell r="M449" t="str">
            <v>61-90</v>
          </cell>
          <cell r="N449" t="str">
            <v>VIGENTE</v>
          </cell>
        </row>
        <row r="450">
          <cell r="D450">
            <v>3421212</v>
          </cell>
          <cell r="F450">
            <v>97</v>
          </cell>
          <cell r="G450">
            <v>4</v>
          </cell>
          <cell r="H450">
            <v>6519786</v>
          </cell>
          <cell r="I450" t="e">
            <v>#N/A</v>
          </cell>
          <cell r="J450" t="str">
            <v>PHOENIX</v>
          </cell>
          <cell r="K450" t="str">
            <v>JUDICIAL</v>
          </cell>
          <cell r="L450" t="str">
            <v>61-90</v>
          </cell>
          <cell r="M450" t="str">
            <v>91-120</v>
          </cell>
          <cell r="N450" t="str">
            <v>VIGENTE</v>
          </cell>
        </row>
        <row r="451">
          <cell r="D451">
            <v>3424519</v>
          </cell>
          <cell r="F451">
            <v>154</v>
          </cell>
          <cell r="G451">
            <v>6</v>
          </cell>
          <cell r="H451">
            <v>8747371</v>
          </cell>
          <cell r="I451" t="e">
            <v>#N/A</v>
          </cell>
          <cell r="J451" t="str">
            <v>PHOENIX</v>
          </cell>
          <cell r="K451" t="str">
            <v>JUDICIAL</v>
          </cell>
          <cell r="L451" t="str">
            <v>121-150</v>
          </cell>
          <cell r="M451" t="str">
            <v>151-180</v>
          </cell>
          <cell r="N451" t="str">
            <v>VIGENTE</v>
          </cell>
        </row>
        <row r="452">
          <cell r="D452">
            <v>3428246</v>
          </cell>
          <cell r="F452">
            <v>160</v>
          </cell>
          <cell r="G452">
            <v>6</v>
          </cell>
          <cell r="H452">
            <v>4971024</v>
          </cell>
          <cell r="I452" t="e">
            <v>#N/A</v>
          </cell>
          <cell r="J452" t="str">
            <v>PHOENIX</v>
          </cell>
          <cell r="K452" t="str">
            <v>JUDICIAL</v>
          </cell>
          <cell r="L452" t="str">
            <v>151-180</v>
          </cell>
          <cell r="M452" t="str">
            <v>151-180</v>
          </cell>
          <cell r="N452" t="str">
            <v>VIGENTE</v>
          </cell>
        </row>
        <row r="453">
          <cell r="D453">
            <v>3431610</v>
          </cell>
          <cell r="F453">
            <v>155</v>
          </cell>
          <cell r="G453">
            <v>6</v>
          </cell>
          <cell r="H453">
            <v>6517758</v>
          </cell>
          <cell r="I453" t="e">
            <v>#N/A</v>
          </cell>
          <cell r="J453" t="str">
            <v>PHOENIX</v>
          </cell>
          <cell r="K453" t="str">
            <v>JUDICIAL</v>
          </cell>
          <cell r="L453" t="str">
            <v>121-150</v>
          </cell>
          <cell r="M453" t="str">
            <v>151-180</v>
          </cell>
          <cell r="N453" t="str">
            <v>VIGENTE</v>
          </cell>
        </row>
        <row r="454">
          <cell r="D454">
            <v>3449064</v>
          </cell>
          <cell r="F454">
            <v>215</v>
          </cell>
          <cell r="G454">
            <v>8</v>
          </cell>
          <cell r="H454">
            <v>3514100</v>
          </cell>
          <cell r="I454" t="e">
            <v>#N/A</v>
          </cell>
          <cell r="J454" t="str">
            <v>PHOENIX</v>
          </cell>
          <cell r="K454" t="str">
            <v>JUDICIAL</v>
          </cell>
          <cell r="L454" t="str">
            <v>181-210</v>
          </cell>
          <cell r="M454" t="str">
            <v>211-240</v>
          </cell>
          <cell r="N454" t="str">
            <v>VIGENTE</v>
          </cell>
        </row>
        <row r="455">
          <cell r="D455">
            <v>3451256</v>
          </cell>
          <cell r="F455">
            <v>184</v>
          </cell>
          <cell r="G455">
            <v>6</v>
          </cell>
          <cell r="H455">
            <v>4438907</v>
          </cell>
          <cell r="I455" t="e">
            <v>#N/A</v>
          </cell>
          <cell r="J455" t="str">
            <v>PHOENIX</v>
          </cell>
          <cell r="K455" t="str">
            <v>JUDICIAL</v>
          </cell>
          <cell r="L455" t="str">
            <v>151-180</v>
          </cell>
          <cell r="M455" t="str">
            <v>181-210</v>
          </cell>
          <cell r="N455" t="str">
            <v>VIGENTE</v>
          </cell>
        </row>
        <row r="456">
          <cell r="D456">
            <v>3451423</v>
          </cell>
          <cell r="F456">
            <v>154</v>
          </cell>
          <cell r="G456">
            <v>6</v>
          </cell>
          <cell r="H456">
            <v>6793285</v>
          </cell>
          <cell r="I456" t="e">
            <v>#N/A</v>
          </cell>
          <cell r="J456" t="str">
            <v>PHOENIX</v>
          </cell>
          <cell r="K456" t="str">
            <v>JUDICIAL</v>
          </cell>
          <cell r="L456" t="str">
            <v>121-150</v>
          </cell>
          <cell r="M456" t="str">
            <v>151-180</v>
          </cell>
          <cell r="N456" t="str">
            <v>VIGENTE</v>
          </cell>
        </row>
        <row r="457">
          <cell r="D457">
            <v>3451547</v>
          </cell>
          <cell r="F457">
            <v>180</v>
          </cell>
          <cell r="G457">
            <v>6</v>
          </cell>
          <cell r="H457">
            <v>6061638</v>
          </cell>
          <cell r="I457" t="e">
            <v>#N/A</v>
          </cell>
          <cell r="J457" t="str">
            <v>PHOENIX</v>
          </cell>
          <cell r="K457" t="str">
            <v>JUDICIAL</v>
          </cell>
          <cell r="L457" t="str">
            <v>151-180</v>
          </cell>
          <cell r="M457" t="str">
            <v>151-180</v>
          </cell>
          <cell r="N457" t="str">
            <v>VIGENTE</v>
          </cell>
        </row>
        <row r="458">
          <cell r="D458">
            <v>3452429</v>
          </cell>
          <cell r="F458">
            <v>200</v>
          </cell>
          <cell r="G458">
            <v>2</v>
          </cell>
          <cell r="H458">
            <v>7635807</v>
          </cell>
          <cell r="I458" t="e">
            <v>#N/A</v>
          </cell>
          <cell r="J458" t="str">
            <v>PHOENIX</v>
          </cell>
          <cell r="K458" t="str">
            <v>JUDICIAL</v>
          </cell>
          <cell r="L458" t="str">
            <v>181-210</v>
          </cell>
          <cell r="M458" t="str">
            <v>181-210</v>
          </cell>
          <cell r="N458" t="str">
            <v>VIGENTE</v>
          </cell>
        </row>
        <row r="459">
          <cell r="D459">
            <v>3452655</v>
          </cell>
          <cell r="F459">
            <v>244</v>
          </cell>
          <cell r="G459">
            <v>3</v>
          </cell>
          <cell r="H459">
            <v>7668715</v>
          </cell>
          <cell r="I459" t="e">
            <v>#N/A</v>
          </cell>
          <cell r="J459" t="str">
            <v>PHOENIX</v>
          </cell>
          <cell r="K459" t="str">
            <v>JUDICIAL</v>
          </cell>
          <cell r="L459" t="str">
            <v>211-240</v>
          </cell>
          <cell r="M459" t="str">
            <v>241-270</v>
          </cell>
          <cell r="N459" t="str">
            <v>VIGENTE</v>
          </cell>
        </row>
        <row r="460">
          <cell r="D460">
            <v>3452939</v>
          </cell>
          <cell r="F460">
            <v>154</v>
          </cell>
          <cell r="G460">
            <v>6</v>
          </cell>
          <cell r="H460">
            <v>11071931</v>
          </cell>
          <cell r="I460" t="e">
            <v>#N/A</v>
          </cell>
          <cell r="J460" t="str">
            <v>PHOENIX</v>
          </cell>
          <cell r="K460" t="str">
            <v>JUDICIAL</v>
          </cell>
          <cell r="L460" t="str">
            <v>121-150</v>
          </cell>
          <cell r="M460" t="str">
            <v>151-180</v>
          </cell>
          <cell r="N460" t="str">
            <v>VIGENTE</v>
          </cell>
        </row>
        <row r="461">
          <cell r="D461">
            <v>3453389</v>
          </cell>
          <cell r="F461">
            <v>185</v>
          </cell>
          <cell r="G461">
            <v>7</v>
          </cell>
          <cell r="H461">
            <v>4151900</v>
          </cell>
          <cell r="I461" t="e">
            <v>#N/A</v>
          </cell>
          <cell r="J461" t="str">
            <v>PHOENIX</v>
          </cell>
          <cell r="K461" t="str">
            <v>JUDICIAL</v>
          </cell>
          <cell r="L461" t="str">
            <v>151-180</v>
          </cell>
          <cell r="M461" t="str">
            <v>181-210</v>
          </cell>
          <cell r="N461" t="str">
            <v>VIGENTE</v>
          </cell>
        </row>
        <row r="462">
          <cell r="D462">
            <v>3454534</v>
          </cell>
          <cell r="F462">
            <v>136</v>
          </cell>
          <cell r="G462">
            <v>5</v>
          </cell>
          <cell r="H462">
            <v>2906162</v>
          </cell>
          <cell r="I462" t="e">
            <v>#N/A</v>
          </cell>
          <cell r="J462" t="str">
            <v>PHOENIX</v>
          </cell>
          <cell r="K462" t="str">
            <v>JUDICIAL</v>
          </cell>
          <cell r="L462" t="str">
            <v>121-150</v>
          </cell>
          <cell r="M462" t="str">
            <v>121-150</v>
          </cell>
          <cell r="N462" t="str">
            <v>VIGENTE</v>
          </cell>
        </row>
        <row r="463">
          <cell r="D463">
            <v>3454808</v>
          </cell>
          <cell r="F463">
            <v>57</v>
          </cell>
          <cell r="G463">
            <v>2</v>
          </cell>
          <cell r="H463">
            <v>3322340</v>
          </cell>
          <cell r="I463" t="e">
            <v>#N/A</v>
          </cell>
          <cell r="J463" t="str">
            <v>PHOENIX</v>
          </cell>
          <cell r="K463" t="str">
            <v>JUDICIAL</v>
          </cell>
          <cell r="L463" t="str">
            <v>31-60</v>
          </cell>
          <cell r="M463" t="str">
            <v>31-60</v>
          </cell>
          <cell r="N463" t="str">
            <v>VIGENTE</v>
          </cell>
        </row>
        <row r="464">
          <cell r="D464">
            <v>3455601</v>
          </cell>
          <cell r="F464">
            <v>154</v>
          </cell>
          <cell r="G464">
            <v>6</v>
          </cell>
          <cell r="H464">
            <v>4114223</v>
          </cell>
          <cell r="I464" t="e">
            <v>#N/A</v>
          </cell>
          <cell r="J464" t="str">
            <v>PHOENIX</v>
          </cell>
          <cell r="K464" t="str">
            <v>JUDICIAL</v>
          </cell>
          <cell r="L464" t="str">
            <v>121-150</v>
          </cell>
          <cell r="M464" t="str">
            <v>151-180</v>
          </cell>
          <cell r="N464" t="str">
            <v>VIGENTE</v>
          </cell>
        </row>
        <row r="465">
          <cell r="D465">
            <v>3455937</v>
          </cell>
          <cell r="F465">
            <v>215</v>
          </cell>
          <cell r="G465">
            <v>8</v>
          </cell>
          <cell r="H465">
            <v>10192283</v>
          </cell>
          <cell r="I465" t="e">
            <v>#N/A</v>
          </cell>
          <cell r="J465" t="str">
            <v>PHOENIX</v>
          </cell>
          <cell r="K465" t="str">
            <v>JUDICIAL</v>
          </cell>
          <cell r="L465" t="str">
            <v>181-210</v>
          </cell>
          <cell r="M465" t="str">
            <v>211-240</v>
          </cell>
          <cell r="N465" t="str">
            <v>VIGENTE</v>
          </cell>
        </row>
        <row r="466">
          <cell r="D466">
            <v>3456392</v>
          </cell>
          <cell r="F466">
            <v>215</v>
          </cell>
          <cell r="G466">
            <v>8</v>
          </cell>
          <cell r="H466">
            <v>5914470</v>
          </cell>
          <cell r="I466" t="e">
            <v>#N/A</v>
          </cell>
          <cell r="J466" t="str">
            <v>PHOENIX</v>
          </cell>
          <cell r="K466" t="str">
            <v>JUDICIAL</v>
          </cell>
          <cell r="L466" t="str">
            <v>181-210</v>
          </cell>
          <cell r="M466" t="str">
            <v>211-240</v>
          </cell>
          <cell r="N466" t="str">
            <v>VIGENTE</v>
          </cell>
        </row>
        <row r="467">
          <cell r="D467">
            <v>3456572</v>
          </cell>
          <cell r="F467">
            <v>185</v>
          </cell>
          <cell r="G467">
            <v>7</v>
          </cell>
          <cell r="H467">
            <v>4831184</v>
          </cell>
          <cell r="I467" t="e">
            <v>#N/A</v>
          </cell>
          <cell r="J467" t="str">
            <v>PHOENIX</v>
          </cell>
          <cell r="K467" t="str">
            <v>JUDICIAL</v>
          </cell>
          <cell r="L467" t="str">
            <v>151-180</v>
          </cell>
          <cell r="M467" t="str">
            <v>181-210</v>
          </cell>
          <cell r="N467" t="str">
            <v>VIGENTE</v>
          </cell>
        </row>
        <row r="468">
          <cell r="D468">
            <v>3457146</v>
          </cell>
          <cell r="F468">
            <v>215</v>
          </cell>
          <cell r="G468">
            <v>8</v>
          </cell>
          <cell r="H468">
            <v>5441741</v>
          </cell>
          <cell r="I468" t="e">
            <v>#N/A</v>
          </cell>
          <cell r="J468" t="str">
            <v>PHOENIX</v>
          </cell>
          <cell r="K468" t="str">
            <v>JUDICIAL</v>
          </cell>
          <cell r="L468" t="str">
            <v>181-210</v>
          </cell>
          <cell r="M468" t="str">
            <v>211-240</v>
          </cell>
          <cell r="N468" t="str">
            <v>VIGENTE</v>
          </cell>
        </row>
        <row r="469">
          <cell r="D469">
            <v>3457500</v>
          </cell>
          <cell r="F469">
            <v>185</v>
          </cell>
          <cell r="G469">
            <v>7</v>
          </cell>
          <cell r="H469">
            <v>3871547</v>
          </cell>
          <cell r="I469" t="e">
            <v>#N/A</v>
          </cell>
          <cell r="J469" t="str">
            <v>PHOENIX</v>
          </cell>
          <cell r="K469" t="str">
            <v>JUDICIAL</v>
          </cell>
          <cell r="L469" t="str">
            <v>151-180</v>
          </cell>
          <cell r="M469" t="str">
            <v>181-210</v>
          </cell>
          <cell r="N469" t="str">
            <v>VIGENTE</v>
          </cell>
        </row>
        <row r="470">
          <cell r="D470">
            <v>3462511</v>
          </cell>
          <cell r="F470">
            <v>201</v>
          </cell>
          <cell r="G470">
            <v>7</v>
          </cell>
          <cell r="H470">
            <v>24523747</v>
          </cell>
          <cell r="I470" t="e">
            <v>#N/A</v>
          </cell>
          <cell r="J470" t="str">
            <v>PHOENIX</v>
          </cell>
          <cell r="K470" t="str">
            <v>JUDICIAL</v>
          </cell>
          <cell r="L470" t="str">
            <v>181-210</v>
          </cell>
          <cell r="M470" t="str">
            <v>181-210</v>
          </cell>
          <cell r="N470" t="str">
            <v>VIGENTE</v>
          </cell>
        </row>
        <row r="471">
          <cell r="D471">
            <v>3475457</v>
          </cell>
          <cell r="F471">
            <v>215</v>
          </cell>
          <cell r="G471">
            <v>8</v>
          </cell>
          <cell r="H471">
            <v>21983483</v>
          </cell>
          <cell r="I471" t="e">
            <v>#N/A</v>
          </cell>
          <cell r="J471" t="str">
            <v>PHOENIX</v>
          </cell>
          <cell r="K471" t="str">
            <v>JUDICIAL</v>
          </cell>
          <cell r="L471" t="str">
            <v>181-210</v>
          </cell>
          <cell r="M471" t="str">
            <v>211-240</v>
          </cell>
          <cell r="N471" t="str">
            <v>VIGENTE</v>
          </cell>
        </row>
        <row r="472">
          <cell r="D472">
            <v>3479533</v>
          </cell>
          <cell r="F472">
            <v>246</v>
          </cell>
          <cell r="G472">
            <v>9</v>
          </cell>
          <cell r="H472">
            <v>30273797</v>
          </cell>
          <cell r="I472" t="e">
            <v>#N/A</v>
          </cell>
          <cell r="J472" t="str">
            <v>PHOENIX</v>
          </cell>
          <cell r="K472" t="str">
            <v>JUDICIAL</v>
          </cell>
          <cell r="L472" t="str">
            <v>211-240</v>
          </cell>
          <cell r="M472" t="str">
            <v>241-270</v>
          </cell>
          <cell r="N472" t="str">
            <v>VIGENTE</v>
          </cell>
        </row>
        <row r="473">
          <cell r="D473">
            <v>3479646</v>
          </cell>
          <cell r="F473">
            <v>93</v>
          </cell>
          <cell r="G473">
            <v>4</v>
          </cell>
          <cell r="H473">
            <v>6354439</v>
          </cell>
          <cell r="I473" t="e">
            <v>#N/A</v>
          </cell>
          <cell r="J473" t="str">
            <v>PHOENIX</v>
          </cell>
          <cell r="K473" t="str">
            <v>JUDICIAL</v>
          </cell>
          <cell r="L473" t="str">
            <v>121-150</v>
          </cell>
          <cell r="M473" t="str">
            <v>91-120</v>
          </cell>
          <cell r="N473" t="str">
            <v>VIGENTE</v>
          </cell>
        </row>
        <row r="474">
          <cell r="D474">
            <v>3482625</v>
          </cell>
          <cell r="F474">
            <v>250</v>
          </cell>
          <cell r="G474">
            <v>9</v>
          </cell>
          <cell r="H474">
            <v>9100150</v>
          </cell>
          <cell r="I474" t="e">
            <v>#N/A</v>
          </cell>
          <cell r="J474" t="str">
            <v>PHOENIX</v>
          </cell>
          <cell r="K474" t="str">
            <v>JUDICIAL</v>
          </cell>
          <cell r="L474" t="str">
            <v>241-270</v>
          </cell>
          <cell r="M474" t="str">
            <v>241-270</v>
          </cell>
          <cell r="N474" t="str">
            <v>VIGENTE</v>
          </cell>
        </row>
        <row r="475">
          <cell r="D475">
            <v>3484680</v>
          </cell>
          <cell r="F475">
            <v>233</v>
          </cell>
          <cell r="G475">
            <v>8</v>
          </cell>
          <cell r="H475">
            <v>12990275</v>
          </cell>
          <cell r="I475" t="e">
            <v>#N/A</v>
          </cell>
          <cell r="J475" t="str">
            <v>PHOENIX</v>
          </cell>
          <cell r="K475" t="str">
            <v>JUDICIAL</v>
          </cell>
          <cell r="L475" t="str">
            <v>211-240</v>
          </cell>
          <cell r="M475" t="str">
            <v>211-240</v>
          </cell>
          <cell r="N475" t="str">
            <v>VIGENTE</v>
          </cell>
        </row>
        <row r="476">
          <cell r="D476">
            <v>3487115</v>
          </cell>
          <cell r="F476">
            <v>215</v>
          </cell>
          <cell r="G476">
            <v>8</v>
          </cell>
          <cell r="H476">
            <v>13577336</v>
          </cell>
          <cell r="I476" t="e">
            <v>#N/A</v>
          </cell>
          <cell r="J476" t="str">
            <v>PHOENIX</v>
          </cell>
          <cell r="K476" t="str">
            <v>JUDICIAL</v>
          </cell>
          <cell r="L476" t="str">
            <v>181-210</v>
          </cell>
          <cell r="M476" t="str">
            <v>211-240</v>
          </cell>
          <cell r="N476" t="str">
            <v>VIGENTE</v>
          </cell>
        </row>
        <row r="477">
          <cell r="D477">
            <v>3487480</v>
          </cell>
          <cell r="F477">
            <v>200</v>
          </cell>
          <cell r="G477">
            <v>7</v>
          </cell>
          <cell r="H477">
            <v>16151715</v>
          </cell>
          <cell r="I477" t="e">
            <v>#N/A</v>
          </cell>
          <cell r="J477" t="str">
            <v>PHOENIX</v>
          </cell>
          <cell r="K477" t="str">
            <v>JUDICIAL</v>
          </cell>
          <cell r="L477" t="str">
            <v>181-210</v>
          </cell>
          <cell r="M477" t="str">
            <v>181-210</v>
          </cell>
          <cell r="N477" t="str">
            <v>VIGENTE</v>
          </cell>
        </row>
        <row r="478">
          <cell r="D478">
            <v>3494679</v>
          </cell>
          <cell r="F478">
            <v>202</v>
          </cell>
          <cell r="G478">
            <v>7</v>
          </cell>
          <cell r="H478">
            <v>45303275</v>
          </cell>
          <cell r="I478" t="e">
            <v>#N/A</v>
          </cell>
          <cell r="J478" t="str">
            <v>PHOENIX</v>
          </cell>
          <cell r="K478" t="str">
            <v>JUDICIAL</v>
          </cell>
          <cell r="L478" t="str">
            <v>181-210</v>
          </cell>
          <cell r="M478" t="str">
            <v>181-210</v>
          </cell>
          <cell r="N478" t="str">
            <v>VIGENTE</v>
          </cell>
        </row>
        <row r="479">
          <cell r="D479">
            <v>3499321</v>
          </cell>
          <cell r="F479">
            <v>205</v>
          </cell>
          <cell r="G479">
            <v>7</v>
          </cell>
          <cell r="H479">
            <v>2281233</v>
          </cell>
          <cell r="I479" t="e">
            <v>#N/A</v>
          </cell>
          <cell r="J479" t="str">
            <v>PHOENIX</v>
          </cell>
          <cell r="K479" t="str">
            <v>JUDICIAL</v>
          </cell>
          <cell r="L479" t="str">
            <v>181-210</v>
          </cell>
          <cell r="M479" t="str">
            <v>181-210</v>
          </cell>
          <cell r="N479" t="str">
            <v>VIGENTE</v>
          </cell>
        </row>
        <row r="480">
          <cell r="D480">
            <v>3501934</v>
          </cell>
          <cell r="F480">
            <v>215</v>
          </cell>
          <cell r="G480">
            <v>8</v>
          </cell>
          <cell r="H480">
            <v>12124760</v>
          </cell>
          <cell r="I480" t="e">
            <v>#N/A</v>
          </cell>
          <cell r="J480" t="str">
            <v>PHOENIX</v>
          </cell>
          <cell r="K480" t="str">
            <v>JUDICIAL</v>
          </cell>
          <cell r="L480" t="str">
            <v>181-210</v>
          </cell>
          <cell r="M480" t="str">
            <v>211-240</v>
          </cell>
          <cell r="N480" t="str">
            <v>VIGENTE</v>
          </cell>
        </row>
        <row r="481">
          <cell r="D481">
            <v>3514741</v>
          </cell>
          <cell r="F481">
            <v>185</v>
          </cell>
          <cell r="G481">
            <v>7</v>
          </cell>
          <cell r="H481">
            <v>10505876</v>
          </cell>
          <cell r="I481" t="e">
            <v>#N/A</v>
          </cell>
          <cell r="J481" t="str">
            <v>PHOENIX</v>
          </cell>
          <cell r="K481" t="str">
            <v>JUDICIAL</v>
          </cell>
          <cell r="L481" t="str">
            <v>151-180</v>
          </cell>
          <cell r="M481" t="str">
            <v>181-210</v>
          </cell>
          <cell r="N481" t="str">
            <v>VIGENTE</v>
          </cell>
        </row>
        <row r="482">
          <cell r="D482">
            <v>3518338</v>
          </cell>
          <cell r="F482">
            <v>204</v>
          </cell>
          <cell r="G482">
            <v>7</v>
          </cell>
          <cell r="H482">
            <v>13782921</v>
          </cell>
          <cell r="I482" t="e">
            <v>#N/A</v>
          </cell>
          <cell r="J482" t="str">
            <v>PHOENIX</v>
          </cell>
          <cell r="K482" t="str">
            <v>JUDICIAL</v>
          </cell>
          <cell r="L482" t="str">
            <v>181-210</v>
          </cell>
          <cell r="M482" t="str">
            <v>181-210</v>
          </cell>
          <cell r="N482" t="str">
            <v>VIGENTE</v>
          </cell>
        </row>
        <row r="483">
          <cell r="D483">
            <v>3524074</v>
          </cell>
          <cell r="F483">
            <v>24</v>
          </cell>
          <cell r="G483">
            <v>1</v>
          </cell>
          <cell r="H483">
            <v>7099158</v>
          </cell>
          <cell r="I483" t="e">
            <v>#N/A</v>
          </cell>
          <cell r="J483" t="str">
            <v>PHOENIX</v>
          </cell>
          <cell r="K483" t="str">
            <v>JUDICIAL</v>
          </cell>
          <cell r="L483" t="str">
            <v>31-60</v>
          </cell>
          <cell r="M483" t="str">
            <v>1-30</v>
          </cell>
          <cell r="N483" t="str">
            <v>VIGENTE</v>
          </cell>
        </row>
        <row r="484">
          <cell r="D484">
            <v>3524299</v>
          </cell>
          <cell r="F484">
            <v>198</v>
          </cell>
          <cell r="G484">
            <v>7</v>
          </cell>
          <cell r="H484">
            <v>6759218</v>
          </cell>
          <cell r="I484" t="e">
            <v>#N/A</v>
          </cell>
          <cell r="J484" t="str">
            <v>PHOENIX</v>
          </cell>
          <cell r="K484" t="str">
            <v>JUDICIAL</v>
          </cell>
          <cell r="L484" t="str">
            <v>181-210</v>
          </cell>
          <cell r="M484" t="str">
            <v>181-210</v>
          </cell>
          <cell r="N484" t="str">
            <v>VIGENTE</v>
          </cell>
        </row>
        <row r="485">
          <cell r="D485">
            <v>3534279</v>
          </cell>
          <cell r="F485">
            <v>154</v>
          </cell>
          <cell r="G485">
            <v>6</v>
          </cell>
          <cell r="H485">
            <v>3775155</v>
          </cell>
          <cell r="I485" t="e">
            <v>#N/A</v>
          </cell>
          <cell r="J485" t="str">
            <v>PHOENIX</v>
          </cell>
          <cell r="K485" t="str">
            <v>JUDICIAL</v>
          </cell>
          <cell r="L485" t="str">
            <v>121-150</v>
          </cell>
          <cell r="M485" t="str">
            <v>151-180</v>
          </cell>
          <cell r="N485" t="str">
            <v>VIGENTE</v>
          </cell>
        </row>
        <row r="486">
          <cell r="D486">
            <v>3536778</v>
          </cell>
          <cell r="F486">
            <v>189</v>
          </cell>
          <cell r="G486">
            <v>7</v>
          </cell>
          <cell r="H486">
            <v>7962303</v>
          </cell>
          <cell r="I486" t="e">
            <v>#N/A</v>
          </cell>
          <cell r="J486" t="str">
            <v>PHOENIX</v>
          </cell>
          <cell r="K486" t="str">
            <v>JUDICIAL</v>
          </cell>
          <cell r="L486" t="str">
            <v>181-210</v>
          </cell>
          <cell r="M486" t="str">
            <v>181-210</v>
          </cell>
          <cell r="N486" t="str">
            <v>VIGENTE</v>
          </cell>
        </row>
        <row r="487">
          <cell r="D487">
            <v>3547176</v>
          </cell>
          <cell r="F487">
            <v>180</v>
          </cell>
          <cell r="G487">
            <v>6</v>
          </cell>
          <cell r="H487">
            <v>21961236</v>
          </cell>
          <cell r="I487" t="e">
            <v>#N/A</v>
          </cell>
          <cell r="J487" t="str">
            <v>PHOENIX</v>
          </cell>
          <cell r="K487" t="str">
            <v>JUDICIAL</v>
          </cell>
          <cell r="L487" t="str">
            <v>151-180</v>
          </cell>
          <cell r="M487" t="str">
            <v>151-180</v>
          </cell>
          <cell r="N487" t="str">
            <v>VIGENTE</v>
          </cell>
        </row>
        <row r="488">
          <cell r="D488">
            <v>3548610</v>
          </cell>
          <cell r="F488">
            <v>146</v>
          </cell>
          <cell r="G488">
            <v>5</v>
          </cell>
          <cell r="H488">
            <v>31157932</v>
          </cell>
          <cell r="I488" t="e">
            <v>#N/A</v>
          </cell>
          <cell r="J488" t="str">
            <v>PHOENIX</v>
          </cell>
          <cell r="K488" t="str">
            <v>JUDICIAL</v>
          </cell>
          <cell r="L488" t="str">
            <v>121-150</v>
          </cell>
          <cell r="M488" t="str">
            <v>121-150</v>
          </cell>
          <cell r="N488" t="str">
            <v>VIGENTE</v>
          </cell>
        </row>
        <row r="489">
          <cell r="D489">
            <v>3550864</v>
          </cell>
          <cell r="F489">
            <v>143</v>
          </cell>
          <cell r="G489">
            <v>5</v>
          </cell>
          <cell r="H489">
            <v>22594629</v>
          </cell>
          <cell r="I489" t="e">
            <v>#N/A</v>
          </cell>
          <cell r="J489" t="str">
            <v>PHOENIX</v>
          </cell>
          <cell r="K489" t="str">
            <v>JUDICIAL</v>
          </cell>
          <cell r="L489" t="str">
            <v>121-150</v>
          </cell>
          <cell r="M489" t="str">
            <v>121-150</v>
          </cell>
          <cell r="N489" t="str">
            <v>VIGENTE</v>
          </cell>
        </row>
        <row r="490">
          <cell r="D490">
            <v>3554448</v>
          </cell>
          <cell r="F490">
            <v>173</v>
          </cell>
          <cell r="G490">
            <v>6</v>
          </cell>
          <cell r="H490">
            <v>10181041</v>
          </cell>
          <cell r="I490" t="e">
            <v>#N/A</v>
          </cell>
          <cell r="J490" t="str">
            <v>PHOENIX</v>
          </cell>
          <cell r="K490" t="str">
            <v>JUDICIAL</v>
          </cell>
          <cell r="L490" t="str">
            <v>151-180</v>
          </cell>
          <cell r="M490" t="str">
            <v>151-180</v>
          </cell>
          <cell r="N490" t="str">
            <v>VIGENTE</v>
          </cell>
        </row>
        <row r="491">
          <cell r="D491">
            <v>3564341</v>
          </cell>
          <cell r="F491">
            <v>149</v>
          </cell>
          <cell r="G491">
            <v>5</v>
          </cell>
          <cell r="H491">
            <v>11106568</v>
          </cell>
          <cell r="I491" t="e">
            <v>#N/A</v>
          </cell>
          <cell r="J491" t="str">
            <v>PHOENIX</v>
          </cell>
          <cell r="K491" t="str">
            <v>JUDICIAL</v>
          </cell>
          <cell r="L491" t="str">
            <v>121-150</v>
          </cell>
          <cell r="M491" t="str">
            <v>121-150</v>
          </cell>
          <cell r="N491" t="str">
            <v>VIGENTE</v>
          </cell>
        </row>
        <row r="492">
          <cell r="D492">
            <v>3572112</v>
          </cell>
          <cell r="F492">
            <v>124</v>
          </cell>
          <cell r="G492">
            <v>5</v>
          </cell>
          <cell r="H492">
            <v>14827671</v>
          </cell>
          <cell r="I492" t="e">
            <v>#N/A</v>
          </cell>
          <cell r="J492" t="str">
            <v>PHOENIX</v>
          </cell>
          <cell r="K492" t="str">
            <v>JUDICIAL</v>
          </cell>
          <cell r="L492" t="str">
            <v>91-120</v>
          </cell>
          <cell r="M492" t="str">
            <v>121-150</v>
          </cell>
          <cell r="N492" t="str">
            <v>VIGENTE</v>
          </cell>
        </row>
        <row r="493">
          <cell r="D493">
            <v>3587724</v>
          </cell>
          <cell r="F493">
            <v>124</v>
          </cell>
          <cell r="G493">
            <v>5</v>
          </cell>
          <cell r="H493">
            <v>20181623</v>
          </cell>
          <cell r="I493" t="e">
            <v>#N/A</v>
          </cell>
          <cell r="J493" t="str">
            <v>PHOENIX</v>
          </cell>
          <cell r="K493" t="str">
            <v>JUDICIAL</v>
          </cell>
          <cell r="L493" t="str">
            <v>91-120</v>
          </cell>
          <cell r="M493" t="str">
            <v>121-150</v>
          </cell>
          <cell r="N493" t="str">
            <v>VIGENTE</v>
          </cell>
        </row>
        <row r="494">
          <cell r="D494">
            <v>3595358</v>
          </cell>
          <cell r="F494">
            <v>124</v>
          </cell>
          <cell r="G494">
            <v>5</v>
          </cell>
          <cell r="H494">
            <v>23170072</v>
          </cell>
          <cell r="I494" t="e">
            <v>#N/A</v>
          </cell>
          <cell r="J494" t="str">
            <v>PHOENIX</v>
          </cell>
          <cell r="K494" t="str">
            <v>JUDICIAL</v>
          </cell>
          <cell r="L494" t="str">
            <v>91-120</v>
          </cell>
          <cell r="M494" t="str">
            <v>121-150</v>
          </cell>
          <cell r="N494" t="str">
            <v>VIGENTE</v>
          </cell>
        </row>
        <row r="495">
          <cell r="D495">
            <v>3595383</v>
          </cell>
          <cell r="F495">
            <v>139</v>
          </cell>
          <cell r="G495">
            <v>5</v>
          </cell>
          <cell r="H495">
            <v>14077740</v>
          </cell>
          <cell r="I495" t="e">
            <v>#N/A</v>
          </cell>
          <cell r="J495" t="str">
            <v>PHOENIX</v>
          </cell>
          <cell r="K495" t="str">
            <v>JUDICIAL</v>
          </cell>
          <cell r="L495" t="str">
            <v>121-150</v>
          </cell>
          <cell r="M495" t="str">
            <v>121-150</v>
          </cell>
          <cell r="N495" t="str">
            <v>VIGENTE</v>
          </cell>
        </row>
        <row r="496">
          <cell r="D496">
            <v>3595438</v>
          </cell>
          <cell r="F496">
            <v>128</v>
          </cell>
          <cell r="G496">
            <v>5</v>
          </cell>
          <cell r="H496">
            <v>13113219</v>
          </cell>
          <cell r="I496" t="e">
            <v>#N/A</v>
          </cell>
          <cell r="J496" t="str">
            <v>PHOENIX</v>
          </cell>
          <cell r="K496" t="str">
            <v>JUDICIAL</v>
          </cell>
          <cell r="L496" t="str">
            <v>91-120</v>
          </cell>
          <cell r="M496" t="str">
            <v>121-150</v>
          </cell>
          <cell r="N496" t="str">
            <v>VIGENTE</v>
          </cell>
        </row>
        <row r="497">
          <cell r="D497">
            <v>3603006</v>
          </cell>
          <cell r="F497">
            <v>0</v>
          </cell>
          <cell r="G497">
            <v>0</v>
          </cell>
          <cell r="H497">
            <v>14616296</v>
          </cell>
          <cell r="I497" t="e">
            <v>#N/A</v>
          </cell>
          <cell r="J497" t="str">
            <v>PHOENIX</v>
          </cell>
          <cell r="K497" t="str">
            <v>JUDICIAL</v>
          </cell>
          <cell r="L497" t="str">
            <v>91-120</v>
          </cell>
          <cell r="M497" t="str">
            <v>AL DIA</v>
          </cell>
          <cell r="N497" t="str">
            <v>VIGENTE</v>
          </cell>
        </row>
        <row r="498">
          <cell r="D498">
            <v>3611204</v>
          </cell>
          <cell r="F498">
            <v>111</v>
          </cell>
          <cell r="G498">
            <v>4</v>
          </cell>
          <cell r="H498">
            <v>16126083</v>
          </cell>
          <cell r="I498" t="e">
            <v>#N/A</v>
          </cell>
          <cell r="J498" t="str">
            <v>PHOENIX</v>
          </cell>
          <cell r="K498" t="str">
            <v>JUDICIAL</v>
          </cell>
          <cell r="L498" t="str">
            <v>91-120</v>
          </cell>
          <cell r="M498" t="str">
            <v>91-120</v>
          </cell>
          <cell r="N498" t="str">
            <v>VIGENTE</v>
          </cell>
        </row>
        <row r="499">
          <cell r="D499">
            <v>3590667</v>
          </cell>
          <cell r="F499">
            <v>109</v>
          </cell>
          <cell r="G499">
            <v>4</v>
          </cell>
          <cell r="H499">
            <v>29871444</v>
          </cell>
          <cell r="I499" t="str">
            <v/>
          </cell>
          <cell r="J499" t="str">
            <v>PHOENIX</v>
          </cell>
          <cell r="K499" t="str">
            <v>JUDICIAL</v>
          </cell>
          <cell r="L499" t="str">
            <v>61-90</v>
          </cell>
          <cell r="M499" t="str">
            <v>91-120</v>
          </cell>
          <cell r="N499" t="str">
            <v>VIGENTE</v>
          </cell>
        </row>
        <row r="500">
          <cell r="D500">
            <v>1571077</v>
          </cell>
          <cell r="F500">
            <v>135</v>
          </cell>
          <cell r="G500">
            <v>1</v>
          </cell>
          <cell r="H500">
            <v>4857156</v>
          </cell>
          <cell r="I500" t="str">
            <v/>
          </cell>
          <cell r="J500" t="str">
            <v>PHOENIX</v>
          </cell>
          <cell r="K500" t="str">
            <v>JUDICIAL</v>
          </cell>
          <cell r="L500" t="str">
            <v>91-120</v>
          </cell>
          <cell r="M500" t="str">
            <v>121-150</v>
          </cell>
          <cell r="N500" t="str">
            <v>VIGENTE</v>
          </cell>
        </row>
        <row r="501">
          <cell r="D501">
            <v>3575468</v>
          </cell>
          <cell r="F501">
            <v>105</v>
          </cell>
          <cell r="G501">
            <v>4</v>
          </cell>
          <cell r="H501">
            <v>24913683</v>
          </cell>
          <cell r="I501" t="str">
            <v/>
          </cell>
          <cell r="J501" t="str">
            <v>PHOENIX</v>
          </cell>
          <cell r="K501" t="str">
            <v>JUDICIAL</v>
          </cell>
          <cell r="L501" t="str">
            <v>61-90</v>
          </cell>
          <cell r="M501" t="str">
            <v>91-120</v>
          </cell>
          <cell r="N501" t="str">
            <v>VIGENTE</v>
          </cell>
        </row>
        <row r="502">
          <cell r="D502">
            <v>3606496</v>
          </cell>
          <cell r="F502">
            <v>105</v>
          </cell>
          <cell r="G502">
            <v>4</v>
          </cell>
          <cell r="H502">
            <v>14170641</v>
          </cell>
          <cell r="I502" t="str">
            <v/>
          </cell>
          <cell r="J502" t="str">
            <v>PHOENIX</v>
          </cell>
          <cell r="K502" t="str">
            <v>JUDICIAL</v>
          </cell>
          <cell r="L502" t="str">
            <v>61-90</v>
          </cell>
          <cell r="M502" t="str">
            <v>91-120</v>
          </cell>
          <cell r="N502" t="str">
            <v>VIGENTE</v>
          </cell>
        </row>
        <row r="503">
          <cell r="D503">
            <v>3596731</v>
          </cell>
          <cell r="F503">
            <v>109</v>
          </cell>
          <cell r="G503">
            <v>4</v>
          </cell>
          <cell r="H503">
            <v>9757047</v>
          </cell>
          <cell r="I503" t="str">
            <v/>
          </cell>
          <cell r="J503" t="str">
            <v>PHOENIX</v>
          </cell>
          <cell r="K503" t="str">
            <v>JUDICIAL</v>
          </cell>
          <cell r="L503" t="str">
            <v>61-90</v>
          </cell>
          <cell r="M503" t="str">
            <v>91-120</v>
          </cell>
          <cell r="N503" t="str">
            <v>VIGENTE</v>
          </cell>
        </row>
        <row r="504">
          <cell r="D504">
            <v>2159676</v>
          </cell>
          <cell r="F504">
            <v>134</v>
          </cell>
          <cell r="G504">
            <v>5</v>
          </cell>
          <cell r="H504">
            <v>3794792</v>
          </cell>
          <cell r="I504" t="str">
            <v/>
          </cell>
          <cell r="J504" t="str">
            <v>PHOENIX</v>
          </cell>
          <cell r="K504" t="str">
            <v>JUDICIAL</v>
          </cell>
          <cell r="L504" t="str">
            <v>91-120</v>
          </cell>
          <cell r="M504" t="str">
            <v>121-150</v>
          </cell>
          <cell r="N504" t="str">
            <v>VIGENTE</v>
          </cell>
        </row>
        <row r="505">
          <cell r="D505">
            <v>2193307</v>
          </cell>
          <cell r="F505">
            <v>136</v>
          </cell>
          <cell r="G505">
            <v>1</v>
          </cell>
          <cell r="H505">
            <v>8627453</v>
          </cell>
          <cell r="I505" t="str">
            <v/>
          </cell>
          <cell r="J505" t="str">
            <v>PHOENIX</v>
          </cell>
          <cell r="K505" t="str">
            <v>JUDICIAL</v>
          </cell>
          <cell r="L505" t="str">
            <v>91-120</v>
          </cell>
          <cell r="M505" t="str">
            <v>121-150</v>
          </cell>
          <cell r="N505" t="str">
            <v>VIGENTE</v>
          </cell>
        </row>
        <row r="506">
          <cell r="D506">
            <v>2261611</v>
          </cell>
          <cell r="F506">
            <v>136</v>
          </cell>
          <cell r="G506">
            <v>5</v>
          </cell>
          <cell r="H506">
            <v>4255396</v>
          </cell>
          <cell r="I506" t="str">
            <v/>
          </cell>
          <cell r="J506" t="str">
            <v>PHOENIX</v>
          </cell>
          <cell r="K506" t="str">
            <v>JUDICIAL</v>
          </cell>
          <cell r="L506" t="str">
            <v>91-120</v>
          </cell>
          <cell r="M506" t="str">
            <v>121-150</v>
          </cell>
          <cell r="N506" t="str">
            <v>VIGENTE</v>
          </cell>
        </row>
        <row r="507">
          <cell r="D507">
            <v>3595680</v>
          </cell>
          <cell r="F507">
            <v>105</v>
          </cell>
          <cell r="G507">
            <v>4</v>
          </cell>
          <cell r="H507">
            <v>9671925</v>
          </cell>
          <cell r="I507" t="str">
            <v/>
          </cell>
          <cell r="J507" t="str">
            <v>PHOENIX</v>
          </cell>
          <cell r="K507" t="str">
            <v>JUDICIAL</v>
          </cell>
          <cell r="L507" t="str">
            <v>61-90</v>
          </cell>
          <cell r="M507" t="str">
            <v>91-120</v>
          </cell>
          <cell r="N507" t="str">
            <v>VIGENTE</v>
          </cell>
        </row>
        <row r="508">
          <cell r="D508">
            <v>2631812</v>
          </cell>
          <cell r="F508">
            <v>136</v>
          </cell>
          <cell r="G508">
            <v>5</v>
          </cell>
          <cell r="H508">
            <v>5323666</v>
          </cell>
          <cell r="I508" t="str">
            <v/>
          </cell>
          <cell r="J508" t="str">
            <v>PHOENIX</v>
          </cell>
          <cell r="K508" t="str">
            <v>JUDICIAL</v>
          </cell>
          <cell r="L508" t="str">
            <v>91-120</v>
          </cell>
          <cell r="M508" t="str">
            <v>121-150</v>
          </cell>
          <cell r="N508" t="str">
            <v>VIGENTE</v>
          </cell>
        </row>
        <row r="509">
          <cell r="D509">
            <v>2695017</v>
          </cell>
          <cell r="F509">
            <v>140</v>
          </cell>
          <cell r="G509">
            <v>5</v>
          </cell>
          <cell r="H509">
            <v>3867473</v>
          </cell>
          <cell r="I509" t="str">
            <v/>
          </cell>
          <cell r="J509" t="str">
            <v>PHOENIX</v>
          </cell>
          <cell r="K509" t="str">
            <v>JUDICIAL</v>
          </cell>
          <cell r="L509" t="str">
            <v>91-120</v>
          </cell>
          <cell r="M509" t="str">
            <v>121-150</v>
          </cell>
          <cell r="N509" t="str">
            <v>VIGENTE</v>
          </cell>
        </row>
        <row r="510">
          <cell r="D510">
            <v>2751793</v>
          </cell>
          <cell r="F510">
            <v>136</v>
          </cell>
          <cell r="G510">
            <v>5</v>
          </cell>
          <cell r="H510">
            <v>12480324</v>
          </cell>
          <cell r="I510" t="str">
            <v/>
          </cell>
          <cell r="J510" t="str">
            <v>PHOENIX</v>
          </cell>
          <cell r="K510" t="str">
            <v>JUDICIAL</v>
          </cell>
          <cell r="L510" t="str">
            <v>91-120</v>
          </cell>
          <cell r="M510" t="str">
            <v>121-150</v>
          </cell>
          <cell r="N510" t="str">
            <v>VIGENTE</v>
          </cell>
        </row>
        <row r="511">
          <cell r="D511">
            <v>2791811</v>
          </cell>
          <cell r="F511">
            <v>136</v>
          </cell>
          <cell r="G511">
            <v>5</v>
          </cell>
          <cell r="H511">
            <v>7476330</v>
          </cell>
          <cell r="I511" t="str">
            <v/>
          </cell>
          <cell r="J511" t="str">
            <v>PHOENIX</v>
          </cell>
          <cell r="K511" t="str">
            <v>JUDICIAL</v>
          </cell>
          <cell r="L511" t="str">
            <v>91-120</v>
          </cell>
          <cell r="M511" t="str">
            <v>121-150</v>
          </cell>
          <cell r="N511" t="str">
            <v>VIGENTE</v>
          </cell>
        </row>
        <row r="512">
          <cell r="D512">
            <v>2951103</v>
          </cell>
          <cell r="F512">
            <v>159</v>
          </cell>
          <cell r="G512">
            <v>6</v>
          </cell>
          <cell r="H512">
            <v>5700547</v>
          </cell>
          <cell r="I512" t="str">
            <v/>
          </cell>
          <cell r="J512" t="str">
            <v>PHOENIX</v>
          </cell>
          <cell r="K512" t="str">
            <v>JUDICIAL</v>
          </cell>
          <cell r="L512" t="str">
            <v>121-150</v>
          </cell>
          <cell r="M512" t="str">
            <v>151-180</v>
          </cell>
          <cell r="N512" t="str">
            <v>VIGENTE</v>
          </cell>
        </row>
        <row r="513">
          <cell r="D513">
            <v>2961244</v>
          </cell>
          <cell r="F513">
            <v>136</v>
          </cell>
          <cell r="G513">
            <v>5</v>
          </cell>
          <cell r="H513">
            <v>5254419</v>
          </cell>
          <cell r="I513" t="str">
            <v/>
          </cell>
          <cell r="J513" t="str">
            <v>PHOENIX</v>
          </cell>
          <cell r="K513" t="str">
            <v>JUDICIAL</v>
          </cell>
          <cell r="L513" t="str">
            <v>91-120</v>
          </cell>
          <cell r="M513" t="str">
            <v>121-150</v>
          </cell>
          <cell r="N513" t="str">
            <v>VIGENTE</v>
          </cell>
        </row>
        <row r="514">
          <cell r="D514">
            <v>3076729</v>
          </cell>
          <cell r="F514">
            <v>136</v>
          </cell>
          <cell r="G514">
            <v>5</v>
          </cell>
          <cell r="H514">
            <v>7426201</v>
          </cell>
          <cell r="I514" t="str">
            <v/>
          </cell>
          <cell r="J514" t="str">
            <v>PHOENIX</v>
          </cell>
          <cell r="K514" t="str">
            <v>JUDICIAL</v>
          </cell>
          <cell r="L514" t="str">
            <v>91-120</v>
          </cell>
          <cell r="M514" t="str">
            <v>121-150</v>
          </cell>
          <cell r="N514" t="str">
            <v>VIGENTE</v>
          </cell>
        </row>
        <row r="515">
          <cell r="D515">
            <v>3175369</v>
          </cell>
          <cell r="F515">
            <v>143</v>
          </cell>
          <cell r="G515">
            <v>5</v>
          </cell>
          <cell r="H515">
            <v>7009833</v>
          </cell>
          <cell r="I515" t="str">
            <v/>
          </cell>
          <cell r="J515" t="str">
            <v>PHOENIX</v>
          </cell>
          <cell r="K515" t="str">
            <v>JUDICIAL</v>
          </cell>
          <cell r="L515" t="str">
            <v>121-150</v>
          </cell>
          <cell r="M515" t="str">
            <v>121-150</v>
          </cell>
          <cell r="N515" t="str">
            <v>VIGENTE</v>
          </cell>
        </row>
        <row r="516">
          <cell r="D516">
            <v>3217807</v>
          </cell>
          <cell r="F516">
            <v>152</v>
          </cell>
          <cell r="G516">
            <v>6</v>
          </cell>
          <cell r="H516">
            <v>11235040</v>
          </cell>
          <cell r="I516" t="str">
            <v/>
          </cell>
          <cell r="J516" t="str">
            <v>PHOENIX</v>
          </cell>
          <cell r="K516" t="str">
            <v>JUDICIAL</v>
          </cell>
          <cell r="L516" t="str">
            <v>121-150</v>
          </cell>
          <cell r="M516" t="str">
            <v>151-180</v>
          </cell>
          <cell r="N516" t="str">
            <v>VIGENTE</v>
          </cell>
        </row>
        <row r="517">
          <cell r="D517">
            <v>3334006</v>
          </cell>
          <cell r="F517">
            <v>140</v>
          </cell>
          <cell r="G517">
            <v>5</v>
          </cell>
          <cell r="H517">
            <v>15077508</v>
          </cell>
          <cell r="I517" t="str">
            <v/>
          </cell>
          <cell r="J517" t="str">
            <v>PHOENIX</v>
          </cell>
          <cell r="K517" t="str">
            <v>JUDICIAL</v>
          </cell>
          <cell r="L517" t="str">
            <v>91-120</v>
          </cell>
          <cell r="M517" t="str">
            <v>121-150</v>
          </cell>
          <cell r="N517" t="str">
            <v>VIGENTE</v>
          </cell>
        </row>
        <row r="518">
          <cell r="D518">
            <v>3349304</v>
          </cell>
          <cell r="F518">
            <v>153</v>
          </cell>
          <cell r="G518">
            <v>6</v>
          </cell>
          <cell r="H518">
            <v>11165017</v>
          </cell>
          <cell r="I518" t="str">
            <v/>
          </cell>
          <cell r="J518" t="str">
            <v>PHOENIX</v>
          </cell>
          <cell r="K518" t="str">
            <v>JUDICIAL</v>
          </cell>
          <cell r="L518" t="str">
            <v>121-150</v>
          </cell>
          <cell r="M518" t="str">
            <v>151-180</v>
          </cell>
          <cell r="N518" t="str">
            <v>VIGENTE</v>
          </cell>
        </row>
        <row r="519">
          <cell r="D519">
            <v>3361043</v>
          </cell>
          <cell r="F519">
            <v>166</v>
          </cell>
          <cell r="G519">
            <v>6</v>
          </cell>
          <cell r="H519">
            <v>9871749</v>
          </cell>
          <cell r="I519" t="str">
            <v/>
          </cell>
          <cell r="J519" t="str">
            <v>PHOENIX</v>
          </cell>
          <cell r="K519" t="str">
            <v>JUDICIAL</v>
          </cell>
          <cell r="L519" t="str">
            <v>121-150</v>
          </cell>
          <cell r="M519" t="str">
            <v>151-180</v>
          </cell>
          <cell r="N519" t="str">
            <v>VIGENTE</v>
          </cell>
        </row>
        <row r="520">
          <cell r="D520">
            <v>3392809</v>
          </cell>
          <cell r="F520">
            <v>141</v>
          </cell>
          <cell r="G520">
            <v>5</v>
          </cell>
          <cell r="H520">
            <v>3072712</v>
          </cell>
          <cell r="I520" t="str">
            <v/>
          </cell>
          <cell r="J520" t="str">
            <v>PHOENIX</v>
          </cell>
          <cell r="K520" t="str">
            <v>JUDICIAL</v>
          </cell>
          <cell r="L520" t="str">
            <v>121-150</v>
          </cell>
          <cell r="M520" t="str">
            <v>121-150</v>
          </cell>
          <cell r="N520" t="str">
            <v>VIGENTE</v>
          </cell>
        </row>
        <row r="521">
          <cell r="D521">
            <v>3428037</v>
          </cell>
          <cell r="F521">
            <v>117</v>
          </cell>
          <cell r="G521">
            <v>4</v>
          </cell>
          <cell r="H521">
            <v>6111623</v>
          </cell>
          <cell r="I521" t="str">
            <v/>
          </cell>
          <cell r="J521" t="str">
            <v>PHOENIX</v>
          </cell>
          <cell r="K521" t="str">
            <v>JUDICIAL</v>
          </cell>
          <cell r="L521" t="str">
            <v>91-120</v>
          </cell>
          <cell r="M521" t="str">
            <v>91-120</v>
          </cell>
          <cell r="N521" t="str">
            <v>VIGENTE</v>
          </cell>
        </row>
        <row r="522">
          <cell r="D522">
            <v>3435474</v>
          </cell>
          <cell r="F522">
            <v>121</v>
          </cell>
          <cell r="G522">
            <v>5</v>
          </cell>
          <cell r="H522">
            <v>4341343</v>
          </cell>
          <cell r="I522" t="str">
            <v/>
          </cell>
          <cell r="J522" t="str">
            <v>PHOENIX</v>
          </cell>
          <cell r="K522" t="str">
            <v>JUDICIAL</v>
          </cell>
          <cell r="L522" t="str">
            <v>91-120</v>
          </cell>
          <cell r="M522" t="str">
            <v>121-150</v>
          </cell>
          <cell r="N522" t="str">
            <v>VIGENTE</v>
          </cell>
        </row>
        <row r="523">
          <cell r="D523">
            <v>3451420</v>
          </cell>
          <cell r="F523">
            <v>41</v>
          </cell>
          <cell r="G523">
            <v>2</v>
          </cell>
          <cell r="H523">
            <v>8503617</v>
          </cell>
          <cell r="I523" t="str">
            <v/>
          </cell>
          <cell r="J523" t="str">
            <v>PHOENIX</v>
          </cell>
          <cell r="K523" t="str">
            <v>JUDICIAL</v>
          </cell>
          <cell r="L523" t="str">
            <v>91-120</v>
          </cell>
          <cell r="M523" t="str">
            <v>31-60</v>
          </cell>
          <cell r="N523" t="str">
            <v>VIGENTE</v>
          </cell>
        </row>
        <row r="524">
          <cell r="D524">
            <v>3559382</v>
          </cell>
          <cell r="F524">
            <v>138</v>
          </cell>
          <cell r="G524">
            <v>5</v>
          </cell>
          <cell r="H524">
            <v>9689742</v>
          </cell>
          <cell r="I524" t="str">
            <v/>
          </cell>
          <cell r="J524" t="str">
            <v>PHOENIX</v>
          </cell>
          <cell r="K524" t="str">
            <v>JUDICIAL</v>
          </cell>
          <cell r="L524" t="str">
            <v>91-120</v>
          </cell>
          <cell r="M524" t="str">
            <v>121-150</v>
          </cell>
          <cell r="N524" t="str">
            <v>VIGENTE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8.403186226853" createdVersion="8" refreshedVersion="8" minRefreshableVersion="3" recordCount="500" xr:uid="{1B931E74-772C-40CB-B8C7-68E1283D1468}">
  <cacheSource type="worksheet">
    <worksheetSource ref="A1:BE1048576" sheet="Export"/>
  </cacheSource>
  <cacheFields count="59">
    <cacheField name="ID_CREDITO" numFmtId="0">
      <sharedItems containsBlank="1" containsMixedTypes="1" containsNumber="1" containsInteger="1" minValue="585590" maxValue="3611204"/>
    </cacheField>
    <cacheField name="DIAS_MORA" numFmtId="0">
      <sharedItems containsString="0" containsBlank="1" containsNumber="1" containsInteger="1" minValue="0" maxValue="979"/>
    </cacheField>
    <cacheField name="CUOTAS_MOROSAS_ACTUAL" numFmtId="0">
      <sharedItems containsString="0" containsBlank="1" containsNumber="1" containsInteger="1" minValue="0" maxValue="12"/>
    </cacheField>
    <cacheField name="SALDO_INSOLUTO_INI" numFmtId="0">
      <sharedItems containsString="0" containsBlank="1" containsNumber="1" containsInteger="1" minValue="253016" maxValue="45303275"/>
    </cacheField>
    <cacheField name="PRIORIDAD_GESTION" numFmtId="0">
      <sharedItems containsBlank="1"/>
    </cacheField>
    <cacheField name="GESTOR" numFmtId="0">
      <sharedItems containsBlank="1"/>
    </cacheField>
    <cacheField name="TIPO_COBRANZA" numFmtId="0">
      <sharedItems containsBlank="1"/>
    </cacheField>
    <cacheField name="TRAMO_INI" numFmtId="0">
      <sharedItems containsDate="1" containsBlank="1" containsMixedTypes="1" minDate="2026-01-30T00:00:00" maxDate="2026-01-31T00:00:00" count="18">
        <s v="731-1095"/>
        <s v="0-365"/>
        <s v="366-730"/>
        <s v="91-120"/>
        <s v="31-60"/>
        <d v="2026-01-30T00:00:00"/>
        <s v="211-240"/>
        <s v="331-360"/>
        <s v="181-210"/>
        <s v="121-150"/>
        <s v="151-180"/>
        <s v="301-330"/>
        <s v="61-90"/>
        <s v="271-300"/>
        <s v="241-270"/>
        <s v="361-390"/>
        <m/>
        <s v="1-30" u="1"/>
      </sharedItems>
    </cacheField>
    <cacheField name="TRAMO_ACT" numFmtId="0">
      <sharedItems containsDate="1" containsBlank="1" containsMixedTypes="1" minDate="2026-01-30T00:00:00" maxDate="2026-01-31T00:00:00"/>
    </cacheField>
    <cacheField name="TIPO_CARTERA" numFmtId="0">
      <sharedItems containsBlank="1" count="3">
        <s v="CASTIGO"/>
        <s v="VIGENTE"/>
        <m/>
      </sharedItems>
    </cacheField>
    <cacheField name="TIPO_GESTION" numFmtId="0">
      <sharedItems containsBlank="1"/>
    </cacheField>
    <cacheField name="FECHA_ASIGNACION" numFmtId="0">
      <sharedItems containsNonDate="0" containsDate="1" containsString="0" containsBlank="1" minDate="2026-04-05T00:00:00" maxDate="2026-06-05T00:00:00" count="5">
        <d v="2026-06-04T00:00:00"/>
        <d v="2026-04-05T00:00:00"/>
        <m/>
        <d v="2026-04-06T00:00:00" u="1"/>
        <d v="2026-05-04T00:00:00" u="1"/>
      </sharedItems>
      <fieldGroup par="58"/>
    </cacheField>
    <cacheField name="SEGMENTO_CLIENTE" numFmtId="0">
      <sharedItems containsBlank="1"/>
    </cacheField>
    <cacheField name="RUT" numFmtId="0">
      <sharedItems containsString="0" containsBlank="1" containsNumber="1" containsInteger="1" minValue="6332455" maxValue="77480172"/>
    </cacheField>
    <cacheField name="DV" numFmtId="0">
      <sharedItems containsBlank="1" containsMixedTypes="1" containsNumber="1" containsInteger="1" minValue="0" maxValue="9"/>
    </cacheField>
    <cacheField name="RAZON_SOCIAL" numFmtId="0">
      <sharedItems containsBlank="1"/>
    </cacheField>
    <cacheField name="PERSONA_NATURAL" numFmtId="0">
      <sharedItems containsString="0" containsBlank="1" containsNumber="1" containsInteger="1" minValue="0" maxValue="1"/>
    </cacheField>
    <cacheField name="VALOR_CUOTA" numFmtId="0">
      <sharedItems containsBlank="1" containsMixedTypes="1" containsNumber="1" minValue="98.891999999999996" maxValue="978.19500000000005"/>
    </cacheField>
    <cacheField name="FECHA_PROX_VCTO" numFmtId="0">
      <sharedItems containsDate="1" containsBlank="1" containsMixedTypes="1" minDate="2023-01-08T00:00:00" maxDate="2026-12-04T00:00:00"/>
    </cacheField>
    <cacheField name="CUOTAS_PAGADAS_ACTUAL" numFmtId="0">
      <sharedItems containsString="0" containsBlank="1" containsNumber="1" containsInteger="1" minValue="0" maxValue="54"/>
    </cacheField>
    <cacheField name="CUOTAS_PAGADAS_INI" numFmtId="0">
      <sharedItems containsString="0" containsBlank="1" containsNumber="1" containsInteger="1" minValue="0" maxValue="54"/>
    </cacheField>
    <cacheField name="PLAZO" numFmtId="0">
      <sharedItems containsString="0" containsBlank="1" containsNumber="1" containsInteger="1" minValue="5" maxValue="72"/>
    </cacheField>
    <cacheField name="CANAL_VENTA" numFmtId="0">
      <sharedItems containsBlank="1"/>
    </cacheField>
    <cacheField name="CAMPANAS" numFmtId="0">
      <sharedItems containsBlank="1"/>
    </cacheField>
    <cacheField name="INT_MORA_TOTAL" numFmtId="0">
      <sharedItems containsString="0" containsBlank="1" containsNumber="1" containsInteger="1" minValue="0" maxValue="1934470"/>
    </cacheField>
    <cacheField name="GC_TOTAL" numFmtId="0">
      <sharedItems containsString="0" containsBlank="1" containsNumber="1" containsInteger="1" minValue="0" maxValue="554421"/>
    </cacheField>
    <cacheField name="ESTADO_PAT_PAC" numFmtId="0">
      <sharedItems containsBlank="1"/>
    </cacheField>
    <cacheField name="FECHA_FIRMA_PAGARE" numFmtId="0">
      <sharedItems containsDate="1" containsBlank="1" containsMixedTypes="1" minDate="2021-06-09T00:00:00" maxDate="2025-12-10T00:00:00"/>
    </cacheField>
    <cacheField name="MONTO_ADEUDADO" numFmtId="0">
      <sharedItems containsString="0" containsBlank="1" containsNumber="1" containsInteger="1" minValue="0" maxValue="28194778"/>
    </cacheField>
    <cacheField name="TASA_INTERES_CRED" numFmtId="0">
      <sharedItems containsBlank="1" containsMixedTypes="1" containsNumber="1" containsInteger="1" minValue="2" maxValue="2305"/>
    </cacheField>
    <cacheField name="CONVENIO_CASTIGO" numFmtId="0">
      <sharedItems containsBlank="1"/>
    </cacheField>
    <cacheField name="GESTOR_PLAN_PAGO" numFmtId="0">
      <sharedItems containsBlank="1"/>
    </cacheField>
    <cacheField name="MARCA_CLIENTE" numFmtId="0">
      <sharedItems containsBlank="1"/>
    </cacheField>
    <cacheField name="ESTADO_COBRANZA" numFmtId="0">
      <sharedItems containsBlank="1"/>
    </cacheField>
    <cacheField name="TELEFONO_1" numFmtId="0">
      <sharedItems containsString="0" containsBlank="1" containsNumber="1" containsInteger="1" minValue="40507232" maxValue="56999343435"/>
    </cacheField>
    <cacheField name="TELEFONO_2" numFmtId="0">
      <sharedItems containsString="0" containsBlank="1" containsNumber="1" containsInteger="1" minValue="927651889" maxValue="998336891"/>
    </cacheField>
    <cacheField name="TELEFONO_3" numFmtId="0">
      <sharedItems containsString="0" containsBlank="1" containsNumber="1" containsInteger="1" minValue="5692351271" maxValue="56998603846"/>
    </cacheField>
    <cacheField name="EMAIL_1" numFmtId="0">
      <sharedItems containsBlank="1"/>
    </cacheField>
    <cacheField name="EMAIL_2" numFmtId="0">
      <sharedItems containsBlank="1"/>
    </cacheField>
    <cacheField name="EMAIL_3" numFmtId="0">
      <sharedItems containsNonDate="0" containsString="0" containsBlank="1"/>
    </cacheField>
    <cacheField name="DIRECCION" numFmtId="0">
      <sharedItems containsBlank="1" containsMixedTypes="1" containsNumber="1" containsInteger="1" minValue="2025" maxValue="2025"/>
    </cacheField>
    <cacheField name="COMUNA" numFmtId="0">
      <sharedItems containsBlank="1"/>
    </cacheField>
    <cacheField name="REGION" numFmtId="0">
      <sharedItems containsBlank="1"/>
    </cacheField>
    <cacheField name="ROL" numFmtId="0">
      <sharedItems containsBlank="1"/>
    </cacheField>
    <cacheField name="TRIBUNAL" numFmtId="0">
      <sharedItems containsBlank="1"/>
    </cacheField>
    <cacheField name="ESTADO_JUDICIAL" numFmtId="0">
      <sharedItems containsBlank="1"/>
    </cacheField>
    <cacheField name="TIPO_JUDICIAL" numFmtId="0">
      <sharedItems containsBlank="1"/>
    </cacheField>
    <cacheField name="DUAL" numFmtId="0">
      <sharedItems containsNonDate="0" containsString="0" containsBlank="1"/>
    </cacheField>
    <cacheField name="SUSP_ESTADO_JUDICIAL" numFmtId="0">
      <sharedItems containsBlank="1"/>
    </cacheField>
    <cacheField name="SUSP_MOTIVO" numFmtId="0">
      <sharedItems containsBlank="1"/>
    </cacheField>
    <cacheField name="SUSP_FECHA" numFmtId="0">
      <sharedItems containsNonDate="0" containsDate="1" containsString="0" containsBlank="1" minDate="2026-05-05T00:00:00" maxDate="2026-06-06T00:00:00"/>
    </cacheField>
    <cacheField name="NOTIFICADO" numFmtId="0">
      <sharedItems containsBlank="1"/>
    </cacheField>
    <cacheField name="ESTADO_JUICIO" numFmtId="0">
      <sharedItems containsBlank="1"/>
    </cacheField>
    <cacheField name="VEHICULO_1_PATENTE" numFmtId="0">
      <sharedItems containsBlank="1"/>
    </cacheField>
    <cacheField name="VEHICULO_1_MARCA" numFmtId="0">
      <sharedItems containsBlank="1"/>
    </cacheField>
    <cacheField name="VEHICULO_1_MODELO" numFmtId="0">
      <sharedItems containsBlank="1" containsMixedTypes="1" containsNumber="1" containsInteger="1" minValue="301" maxValue="2008"/>
    </cacheField>
    <cacheField name="VEHICULO_1_ANIO" numFmtId="0">
      <sharedItems containsString="0" containsBlank="1" containsNumber="1" containsInteger="1" minValue="0" maxValue="2026"/>
    </cacheField>
    <cacheField name="Días (FECHA_ASIGNACION)" numFmtId="0" databaseField="0">
      <fieldGroup base="11">
        <rangePr groupBy="days" startDate="2026-04-05T00:00:00" endDate="2026-06-05T00:00:00"/>
        <groupItems count="368">
          <s v="&lt;4/5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5/2026"/>
        </groupItems>
      </fieldGroup>
    </cacheField>
    <cacheField name="Meses (FECHA_ASIGNACION)" numFmtId="0" databaseField="0">
      <fieldGroup base="11">
        <rangePr groupBy="months" startDate="2026-04-05T00:00:00" endDate="2026-06-05T00:00:00"/>
        <groupItems count="14">
          <s v="&lt;4/5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585590"/>
    <n v="979"/>
    <m/>
    <n v="5293774"/>
    <m/>
    <s v="PHOENIX"/>
    <s v="JUDICIAL"/>
    <x v="0"/>
    <s v="731-1095"/>
    <x v="0"/>
    <s v="COBRANZA"/>
    <x v="0"/>
    <m/>
    <n v="14191047"/>
    <n v="7"/>
    <s v="FRANCISCO JAVIER LEPIN NEICO"/>
    <m/>
    <n v="232.33199999999999"/>
    <d v="2023-01-08T00:00:00"/>
    <m/>
    <m/>
    <m/>
    <s v="TANNER"/>
    <m/>
    <n v="0"/>
    <n v="0"/>
    <m/>
    <m/>
    <n v="2393774"/>
    <m/>
    <m/>
    <m/>
    <m/>
    <s v="CASTIGO"/>
    <n v="988631685"/>
    <m/>
    <m/>
    <s v="F.LEPIN@PROFESOR.DUOC.CL"/>
    <m/>
    <m/>
    <s v="TUCAPEL JIMENEZ"/>
    <s v="SANTIAGO"/>
    <s v="REGION METROPOLITANA"/>
    <s v="C-5981-2020"/>
    <s v="24° Juzgado civil de Santiago"/>
    <s v="REMATADO"/>
    <s v="MANTIENE"/>
    <m/>
    <m/>
    <m/>
    <m/>
    <s v="SI"/>
    <s v="ACTIVO"/>
    <s v="HRJF70"/>
    <s v="KIA MOTORS"/>
    <s v="RIO 5 EX 1.4"/>
    <n v="2016"/>
  </r>
  <r>
    <n v="1344919"/>
    <n v="309"/>
    <m/>
    <n v="6716000"/>
    <m/>
    <s v="PHOENIX"/>
    <s v="JUDICIAL"/>
    <x v="1"/>
    <s v="0-365"/>
    <x v="0"/>
    <s v="COBRANZA"/>
    <x v="0"/>
    <m/>
    <n v="16746764"/>
    <n v="4"/>
    <s v="GERALDINE KAROL VIVAR ARGOMEDO"/>
    <m/>
    <n v="292.84699999999998"/>
    <d v="2025-01-06T00:00:00"/>
    <m/>
    <m/>
    <m/>
    <s v="TANNER"/>
    <s v="DACIÓN"/>
    <n v="0"/>
    <n v="0"/>
    <m/>
    <m/>
    <n v="6716000"/>
    <m/>
    <m/>
    <m/>
    <m/>
    <s v="CASTIGO"/>
    <n v="999134883"/>
    <m/>
    <m/>
    <s v="gvivar20@gmail.com"/>
    <m/>
    <m/>
    <s v="DECIMA AVENIDA 1430"/>
    <s v="SAN MIGUEL"/>
    <s v="REGION METROPOLITANA"/>
    <s v="C-19084-2024"/>
    <s v="19º Juzgado Civil de Santiago"/>
    <s v="EMBARGADO"/>
    <s v="MANTIENE"/>
    <m/>
    <m/>
    <m/>
    <m/>
    <s v="SI"/>
    <s v="ACTIVO"/>
    <s v="PTSS82"/>
    <s v="OPEL"/>
    <s v="CROSSLAND TD MT6 1.5"/>
    <n v="2021"/>
  </r>
  <r>
    <n v="1371362"/>
    <n v="279"/>
    <m/>
    <n v="8434800"/>
    <m/>
    <s v="PHOENIX"/>
    <s v="JUDICIAL"/>
    <x v="1"/>
    <s v="0-365"/>
    <x v="0"/>
    <s v="COBRANZA"/>
    <x v="0"/>
    <m/>
    <n v="17777736"/>
    <n v="6"/>
    <s v="MATIAS IGNACIO  RIVEROS ORREGO RIVEROS ORREGO"/>
    <m/>
    <n v="486.85899999999998"/>
    <d v="2025-01-07T00:00:00"/>
    <m/>
    <m/>
    <m/>
    <s v="TANNER"/>
    <s v="DACIÓN"/>
    <n v="0"/>
    <n v="0"/>
    <m/>
    <m/>
    <n v="8434800"/>
    <m/>
    <m/>
    <m/>
    <m/>
    <s v="CASTIGO"/>
    <n v="228544308"/>
    <m/>
    <m/>
    <s v="matias.ro@hotmail.com"/>
    <m/>
    <m/>
    <s v="HERIBERTO COBARRUBIAS 679"/>
    <s v="ÑUÑOA"/>
    <s v="REGION METROPOLITANA"/>
    <s v="C-20304-2024"/>
    <s v="28º Juzgado Civil de Santiago"/>
    <s v="NOTIFICADO"/>
    <s v="MANTIENE"/>
    <m/>
    <m/>
    <m/>
    <m/>
    <s v="SI"/>
    <s v="ACTIVO"/>
    <s v="PYCC10"/>
    <s v="MAZDA"/>
    <s v="ALL NEW CX-30 GTX 2.0 2WD 6AT 7G"/>
    <n v="2021"/>
  </r>
  <r>
    <n v="1383598"/>
    <n v="279"/>
    <m/>
    <n v="3596000"/>
    <m/>
    <s v="PHOENIX"/>
    <s v="JUDICIAL"/>
    <x v="1"/>
    <s v="0-365"/>
    <x v="0"/>
    <s v="COBRANZA"/>
    <x v="0"/>
    <m/>
    <n v="15667044"/>
    <n v="8"/>
    <s v="SEBASTIÁN ESTEBAN VILLAGRA CISTERNAS"/>
    <m/>
    <n v="225.28700000000001"/>
    <d v="2025-01-07T00:00:00"/>
    <m/>
    <m/>
    <m/>
    <s v="TANNER"/>
    <m/>
    <n v="0"/>
    <n v="0"/>
    <m/>
    <m/>
    <n v="1548000"/>
    <m/>
    <s v="PLAN DE PAGO"/>
    <s v="PHOENIX"/>
    <m/>
    <s v="CASTIGO"/>
    <n v="933429038"/>
    <m/>
    <m/>
    <s v="svillagra1984@gmail.com"/>
    <m/>
    <m/>
    <s v="SAN PABLO 4025, DEPTO 1814"/>
    <s v="QUINTA NORMAL"/>
    <s v="REGION METROPOLITANA"/>
    <s v="C-19083-2024"/>
    <s v="18º Juzgado Civil de Santiago"/>
    <s v="INGRESADO"/>
    <s v="SUSPENDIDO"/>
    <m/>
    <m/>
    <m/>
    <m/>
    <s v="NO"/>
    <s v="CERRADO"/>
    <s v="PYSF60"/>
    <s v="VOLKSWAGEN"/>
    <s v="NUEVO VOYAGE HIGHLINE 1.6"/>
    <n v="2021"/>
  </r>
  <r>
    <n v="1397586"/>
    <n v="248"/>
    <m/>
    <n v="5796000"/>
    <m/>
    <s v="PHOENIX"/>
    <s v="JUDICIAL"/>
    <x v="1"/>
    <s v="0-365"/>
    <x v="0"/>
    <s v="COBRANZA"/>
    <x v="0"/>
    <m/>
    <n v="16482560"/>
    <n v="4"/>
    <s v="ITALO ADOLFO  MUÑOZ PAREDES MUÑOZ PAREDES"/>
    <m/>
    <n v="266.28899999999999"/>
    <d v="2025-01-08T00:00:00"/>
    <m/>
    <m/>
    <m/>
    <s v="TANNER"/>
    <m/>
    <n v="0"/>
    <n v="0"/>
    <m/>
    <m/>
    <n v="451088"/>
    <m/>
    <s v="PUT EN CUOTAS"/>
    <s v="PHOENIX"/>
    <m/>
    <s v="CASTIGO"/>
    <n v="971949267"/>
    <m/>
    <m/>
    <s v="ITALOMPAREDES1987@ICLOUD.COM"/>
    <m/>
    <m/>
    <s v="PASAJE CASTELLÓN 1993 ALTO OSORNO"/>
    <s v="OSORNO"/>
    <s v="X REGION"/>
    <s v="C-21976-2024"/>
    <s v="24º Juzgado Civil de Santiago"/>
    <s v="GIRO CHEQUE"/>
    <s v="MANTIENE"/>
    <m/>
    <m/>
    <m/>
    <m/>
    <s v="SI"/>
    <s v="CERRADO"/>
    <s v="PZTC12"/>
    <s v="RENAULT"/>
    <s v="OROCH OTTO 2.0"/>
    <n v="2021"/>
  </r>
  <r>
    <n v="1421319"/>
    <n v="309"/>
    <m/>
    <n v="4230316"/>
    <m/>
    <s v="PHOENIX"/>
    <s v="JUDICIAL"/>
    <x v="1"/>
    <s v="0-365"/>
    <x v="0"/>
    <s v="COBRANZA"/>
    <x v="0"/>
    <m/>
    <n v="9386766"/>
    <n v="1"/>
    <s v="AVELINO DEL TRÁNSITO REYES ESCOBAR"/>
    <m/>
    <n v="283.17"/>
    <d v="2025-01-06T00:00:00"/>
    <m/>
    <m/>
    <m/>
    <s v="TANNER"/>
    <s v="DACIÓN"/>
    <n v="0"/>
    <n v="0"/>
    <m/>
    <m/>
    <n v="4230316"/>
    <m/>
    <m/>
    <m/>
    <m/>
    <s v="CASTIGO"/>
    <n v="998656951"/>
    <m/>
    <m/>
    <s v="avelinoreyesescobar@gmail.com"/>
    <m/>
    <m/>
    <s v="Calle Ictinos 1663"/>
    <s v="PEÑALOLEN"/>
    <s v="REGION METROPOLITANA"/>
    <s v="C-19072-2024"/>
    <s v="8º Juzgado Civil de Santiago"/>
    <s v="INGRESADO"/>
    <s v="MANTIENE"/>
    <m/>
    <m/>
    <m/>
    <m/>
    <s v="NO"/>
    <s v="ACTIVO"/>
    <s v="RBDK38"/>
    <s v="JETOUR"/>
    <s v="X70 1.5 AUT"/>
    <n v="2021"/>
  </r>
  <r>
    <n v="1444864"/>
    <n v="309"/>
    <m/>
    <n v="5112777"/>
    <m/>
    <s v="PHOENIX"/>
    <s v="JUDICIAL"/>
    <x v="1"/>
    <s v="0-365"/>
    <x v="0"/>
    <s v="COBRANZA"/>
    <x v="0"/>
    <m/>
    <n v="18135936"/>
    <n v="6"/>
    <s v="MILKO ANDRÉS  VALLADARES ASTUDILLO"/>
    <m/>
    <n v="207.85900000000001"/>
    <d v="2025-01-06T00:00:00"/>
    <m/>
    <m/>
    <m/>
    <s v="TANNER"/>
    <s v="DACIÓN"/>
    <n v="0"/>
    <n v="0"/>
    <m/>
    <m/>
    <n v="5112777"/>
    <m/>
    <m/>
    <m/>
    <m/>
    <s v="CASTIGO"/>
    <n v="956375289"/>
    <m/>
    <m/>
    <s v="milkovalladares1@gmail.com"/>
    <m/>
    <m/>
    <s v="ALMIRANTE SIMSON, 1218"/>
    <s v="LOTA"/>
    <s v="VIII REGION"/>
    <s v="C-19069-2024"/>
    <s v="16º Juzgado Civil de Santiago"/>
    <s v="EMBARGADO"/>
    <s v="MANTIENE"/>
    <m/>
    <m/>
    <m/>
    <m/>
    <s v="SI"/>
    <s v="ACTIVO"/>
    <s v="RHHH87"/>
    <s v="HAVAL"/>
    <s v="HAVAL JOLION 1.5T MT 4X2 ACTIVE"/>
    <n v="2022"/>
  </r>
  <r>
    <n v="1446743"/>
    <n v="217"/>
    <m/>
    <n v="3879999"/>
    <m/>
    <s v="PHOENIX"/>
    <s v="JUDICIAL"/>
    <x v="1"/>
    <s v="0-365"/>
    <x v="0"/>
    <s v="COBRANZA"/>
    <x v="0"/>
    <m/>
    <n v="14463964"/>
    <n v="2"/>
    <s v="MARCELO ALEJANDRO  MELLADO  SÁNCHEZ"/>
    <m/>
    <n v="260.39600000000002"/>
    <d v="2025-01-09T00:00:00"/>
    <m/>
    <m/>
    <m/>
    <s v="CREDINISSAN"/>
    <s v="DACIÓN"/>
    <n v="0"/>
    <n v="0"/>
    <m/>
    <m/>
    <n v="3879999"/>
    <m/>
    <m/>
    <m/>
    <m/>
    <s v="CASTIGO"/>
    <n v="964062894"/>
    <m/>
    <m/>
    <s v="PATHY_JANA86@HOTMAIL.COM"/>
    <m/>
    <m/>
    <s v="TALCA 161"/>
    <s v="OSORNO"/>
    <s v="X REGION"/>
    <s v="C-22129-2024"/>
    <s v="15º Juzgado Civil de Santiago"/>
    <s v="INGRESADO"/>
    <s v="MANTIENE"/>
    <m/>
    <m/>
    <m/>
    <m/>
    <s v="NO"/>
    <s v="ACTIVO"/>
    <s v="RBYP22"/>
    <s v="NISSAN"/>
    <s v="KICKS 1.6"/>
    <n v="2021"/>
  </r>
  <r>
    <n v="1447663"/>
    <n v="340"/>
    <m/>
    <n v="8889221"/>
    <m/>
    <s v="PHOENIX"/>
    <s v="JUDICIAL"/>
    <x v="1"/>
    <s v="0-365"/>
    <x v="0"/>
    <s v="COBRANZA"/>
    <x v="0"/>
    <m/>
    <n v="12756661"/>
    <n v="5"/>
    <s v="RODRIGO HERNÁN COVARRUBIAS NANNIG"/>
    <m/>
    <n v="337.74"/>
    <d v="2025-01-05T00:00:00"/>
    <m/>
    <m/>
    <m/>
    <s v="TANNER"/>
    <s v="DACIÓN"/>
    <n v="0"/>
    <n v="0"/>
    <m/>
    <m/>
    <n v="8889221"/>
    <m/>
    <m/>
    <m/>
    <m/>
    <s v="CASTIGO"/>
    <n v="995471634"/>
    <m/>
    <m/>
    <s v="rodrigo.covarrubias75@gmail.com"/>
    <m/>
    <m/>
    <s v="PASAJE VALENZUELA 75"/>
    <s v="FRUTILLAR"/>
    <s v="X REGION"/>
    <s v="C-19067-2024"/>
    <s v="5º Juzgado Civil de Santiago"/>
    <s v="EMBARGADO"/>
    <s v="MANTIENE"/>
    <m/>
    <m/>
    <m/>
    <m/>
    <s v="SI"/>
    <s v="ACTIVO"/>
    <s v="PZTC67"/>
    <s v="OPEL"/>
    <s v="GRANDLAND 1.6 AUT"/>
    <n v="2021"/>
  </r>
  <r>
    <n v="1479919"/>
    <n v="156"/>
    <m/>
    <n v="4032000"/>
    <m/>
    <s v="PHOENIX"/>
    <s v="JUDICIAL"/>
    <x v="1"/>
    <s v="0-365"/>
    <x v="0"/>
    <s v="COBRANZA"/>
    <x v="0"/>
    <m/>
    <n v="8878648"/>
    <n v="3"/>
    <s v="JORGE ORLANDO  CIFUENTES LARA CIFUENTES LARA"/>
    <m/>
    <n v="209.32499999999999"/>
    <d v="2025-01-11T00:00:00"/>
    <m/>
    <m/>
    <m/>
    <s v="TANNER"/>
    <s v="DACIÓN"/>
    <n v="0"/>
    <n v="0"/>
    <m/>
    <m/>
    <n v="4032000"/>
    <m/>
    <m/>
    <m/>
    <m/>
    <s v="CASTIGO"/>
    <n v="997950973"/>
    <m/>
    <m/>
    <s v="YOHAIROCIFUENTES@GMAIL.COM"/>
    <m/>
    <m/>
    <s v="PASAJE ANCALLE 0372"/>
    <s v="TEMUCO"/>
    <s v="IX REGION"/>
    <s v="C-3900-2025"/>
    <s v="2º Juzgado Civil de Santiago"/>
    <s v="INGRESADO"/>
    <s v="MANTIENE"/>
    <m/>
    <m/>
    <m/>
    <m/>
    <s v="NO"/>
    <s v="ACTIVO"/>
    <s v="RBRC21"/>
    <s v="CHANGAN"/>
    <s v="NEW CS15 ELITE HB 1.5 AUT"/>
    <n v="2021"/>
  </r>
  <r>
    <n v="1493544"/>
    <n v="126"/>
    <m/>
    <n v="10161255"/>
    <m/>
    <s v="PHOENIX"/>
    <s v="JUDICIAL"/>
    <x v="1"/>
    <s v="0-365"/>
    <x v="0"/>
    <s v="COBRANZA"/>
    <x v="0"/>
    <m/>
    <n v="15621497"/>
    <n v="3"/>
    <s v="PAULINA ANDREA HENRÍQUEZ TELLO"/>
    <m/>
    <n v="497.85599999999999"/>
    <d v="2025-01-12T00:00:00"/>
    <m/>
    <m/>
    <m/>
    <s v="TANNER"/>
    <s v="DACIÓN"/>
    <n v="0"/>
    <n v="0"/>
    <m/>
    <m/>
    <n v="10161255"/>
    <m/>
    <m/>
    <m/>
    <m/>
    <s v="CASTIGO"/>
    <n v="968731785"/>
    <m/>
    <m/>
    <s v="PHENRIQUEZTELLO@GMAIL.COM"/>
    <m/>
    <m/>
    <s v="Lomas de Catapilco sito 58, Zapallar"/>
    <s v="ZAPALLAR"/>
    <s v="V REGION"/>
    <s v="C-3900-2025"/>
    <s v="27º Juzgado Civil de Santiago"/>
    <s v="EMBARGADO"/>
    <s v="MANTIENE"/>
    <m/>
    <m/>
    <m/>
    <m/>
    <s v="SI"/>
    <s v="ACTIVO"/>
    <s v="KVJW91"/>
    <s v="PEUGEOT"/>
    <s v="3008 GT LINE 1.6"/>
    <n v="2019"/>
  </r>
  <r>
    <n v="1494440"/>
    <n v="1"/>
    <m/>
    <n v="3819552"/>
    <m/>
    <s v="PHOENIX"/>
    <s v="JUDICIAL"/>
    <x v="1"/>
    <s v="0-365"/>
    <x v="0"/>
    <s v="COBRANZA"/>
    <x v="0"/>
    <s v="E"/>
    <n v="14085342"/>
    <n v="9"/>
    <s v="MIGUEL ANGEL  VERA LOPEZ"/>
    <m/>
    <n v="155.31899999999999"/>
    <d v="2026-01-03T00:00:00"/>
    <m/>
    <m/>
    <m/>
    <s v="TANNER"/>
    <s v="DACIÓN"/>
    <n v="0"/>
    <n v="0"/>
    <m/>
    <m/>
    <n v="3819552"/>
    <m/>
    <m/>
    <m/>
    <m/>
    <s v="CASTIGO"/>
    <n v="978991743"/>
    <m/>
    <m/>
    <s v="ANGEL.VERA.LOPEZ797@GMAIL.COM"/>
    <m/>
    <m/>
    <s v="BILBAO 654"/>
    <s v="OSORNO"/>
    <s v="X REGION"/>
    <s v="C-8325-2025"/>
    <s v="20º Juzgado Civil de Santiago"/>
    <s v="INGRESADO"/>
    <s v="MANTIENE"/>
    <m/>
    <m/>
    <m/>
    <m/>
    <s v="NO"/>
    <s v="ACTIVO"/>
    <s v="RFVK52"/>
    <s v="JAC"/>
    <s v="JS2 1.5"/>
    <n v="2022"/>
  </r>
  <r>
    <n v="1524638"/>
    <n v="126"/>
    <m/>
    <n v="3499999"/>
    <m/>
    <s v="PHOENIX"/>
    <s v="JUDICIAL"/>
    <x v="1"/>
    <s v="0-365"/>
    <x v="0"/>
    <s v="COBRANZA"/>
    <x v="0"/>
    <m/>
    <n v="12712897"/>
    <n v="9"/>
    <s v="DENISE DE LOURDES  ARTEAGA  GÓMEZ"/>
    <m/>
    <n v="358.44099999999997"/>
    <d v="2025-01-12T00:00:00"/>
    <m/>
    <m/>
    <m/>
    <s v="CREDINISSAN"/>
    <s v="DACIÓN"/>
    <n v="0"/>
    <n v="0"/>
    <m/>
    <m/>
    <n v="2624999"/>
    <m/>
    <s v="PUT EN CUOTAS"/>
    <s v="PHOENIX"/>
    <m/>
    <s v="CASTIGO"/>
    <n v="998656256"/>
    <m/>
    <m/>
    <s v="DENISEARTEAGA@GMAIL.COM"/>
    <m/>
    <m/>
    <s v="SANTA INES 1060"/>
    <s v="PUERTO MONTT"/>
    <s v="X REGION"/>
    <s v="C-19078-2024"/>
    <s v="26º Juzgado Civil de Santiago"/>
    <s v="INGRESADO"/>
    <s v="REACTIVA"/>
    <m/>
    <m/>
    <m/>
    <m/>
    <s v="NO"/>
    <s v="ACTIVO"/>
    <s v="RHPP76"/>
    <s v="NISSAN"/>
    <s v="X TRAIL CVT 2.5 AT"/>
    <n v="2022"/>
  </r>
  <r>
    <n v="1530466"/>
    <n v="309"/>
    <m/>
    <n v="4391250"/>
    <m/>
    <s v="PHOENIX"/>
    <s v="JUDICIAL"/>
    <x v="1"/>
    <s v="0-365"/>
    <x v="0"/>
    <s v="COBRANZA"/>
    <x v="0"/>
    <m/>
    <n v="15741073"/>
    <n v="3"/>
    <s v="YANIRA ANDREA  CHELMES ARAYA"/>
    <m/>
    <n v="201.50200000000001"/>
    <d v="2025-01-06T00:00:00"/>
    <m/>
    <m/>
    <m/>
    <s v="TANNER"/>
    <s v="DACIÓN"/>
    <n v="0"/>
    <n v="0"/>
    <m/>
    <m/>
    <n v="4391250"/>
    <m/>
    <m/>
    <m/>
    <m/>
    <s v="CASTIGO"/>
    <n v="948905338"/>
    <m/>
    <m/>
    <s v="YANIRACHELMES38@GMAIL.COM"/>
    <m/>
    <m/>
    <s v="PUERTO VARAS 1144"/>
    <s v="COQUIMBO"/>
    <s v="IV REGION"/>
    <s v="C-19095-2024"/>
    <s v="30º Juzgado Civil de Santiago"/>
    <s v="EMBARGADO"/>
    <s v="MANTIENE"/>
    <m/>
    <m/>
    <m/>
    <m/>
    <s v="SI"/>
    <s v="ACTIVO"/>
    <s v="RHZV90"/>
    <s v="JAC"/>
    <s v="JS2 1.5"/>
    <n v="2021"/>
  </r>
  <r>
    <n v="1542074"/>
    <n v="217"/>
    <m/>
    <n v="6733739"/>
    <m/>
    <s v="PHOENIX"/>
    <s v="JUDICIAL"/>
    <x v="1"/>
    <s v="0-365"/>
    <x v="0"/>
    <s v="COBRANZA"/>
    <x v="0"/>
    <m/>
    <n v="10887679"/>
    <n v="4"/>
    <s v="ELIZABETH CRISTINA  ROSALES  HEREDIA"/>
    <m/>
    <n v="268.87099999999998"/>
    <d v="2025-01-09T00:00:00"/>
    <m/>
    <m/>
    <m/>
    <s v="CREDINISSAN"/>
    <s v="DACIÓN"/>
    <n v="0"/>
    <n v="0"/>
    <m/>
    <m/>
    <n v="6733739"/>
    <m/>
    <m/>
    <m/>
    <m/>
    <s v="CASTIGO"/>
    <n v="995635971"/>
    <m/>
    <m/>
    <s v="ELITA.ROSA@HOTMAIL.COM"/>
    <m/>
    <m/>
    <s v="PASAJE RIO BLANCO 1376"/>
    <s v="COQUIMBO"/>
    <s v="IV REGION"/>
    <s v="C-20314-2024"/>
    <s v="9º Juzgado Civil de Santiago"/>
    <s v="INGRESADO"/>
    <s v="MANTIENE"/>
    <m/>
    <m/>
    <m/>
    <m/>
    <s v="NO"/>
    <s v="ACTIVO"/>
    <s v="RFVW10"/>
    <s v="NISSAN"/>
    <s v="QASHQAI J11 2.0"/>
    <n v="2022"/>
  </r>
  <r>
    <n v="1563013"/>
    <n v="309"/>
    <m/>
    <n v="4818807"/>
    <m/>
    <s v="PHOENIX"/>
    <s v="JUDICIAL"/>
    <x v="1"/>
    <s v="0-365"/>
    <x v="0"/>
    <s v="COBRANZA"/>
    <x v="0"/>
    <m/>
    <n v="19902496"/>
    <n v="5"/>
    <s v="DIEGO FRANCISCO  OLGUIN TARIFEÑO"/>
    <m/>
    <n v="223.059"/>
    <d v="2025-01-06T00:00:00"/>
    <m/>
    <m/>
    <m/>
    <s v="TANNER"/>
    <m/>
    <n v="0"/>
    <n v="0"/>
    <m/>
    <m/>
    <n v="794218"/>
    <m/>
    <m/>
    <m/>
    <m/>
    <s v="CASTIGO"/>
    <n v="988691761"/>
    <m/>
    <m/>
    <s v="DIEGOOLGUIN01@GMAIL.COM"/>
    <m/>
    <m/>
    <s v="SAN ALFONSO 741"/>
    <m/>
    <s v="REGION METROPOLITANA"/>
    <s v="C-19061-2024"/>
    <s v="1º Juzgado Civil de Santiago"/>
    <s v="GIRO CHEQUE"/>
    <s v="MANTIENE"/>
    <m/>
    <m/>
    <m/>
    <m/>
    <s v="SI"/>
    <s v="ACTIVO"/>
    <s v="RKBZ50"/>
    <s v="JAC"/>
    <s v="JS2 HATCHBACK 1.5"/>
    <n v="2022"/>
  </r>
  <r>
    <n v="1571122"/>
    <n v="156"/>
    <m/>
    <n v="5920000"/>
    <m/>
    <s v="PHOENIX"/>
    <s v="JUDICIAL"/>
    <x v="1"/>
    <s v="0-365"/>
    <x v="0"/>
    <s v="COBRANZA"/>
    <x v="0"/>
    <m/>
    <n v="11641745"/>
    <n v="6"/>
    <s v="ANA PAULA  GUAJARDO CORDOVA"/>
    <m/>
    <n v="275.62799999999999"/>
    <d v="2025-01-11T00:00:00"/>
    <m/>
    <m/>
    <m/>
    <s v="TANNER"/>
    <m/>
    <n v="0"/>
    <n v="0"/>
    <m/>
    <m/>
    <n v="676430"/>
    <m/>
    <s v="PLAN DE PAGO"/>
    <s v="PHOENIX"/>
    <m/>
    <s v="CASTIGO"/>
    <n v="959863045"/>
    <m/>
    <m/>
    <s v="ANA.GUA.COR29@GMAIL.COM"/>
    <m/>
    <m/>
    <s v="PASAJE DANCING 5875"/>
    <m/>
    <s v="REGION METROPOLITANA"/>
    <s v="C-3908-2025"/>
    <s v="26º Juzgado Civil de Santiago"/>
    <s v="INGRESADO"/>
    <s v="MANTIENE"/>
    <m/>
    <m/>
    <m/>
    <m/>
    <s v="NO"/>
    <s v="ACTIVO"/>
    <s v="RGZP22"/>
    <s v="CHANGAN"/>
    <s v="CS55 ELITE 1.5 AUT"/>
    <n v="2022"/>
  </r>
  <r>
    <n v="1579447"/>
    <n v="156"/>
    <m/>
    <n v="3774859"/>
    <m/>
    <s v="PHOENIX"/>
    <s v="JUDICIAL"/>
    <x v="1"/>
    <s v="0-365"/>
    <x v="0"/>
    <s v="COBRANZA"/>
    <x v="0"/>
    <m/>
    <n v="18563424"/>
    <n v="8"/>
    <s v="ALBERTO FERNANDO MANUEL  ALVAREZ VICENCIO"/>
    <m/>
    <n v="218.85900000000001"/>
    <d v="2025-01-11T00:00:00"/>
    <m/>
    <m/>
    <m/>
    <s v="TANNER"/>
    <s v="DACIÓN"/>
    <n v="0"/>
    <n v="0"/>
    <m/>
    <m/>
    <n v="3774859"/>
    <m/>
    <m/>
    <m/>
    <m/>
    <s v="CASTIGO"/>
    <n v="962903608"/>
    <m/>
    <m/>
    <s v="lhise.alisdy5@gmail.com"/>
    <m/>
    <m/>
    <s v="LAS COIMAS SECTOR LA CANCHA N 4"/>
    <m/>
    <s v="V REGION"/>
    <s v="C-3899-2025"/>
    <s v="2º Juzgado Civil de Santiago"/>
    <s v="EMBARGADO"/>
    <s v="MANTIENE"/>
    <m/>
    <m/>
    <m/>
    <m/>
    <s v="SI"/>
    <s v="ACTIVO"/>
    <s v="RJRF92"/>
    <s v="CHANGAN"/>
    <s v="NEW CS 15 LUXURY MT"/>
    <n v="2022"/>
  </r>
  <r>
    <n v="1585963"/>
    <n v="279"/>
    <m/>
    <n v="6878855"/>
    <m/>
    <s v="PHOENIX"/>
    <s v="JUDICIAL"/>
    <x v="1"/>
    <s v="0-365"/>
    <x v="0"/>
    <s v="COBRANZA"/>
    <x v="0"/>
    <m/>
    <n v="18051143"/>
    <n v="1"/>
    <s v="ANGELA ALEJANDRA  REBECO PEREZ"/>
    <m/>
    <n v="209.57400000000001"/>
    <d v="2025-01-07T00:00:00"/>
    <m/>
    <m/>
    <m/>
    <s v="TANNER"/>
    <s v="DACIÓN"/>
    <n v="0"/>
    <n v="0"/>
    <m/>
    <m/>
    <n v="6878855"/>
    <m/>
    <m/>
    <m/>
    <m/>
    <s v="CASTIGO"/>
    <n v="971792389"/>
    <m/>
    <m/>
    <s v="ANGELAREBECOF@GMAIL.COM"/>
    <m/>
    <m/>
    <s v="PASAJE ANTOFAGASTA 2161"/>
    <m/>
    <s v="REGION METROPOLITANA"/>
    <s v="C-20323-2024"/>
    <s v="26º Juzgado Civil de Santiago"/>
    <s v="EMBARGADO"/>
    <s v="MANTIENE"/>
    <m/>
    <m/>
    <m/>
    <m/>
    <s v="SI"/>
    <s v="ACTIVO"/>
    <s v="RHJR26"/>
    <s v="JAC"/>
    <s v="JS4 LUXURY HB 1.5"/>
    <n v="2022"/>
  </r>
  <r>
    <n v="1603752"/>
    <n v="126"/>
    <m/>
    <n v="3882712"/>
    <m/>
    <s v="PHOENIX"/>
    <s v="JUDICIAL"/>
    <x v="1"/>
    <s v="0-365"/>
    <x v="0"/>
    <s v="COBRANZA"/>
    <x v="0"/>
    <m/>
    <n v="26445123"/>
    <s v="K"/>
    <s v="EDDY   SIMON . 0"/>
    <m/>
    <n v="206.71199999999999"/>
    <d v="2025-01-12T00:00:00"/>
    <m/>
    <m/>
    <m/>
    <s v="TANNER"/>
    <s v="DACIÓN"/>
    <n v="0"/>
    <n v="0"/>
    <m/>
    <m/>
    <n v="3882712"/>
    <m/>
    <m/>
    <m/>
    <m/>
    <s v="CASTIGO"/>
    <n v="985379739"/>
    <m/>
    <m/>
    <s v="EDDYSIMON413@GMAIL.COM"/>
    <m/>
    <m/>
    <s v="LOS INGLESES 166"/>
    <m/>
    <s v="REGION METROPOLITANA"/>
    <s v="C-5510-2025"/>
    <s v="17º Juzgado Civil de Santiago"/>
    <s v="EMBARGADO"/>
    <s v="MANTIENE"/>
    <m/>
    <m/>
    <m/>
    <m/>
    <s v="SI"/>
    <s v="ACTIVO"/>
    <s v="RLCK51"/>
    <s v="JAC"/>
    <s v="JS2 HATCHBACK 1.5"/>
    <n v="2022"/>
  </r>
  <r>
    <n v="1609974"/>
    <n v="95"/>
    <m/>
    <n v="3596000"/>
    <m/>
    <s v="PHOENIX"/>
    <s v="JUDICIAL"/>
    <x v="1"/>
    <s v="0-365"/>
    <x v="0"/>
    <s v="COBRANZA"/>
    <x v="0"/>
    <s v="E"/>
    <n v="26454470"/>
    <s v="K"/>
    <s v="JORGE ANTONIO  SERRANO HERNANDEZ"/>
    <m/>
    <n v="182.095"/>
    <d v="2026-01-01T00:00:00"/>
    <m/>
    <m/>
    <m/>
    <s v="TANNER"/>
    <s v="DACIÓN"/>
    <n v="0"/>
    <n v="0"/>
    <m/>
    <m/>
    <n v="3596000"/>
    <m/>
    <m/>
    <m/>
    <m/>
    <s v="CASTIGO"/>
    <n v="933189626"/>
    <m/>
    <m/>
    <s v="JORGESE1806@GMAIL.COM"/>
    <m/>
    <m/>
    <s v="BALMACEDA 749"/>
    <m/>
    <s v="V REGION"/>
    <s v="C-6726-2025"/>
    <s v="19º Juzgado Civil de Santiago"/>
    <s v="INGRESADO"/>
    <s v="MANTIENE"/>
    <m/>
    <m/>
    <m/>
    <m/>
    <s v="NO"/>
    <s v="ACTIVO"/>
    <s v="RJTL81"/>
    <s v="HYUNDAI"/>
    <s v="VERNA CB 1.4"/>
    <n v="2022"/>
  </r>
  <r>
    <n v="1638465"/>
    <n v="309"/>
    <m/>
    <n v="3871396"/>
    <m/>
    <s v="PHOENIX"/>
    <s v="JUDICIAL"/>
    <x v="1"/>
    <s v="0-365"/>
    <x v="0"/>
    <s v="COBRANZA"/>
    <x v="0"/>
    <m/>
    <n v="27070326"/>
    <n v="7"/>
    <s v="LIBIA ROSA  VERA TUBIÑEZ"/>
    <m/>
    <n v="198.55"/>
    <d v="2025-01-06T00:00:00"/>
    <m/>
    <m/>
    <m/>
    <s v="TANNER"/>
    <m/>
    <n v="0"/>
    <n v="0"/>
    <m/>
    <m/>
    <n v="1942286"/>
    <m/>
    <s v="PLAN DE PAGO"/>
    <s v="PHOENIX"/>
    <m/>
    <s v="CASTIGO"/>
    <n v="962588898"/>
    <m/>
    <m/>
    <s v="LIBIA.VERA1@GMAIL.COM"/>
    <m/>
    <m/>
    <s v="ALCALDE MANUEL HUICHIPOCO 422"/>
    <m/>
    <s v="REGION METROPOLITANA"/>
    <s v="C-19071-2024"/>
    <s v="3º Juzgado Civil de Santiago"/>
    <s v="INGRESADO"/>
    <s v="SUSPENDIDO"/>
    <m/>
    <m/>
    <m/>
    <m/>
    <s v="NO"/>
    <s v="SUSPENDIDO"/>
    <s v="RKHK18"/>
    <s v="SUZUKI"/>
    <s v="S PRESSO HB 1.0"/>
    <n v="2022"/>
  </r>
  <r>
    <n v="1642440"/>
    <n v="279"/>
    <m/>
    <n v="14121919"/>
    <m/>
    <s v="PHOENIX"/>
    <s v="JUDICIAL"/>
    <x v="1"/>
    <s v="0-365"/>
    <x v="0"/>
    <s v="COBRANZA"/>
    <x v="0"/>
    <m/>
    <n v="16121390"/>
    <s v="K"/>
    <s v="NICOLAS PATRICIO  ARRAU SOTO"/>
    <m/>
    <n v="460.81599999999997"/>
    <d v="2025-01-07T00:00:00"/>
    <m/>
    <m/>
    <m/>
    <s v="TANNER"/>
    <s v="DACIÓN"/>
    <n v="0"/>
    <n v="0"/>
    <m/>
    <m/>
    <n v="14121919"/>
    <m/>
    <m/>
    <m/>
    <m/>
    <s v="CASTIGO"/>
    <n v="994898377"/>
    <m/>
    <m/>
    <s v="nicoarrau@gmail.com"/>
    <m/>
    <m/>
    <s v="MANQUEHUE NORTE 1635 DPTO 104"/>
    <m/>
    <s v="REGION METROPOLITANA"/>
    <s v="C-21660-2024"/>
    <s v="24º Juzgado Civil de Santiago"/>
    <s v="EMBARGADO"/>
    <s v="MANTIENE"/>
    <m/>
    <m/>
    <m/>
    <m/>
    <s v="SI"/>
    <s v="ACTIVO"/>
    <s v="RKXF13"/>
    <s v="MAZDA"/>
    <s v="NEW CX 5 R 2.0 AWD 6A"/>
    <n v="2022"/>
  </r>
  <r>
    <n v="1644932"/>
    <n v="340"/>
    <m/>
    <n v="4868802"/>
    <m/>
    <s v="PHOENIX"/>
    <s v="JUDICIAL"/>
    <x v="1"/>
    <s v="0-365"/>
    <x v="0"/>
    <s v="COBRANZA"/>
    <x v="0"/>
    <m/>
    <n v="16002296"/>
    <n v="5"/>
    <s v="MIGUEL ANGEL  ACEVEDO ARAVENA"/>
    <m/>
    <n v="196.97800000000001"/>
    <d v="2025-01-05T00:00:00"/>
    <m/>
    <m/>
    <m/>
    <s v="TANNER"/>
    <s v="DACIÓN"/>
    <n v="0"/>
    <n v="0"/>
    <m/>
    <m/>
    <n v="3420102"/>
    <m/>
    <s v="PLAN DE PAGO"/>
    <s v="PHOENIX"/>
    <m/>
    <s v="CASTIGO"/>
    <n v="9987229864"/>
    <m/>
    <m/>
    <s v="MACEVEDOAR@GMAIL.COM"/>
    <m/>
    <m/>
    <s v="30 SUR 19 PONIENTE NÂ°38"/>
    <m/>
    <s v="VII REGION"/>
    <s v="4º Juzgado Civil de Santiago"/>
    <s v="C-16642-2024"/>
    <s v="EMBARGADO"/>
    <s v="SUSPENDIDO"/>
    <m/>
    <m/>
    <m/>
    <m/>
    <s v="SI"/>
    <s v="SUSPENDIDO"/>
    <s v="RJSW95"/>
    <s v="CHANGAN"/>
    <s v="ALSVIN LUXURY MT"/>
    <n v="2022"/>
  </r>
  <r>
    <n v="1670767"/>
    <n v="64"/>
    <m/>
    <n v="6378399"/>
    <m/>
    <s v="PHOENIX"/>
    <s v="JUDICIAL"/>
    <x v="1"/>
    <s v="0-365"/>
    <x v="0"/>
    <s v="COBRANZA"/>
    <x v="0"/>
    <s v="E"/>
    <n v="17484899"/>
    <n v="8"/>
    <s v="ANGÉLICA ESTER  NARVÁEZ  CASTRO"/>
    <m/>
    <n v="337.10899999999998"/>
    <d v="2026-01-02T00:00:00"/>
    <m/>
    <m/>
    <m/>
    <s v="CREDINISSAN"/>
    <m/>
    <n v="0"/>
    <n v="0"/>
    <m/>
    <m/>
    <n v="6041290"/>
    <m/>
    <m/>
    <m/>
    <m/>
    <s v="CASTIGO"/>
    <n v="945865081"/>
    <m/>
    <m/>
    <s v="ANGELICA.NAR.CAS@GMAIL.COM"/>
    <m/>
    <m/>
    <s v="VIOLETA PARRA 1954 DPTO. I 212"/>
    <s v="LA PINTANA"/>
    <s v="REGION METROPOLITANA"/>
    <s v="C-8323-2025"/>
    <s v="28º Juzgado Civil de Santiago"/>
    <s v="REMATADO"/>
    <s v="MANTIENE"/>
    <m/>
    <m/>
    <m/>
    <m/>
    <s v="SI"/>
    <s v="ACTIVO"/>
    <s v="RRJV47"/>
    <s v="NISSAN"/>
    <s v="SENTRA MT 2.0"/>
    <n v="2022"/>
  </r>
  <r>
    <n v="1700218"/>
    <n v="64"/>
    <m/>
    <n v="6879999"/>
    <m/>
    <s v="PHOENIX"/>
    <s v="JUDICIAL"/>
    <x v="1"/>
    <s v="0-365"/>
    <x v="0"/>
    <s v="COBRANZA"/>
    <x v="0"/>
    <s v="E"/>
    <n v="12218160"/>
    <s v="K"/>
    <s v="JUAN ALEX  OLIVARES  ALANO"/>
    <m/>
    <n v="362.214"/>
    <d v="2026-01-02T00:00:00"/>
    <m/>
    <m/>
    <m/>
    <s v="CREDINISSAN"/>
    <s v="DACIÓN"/>
    <n v="0"/>
    <n v="0"/>
    <m/>
    <m/>
    <n v="6517785"/>
    <m/>
    <s v="PLAN DE PAGO"/>
    <s v="PHOENIX"/>
    <m/>
    <s v="CASTIGO"/>
    <n v="957500333"/>
    <m/>
    <m/>
    <s v="OLIVARESALANO@GMAIL.COM"/>
    <m/>
    <m/>
    <s v="FERNANDO DE AGUIRRE 850 POBLACIÓN CARTAVIO"/>
    <s v="COPIAPO"/>
    <s v="III REGION"/>
    <s v="25º Juzgado Civil de Santiago"/>
    <s v="C-15693-2024"/>
    <s v="INGRESADO"/>
    <s v="MANTIENE"/>
    <m/>
    <m/>
    <m/>
    <m/>
    <s v="NO"/>
    <s v="ACTIVO"/>
    <s v="RKRY65"/>
    <s v="NISSAN"/>
    <s v="KICKS CVT 1.6 AUT"/>
    <n v="2022"/>
  </r>
  <r>
    <n v="1721051"/>
    <n v="248"/>
    <m/>
    <n v="9984524"/>
    <m/>
    <s v="PHOENIX"/>
    <s v="JUDICIAL"/>
    <x v="1"/>
    <s v="0-365"/>
    <x v="0"/>
    <s v="COBRANZA"/>
    <x v="0"/>
    <m/>
    <n v="16409957"/>
    <n v="1"/>
    <s v="ROBERTO CARLOS NEER CERDA"/>
    <m/>
    <n v="313.96899999999999"/>
    <d v="2025-01-08T00:00:00"/>
    <m/>
    <m/>
    <m/>
    <s v="TANNER"/>
    <s v="DACIÓN"/>
    <n v="0"/>
    <n v="0"/>
    <m/>
    <m/>
    <n v="9984524"/>
    <m/>
    <m/>
    <m/>
    <m/>
    <s v="CASTIGO"/>
    <n v="93241652"/>
    <m/>
    <m/>
    <s v="rc.neer@gmail.com"/>
    <m/>
    <m/>
    <s v="PASAJE LOS ARAUCANOS 01351"/>
    <s v="PUENTE ALTO"/>
    <s v="REGION METROPOLITANA"/>
    <s v="C-22132-2024"/>
    <s v="25º JUZGADO CIVIL DE SANTIAGO"/>
    <s v="EMBARGADO"/>
    <s v="MANTIENE"/>
    <m/>
    <m/>
    <m/>
    <m/>
    <s v="SI"/>
    <s v="ACTIVO"/>
    <s v="RRRF12"/>
    <s v="JAC"/>
    <s v="T8 XE ADVANCE 2.0"/>
    <n v="2022"/>
  </r>
  <r>
    <n v="1729656"/>
    <n v="309"/>
    <m/>
    <n v="4994124"/>
    <m/>
    <s v="PHOENIX"/>
    <s v="JUDICIAL"/>
    <x v="1"/>
    <s v="0-365"/>
    <x v="0"/>
    <s v="COBRANZA"/>
    <x v="0"/>
    <m/>
    <n v="13621515"/>
    <n v="9"/>
    <s v="VERÓNICA DE LAS MERCEDES SAN MARTÍN LAGOS"/>
    <m/>
    <n v="256.83600000000001"/>
    <d v="2025-01-06T00:00:00"/>
    <m/>
    <m/>
    <m/>
    <s v="TANNER"/>
    <s v="DACIÓN"/>
    <n v="0"/>
    <n v="0"/>
    <m/>
    <m/>
    <n v="4994124"/>
    <m/>
    <m/>
    <m/>
    <m/>
    <s v="CASTIGO"/>
    <n v="991355756"/>
    <m/>
    <m/>
    <s v="VERONICASANMARTINLAGOS@GMAIL.COM"/>
    <m/>
    <m/>
    <s v="CONDE DEL MAULE 668"/>
    <s v="CHILLAN VIEJO"/>
    <s v="XVI REGION"/>
    <s v="C-19071-2024"/>
    <s v="29º Juzgado Civil de Santiago"/>
    <s v="INGRESADO"/>
    <s v="MANTIENE"/>
    <m/>
    <m/>
    <m/>
    <m/>
    <s v="NO"/>
    <s v="ACTIVO"/>
    <s v="HYCV69"/>
    <s v="HYUNDAI"/>
    <s v="ACCENT RB 1.4"/>
    <n v="2016"/>
  </r>
  <r>
    <n v="1735638"/>
    <n v="95"/>
    <m/>
    <n v="4850702"/>
    <m/>
    <s v="PHOENIX"/>
    <s v="JUDICIAL"/>
    <x v="1"/>
    <s v="0-365"/>
    <x v="0"/>
    <s v="COBRANZA"/>
    <x v="0"/>
    <s v="E"/>
    <n v="15656935"/>
    <n v="6"/>
    <s v="RAMÓN ALONSO VÁSQUEZ BUSTOS"/>
    <m/>
    <n v="347.26"/>
    <d v="2026-01-01T00:00:00"/>
    <m/>
    <m/>
    <m/>
    <s v="TANNER"/>
    <s v="DACIÓN"/>
    <n v="0"/>
    <n v="0"/>
    <m/>
    <m/>
    <n v="4850702"/>
    <m/>
    <s v="PLAN DE PAGO"/>
    <s v="PHOENIX"/>
    <m/>
    <s v="CASTIGO"/>
    <n v="9930097642"/>
    <m/>
    <m/>
    <s v="Herramientasramon1@gmail.com"/>
    <m/>
    <m/>
    <s v="LOS CULTIVADORES 0563"/>
    <s v="TEMUCO"/>
    <s v="IX REGION"/>
    <s v="C-19068-2024"/>
    <s v="21º JUZGADO CIVIL DE SANTIAGO"/>
    <s v="INGRESADO"/>
    <s v="MANTIENE"/>
    <m/>
    <m/>
    <m/>
    <m/>
    <s v="NO"/>
    <s v="ACTIVO"/>
    <s v="GWYT99"/>
    <s v="FORD"/>
    <s v="ESCAPE 2.5 AUT"/>
    <n v="2015"/>
  </r>
  <r>
    <n v="1746743"/>
    <n v="370"/>
    <m/>
    <n v="4502714"/>
    <m/>
    <s v="PHOENIX"/>
    <s v="JUDICIAL"/>
    <x v="2"/>
    <s v="366-730"/>
    <x v="0"/>
    <s v="COBRANZA"/>
    <x v="0"/>
    <m/>
    <n v="26896838"/>
    <n v="5"/>
    <s v="GERMAN ANTONIO GONZALEZ SANCHEZ"/>
    <m/>
    <n v="197.00700000000001"/>
    <d v="2025-01-04T00:00:00"/>
    <m/>
    <m/>
    <m/>
    <s v="TANNER"/>
    <s v="DACIÓN"/>
    <n v="0"/>
    <n v="0"/>
    <m/>
    <m/>
    <n v="4502714"/>
    <m/>
    <m/>
    <m/>
    <m/>
    <s v="CASTIGO"/>
    <n v="9935804367"/>
    <m/>
    <m/>
    <s v="iramandarcia@gmail.com"/>
    <m/>
    <m/>
    <s v="AV. ESCUELA AGRICOLA 1710 DEPTO 1605"/>
    <s v="MACUL"/>
    <s v="REGION METROPOLITANA"/>
    <s v="19º Juzgado Civil de Santiago"/>
    <s v="C-15713-2024"/>
    <s v="EMBARGADO"/>
    <s v="MANTIENE"/>
    <m/>
    <m/>
    <m/>
    <m/>
    <s v="SI"/>
    <s v="ACTIVO"/>
    <s v="RRKJ66"/>
    <s v="SUZUKI"/>
    <s v="ALTO 800 GLX AC"/>
    <n v="2022"/>
  </r>
  <r>
    <n v="1749842"/>
    <n v="64"/>
    <m/>
    <n v="4940063"/>
    <m/>
    <s v="PHOENIX"/>
    <s v="JUDICIAL"/>
    <x v="1"/>
    <s v="0-365"/>
    <x v="0"/>
    <s v="COBRANZA"/>
    <x v="0"/>
    <s v="E"/>
    <n v="16823710"/>
    <n v="3"/>
    <s v="REINALDO DAVID  ALCAMÁN  HUENULAF"/>
    <m/>
    <n v="380.19799999999998"/>
    <d v="2026-01-02T00:00:00"/>
    <m/>
    <m/>
    <m/>
    <s v="CREDINISSAN"/>
    <s v="DACIÓN"/>
    <n v="0"/>
    <n v="0"/>
    <m/>
    <m/>
    <n v="4940063"/>
    <m/>
    <m/>
    <m/>
    <m/>
    <s v="CASTIGO"/>
    <n v="981496520"/>
    <m/>
    <m/>
    <s v="reypausa@gmail.com"/>
    <m/>
    <m/>
    <s v="PATRICIO LINCH  1040 DEPARTAMENTO 105"/>
    <s v="TEMUCO"/>
    <s v="IX REGION"/>
    <s v="C-8327-2025"/>
    <s v="16º Juzgado Civil de Santiago"/>
    <s v="EMBARGADO"/>
    <s v="MANTIENE"/>
    <m/>
    <m/>
    <m/>
    <m/>
    <s v="SI"/>
    <s v="ACTIVO"/>
    <s v="RRYZ76"/>
    <s v="NISSAN"/>
    <s v="SENTRA MT 2.0"/>
    <n v="2022"/>
  </r>
  <r>
    <n v="1752476"/>
    <n v="309"/>
    <m/>
    <n v="6198242"/>
    <m/>
    <s v="PHOENIX"/>
    <s v="JUDICIAL"/>
    <x v="1"/>
    <s v="0-365"/>
    <x v="0"/>
    <s v="COBRANZA"/>
    <x v="0"/>
    <m/>
    <n v="18957719"/>
    <n v="2"/>
    <s v="PEDRO GERMAN ESPINOZA MUÑOZ"/>
    <m/>
    <n v="190.56200000000001"/>
    <d v="2025-01-06T00:00:00"/>
    <m/>
    <m/>
    <m/>
    <s v="TANNER"/>
    <s v="DACIÓN"/>
    <n v="0"/>
    <n v="0"/>
    <m/>
    <m/>
    <n v="6198242"/>
    <m/>
    <m/>
    <m/>
    <m/>
    <s v="CASTIGO"/>
    <n v="978819922"/>
    <m/>
    <m/>
    <s v="pedro_name@hotmail.com"/>
    <m/>
    <m/>
    <s v="CALLE 2 CASA  749 BOCA SUR"/>
    <s v="SAN PEDRO DE LA PAZ"/>
    <s v="VIII REGION"/>
    <s v="C-19074-2024"/>
    <s v="10º Juzgado Civil de Santiago"/>
    <s v="EMBARGADO"/>
    <s v="MANTIENE"/>
    <m/>
    <m/>
    <m/>
    <m/>
    <s v="SI"/>
    <s v="ACTIVO"/>
    <s v="RTRZ90"/>
    <s v="CHANGAN"/>
    <s v="ALSVIN 1.4"/>
    <n v="2022"/>
  </r>
  <r>
    <n v="1763682"/>
    <n v="126"/>
    <m/>
    <n v="6001534"/>
    <m/>
    <s v="PHOENIX"/>
    <s v="JUDICIAL"/>
    <x v="1"/>
    <s v="0-365"/>
    <x v="0"/>
    <s v="COBRANZA"/>
    <x v="0"/>
    <m/>
    <n v="17941976"/>
    <n v="9"/>
    <s v="HANS ALEXANDER BÓRQUEZ CHACANA"/>
    <m/>
    <n v="401.78199999999998"/>
    <d v="2025-01-12T00:00:00"/>
    <m/>
    <m/>
    <m/>
    <s v="TANNER"/>
    <s v="DACIÓN"/>
    <n v="0"/>
    <n v="0"/>
    <m/>
    <m/>
    <n v="6001534"/>
    <m/>
    <m/>
    <m/>
    <m/>
    <s v="CASTIGO"/>
    <n v="965291697"/>
    <m/>
    <m/>
    <s v="THRON.7@LIVE.COM"/>
    <m/>
    <m/>
    <s v="AVENIDA CARLOS VALDOVINOS 1055 DEPTO. 187"/>
    <s v="SAN MIGUEL"/>
    <s v="REGION METROPOLITANA"/>
    <s v="C-5508-2025"/>
    <s v="3º Juzgado Civil de Santiago"/>
    <s v="EMBARGADO"/>
    <s v="MANTIENE"/>
    <m/>
    <m/>
    <m/>
    <m/>
    <s v="SI"/>
    <s v="ACTIVO"/>
    <s v="JCRV58"/>
    <s v="MERCEDES BENZ"/>
    <s v="A200 D"/>
    <n v="2016"/>
  </r>
  <r>
    <n v="1769156"/>
    <n v="370"/>
    <m/>
    <n v="7241243"/>
    <m/>
    <s v="PHOENIX"/>
    <s v="JUDICIAL"/>
    <x v="2"/>
    <s v="366-730"/>
    <x v="0"/>
    <s v="COBRANZA"/>
    <x v="0"/>
    <m/>
    <n v="7710884"/>
    <s v="K"/>
    <s v="MARÍA ANGÉLICA VERGARA SILVA"/>
    <m/>
    <n v="330.06900000000002"/>
    <d v="2025-01-04T00:00:00"/>
    <m/>
    <m/>
    <m/>
    <s v="TANNER"/>
    <s v="DACIÓN"/>
    <n v="0"/>
    <n v="0"/>
    <m/>
    <m/>
    <n v="3160827"/>
    <m/>
    <s v="PLAN DE PAGO"/>
    <s v="PHOENIX"/>
    <m/>
    <s v="CASTIGO"/>
    <n v="944758247"/>
    <m/>
    <m/>
    <s v="janomarver1974@gmail.com"/>
    <m/>
    <m/>
    <s v="HORNILLAS 01651"/>
    <s v="PUNTA ARENAS"/>
    <s v="XII REGION"/>
    <s v="9º Juzgado Civil de Santiago"/>
    <s v="C-16645-2024"/>
    <s v="INGRESADO"/>
    <s v="SUSPENDIDO"/>
    <m/>
    <m/>
    <m/>
    <m/>
    <s v="NO"/>
    <s v="SUSPENDIDO"/>
    <s v="RPYY87"/>
    <s v="HYUNDAI"/>
    <s v="SANTA FE 2.0 AUT"/>
    <n v="2014"/>
  </r>
  <r>
    <n v="1777539"/>
    <n v="64"/>
    <m/>
    <n v="9123246"/>
    <m/>
    <s v="PHOENIX"/>
    <s v="JUDICIAL"/>
    <x v="1"/>
    <s v="0-365"/>
    <x v="0"/>
    <s v="COBRANZA"/>
    <x v="0"/>
    <s v="E"/>
    <n v="12002438"/>
    <n v="8"/>
    <s v="LUIS FRANCISCO JAVIER  ESCOBAR MUÑOZ"/>
    <m/>
    <n v="375.18"/>
    <d v="2026-01-02T00:00:00"/>
    <m/>
    <m/>
    <m/>
    <s v="TANNER"/>
    <s v="DACIÓN"/>
    <n v="0"/>
    <n v="0"/>
    <m/>
    <m/>
    <n v="9123246"/>
    <m/>
    <m/>
    <m/>
    <m/>
    <s v="CASTIGO"/>
    <n v="56995083890"/>
    <m/>
    <m/>
    <s v="LFJAVIER69@HOTMAIL.COM"/>
    <m/>
    <m/>
    <s v="ANDES 1506"/>
    <m/>
    <s v="III REGION"/>
    <s v="C-8325-2025"/>
    <s v="4º Juzgado Civil de Santiago"/>
    <s v="INGRESADO"/>
    <s v="MANTIENE"/>
    <m/>
    <m/>
    <m/>
    <m/>
    <s v="NO"/>
    <s v="ACTIVO"/>
    <s v="KSRX96"/>
    <s v="JEEP"/>
    <s v="RENEGADE SPORT 1.8"/>
    <n v="2019"/>
  </r>
  <r>
    <n v="1782538"/>
    <n v="248"/>
    <m/>
    <n v="5247436"/>
    <m/>
    <s v="PHOENIX"/>
    <s v="JUDICIAL"/>
    <x v="1"/>
    <s v="0-365"/>
    <x v="0"/>
    <s v="COBRANZA"/>
    <x v="0"/>
    <m/>
    <n v="16174268"/>
    <n v="6"/>
    <s v="JACQUELINE ANDREA  GONZÁLEZ CALDERON"/>
    <m/>
    <n v="258.197"/>
    <d v="2025-01-08T00:00:00"/>
    <m/>
    <m/>
    <m/>
    <s v="TANNER"/>
    <s v="DACIÓN"/>
    <n v="0"/>
    <n v="0"/>
    <m/>
    <m/>
    <n v="5247436"/>
    <m/>
    <m/>
    <m/>
    <m/>
    <s v="CASTIGO"/>
    <n v="953673166"/>
    <m/>
    <m/>
    <s v="JAGONZALEZC@MALLCENTER.CL"/>
    <m/>
    <m/>
    <s v="AFLUENTE 1932"/>
    <m/>
    <s v="REGION METROPOLITANA"/>
    <s v="C-22302-2024"/>
    <s v="22º Juzgado Civil de Santiago"/>
    <s v="EMBARGADO"/>
    <s v="MANTIENE"/>
    <m/>
    <m/>
    <m/>
    <m/>
    <s v="SI"/>
    <s v="ACTIVO"/>
    <s v="LPFT73"/>
    <s v="KIA MOTORS"/>
    <s v="MORNING EX 1.2"/>
    <n v="2019"/>
  </r>
  <r>
    <n v="1783098"/>
    <n v="309"/>
    <m/>
    <n v="5978132"/>
    <m/>
    <s v="PHOENIX"/>
    <s v="JUDICIAL"/>
    <x v="1"/>
    <s v="0-365"/>
    <x v="0"/>
    <s v="COBRANZA"/>
    <x v="0"/>
    <m/>
    <n v="15642246"/>
    <n v="0"/>
    <s v="EVELYN ALEJANDRA AHUMADA PADILLA"/>
    <m/>
    <n v="272.81900000000002"/>
    <d v="2025-01-06T00:00:00"/>
    <m/>
    <m/>
    <m/>
    <s v="TANNER"/>
    <m/>
    <n v="0"/>
    <n v="0"/>
    <m/>
    <m/>
    <n v="2471892"/>
    <m/>
    <m/>
    <m/>
    <m/>
    <s v="CASTIGO"/>
    <n v="958355504"/>
    <m/>
    <m/>
    <s v="e.ahumadapadilla@gmail.com"/>
    <m/>
    <m/>
    <s v="romerillo 3735"/>
    <s v="PUENTE ALTO"/>
    <s v="REGION METROPOLITANA"/>
    <s v="2º Juzgado Civil de Santiago"/>
    <s v="C-16646-2024"/>
    <s v="GIRO CHEQUE"/>
    <s v="MANTIENE"/>
    <m/>
    <m/>
    <m/>
    <m/>
    <s v="SI"/>
    <s v="ACTIVO"/>
    <s v="JJTF54"/>
    <s v="NISSAN"/>
    <s v="VERSA SENSE 1.6 AUT"/>
    <n v="2017"/>
  </r>
  <r>
    <n v="1791083"/>
    <n v="401"/>
    <m/>
    <n v="7569433"/>
    <m/>
    <s v="PHOENIX"/>
    <s v="JUDICIAL"/>
    <x v="2"/>
    <s v="366-730"/>
    <x v="0"/>
    <s v="COBRANZA"/>
    <x v="0"/>
    <m/>
    <n v="15236244"/>
    <n v="7"/>
    <s v="RUBÉN ANER CARILAO BARRA"/>
    <m/>
    <n v="322.35500000000002"/>
    <d v="2025-01-03T00:00:00"/>
    <m/>
    <m/>
    <m/>
    <s v="TANNER"/>
    <s v="DACIÓN"/>
    <n v="0"/>
    <n v="0"/>
    <m/>
    <m/>
    <n v="6295707"/>
    <m/>
    <s v="PLAN DE PAGO"/>
    <s v="PHOENIX"/>
    <m/>
    <s v="CASTIGO"/>
    <n v="968259519"/>
    <m/>
    <m/>
    <s v="rubenaner@gmail.com"/>
    <m/>
    <m/>
    <s v="La Huasca 10834"/>
    <s v="LA FLORIDA"/>
    <s v="REGION METROPOLITANA"/>
    <s v="16º Juzgado Civil de Santiago"/>
    <s v="C-16644-2024"/>
    <s v="EMBARGADO"/>
    <s v="SUSPENDIDO"/>
    <m/>
    <m/>
    <m/>
    <m/>
    <s v="SI"/>
    <s v="SUSPENDIDO"/>
    <s v="RTFH40"/>
    <s v="KYC"/>
    <s v="X5 DCAB 1.5"/>
    <n v="2022"/>
  </r>
  <r>
    <n v="1797742"/>
    <n v="340"/>
    <m/>
    <n v="6783925"/>
    <m/>
    <s v="PHOENIX"/>
    <s v="JUDICIAL"/>
    <x v="1"/>
    <s v="0-365"/>
    <x v="0"/>
    <s v="COBRANZA"/>
    <x v="0"/>
    <m/>
    <n v="9082995"/>
    <n v="5"/>
    <s v="JOSÉ ENRIQUE HUENCHUCHEO REMOLCOY"/>
    <m/>
    <n v="310.22000000000003"/>
    <d v="2025-01-05T00:00:00"/>
    <m/>
    <m/>
    <m/>
    <s v="TANNER"/>
    <s v="DACIÓN"/>
    <n v="0"/>
    <n v="0"/>
    <m/>
    <m/>
    <n v="6783925"/>
    <m/>
    <m/>
    <m/>
    <m/>
    <s v="CASTIGO"/>
    <n v="959935957"/>
    <m/>
    <m/>
    <s v="electricidad.joseh@gmail.com"/>
    <m/>
    <m/>
    <s v="POB. CORVI CALLE JOSE ABELARDO NUÑEZ 127"/>
    <s v="LLANQUIHUE"/>
    <s v="X REGION"/>
    <s v="11º Juzgado Civil de Santiago"/>
    <s v="C-16643-2024"/>
    <s v="INGRESADO"/>
    <s v="MANTIENE"/>
    <m/>
    <m/>
    <m/>
    <m/>
    <s v="NO"/>
    <s v="ACTIVO"/>
    <s v="RRTS57"/>
    <s v="FOTON"/>
    <s v="TM3 1.5"/>
    <n v="2022"/>
  </r>
  <r>
    <n v="1811663"/>
    <n v="248"/>
    <m/>
    <n v="8662240"/>
    <m/>
    <s v="PHOENIX"/>
    <s v="JUDICIAL"/>
    <x v="1"/>
    <s v="0-365"/>
    <x v="0"/>
    <s v="COBRANZA"/>
    <x v="0"/>
    <m/>
    <n v="26030033"/>
    <n v="4"/>
    <s v="ANDRE  TERTULIEN 0 TERTULIEN 0"/>
    <m/>
    <n v="285.38200000000001"/>
    <d v="2025-01-08T00:00:00"/>
    <m/>
    <m/>
    <m/>
    <s v="TANNER"/>
    <s v="DACIÓN"/>
    <n v="0"/>
    <n v="0"/>
    <m/>
    <m/>
    <n v="8662240"/>
    <m/>
    <m/>
    <m/>
    <m/>
    <s v="CASTIGO"/>
    <n v="950665878"/>
    <m/>
    <m/>
    <s v="andrestertu@gmail.com"/>
    <m/>
    <m/>
    <s v="CALLE TRES MONTE 714 DPTO 306"/>
    <s v="QUILICURA"/>
    <s v="REGION METROPOLITANA"/>
    <s v="C-22134-2024"/>
    <s v="1º Juzgado Civil de Santiago"/>
    <s v="EMBARGADO"/>
    <s v="MANTIENE"/>
    <m/>
    <m/>
    <m/>
    <m/>
    <s v="SI"/>
    <s v="ACTIVO"/>
    <s v="RVDH69"/>
    <s v="HYUNDAI"/>
    <s v="VERNA CB 1.4 MT PLUS"/>
    <n v="2022"/>
  </r>
  <r>
    <n v="1811675"/>
    <n v="279"/>
    <m/>
    <n v="7827655"/>
    <m/>
    <s v="PHOENIX"/>
    <s v="JUDICIAL"/>
    <x v="1"/>
    <s v="0-365"/>
    <x v="0"/>
    <s v="COBRANZA"/>
    <x v="0"/>
    <m/>
    <n v="16347411"/>
    <n v="5"/>
    <s v="OSCAR HERNAN  ORTIZ GEELL"/>
    <m/>
    <n v="263.90600000000001"/>
    <d v="2025-01-07T00:00:00"/>
    <m/>
    <m/>
    <m/>
    <s v="TANNER"/>
    <m/>
    <n v="0"/>
    <n v="0"/>
    <m/>
    <m/>
    <n v="4052835"/>
    <m/>
    <m/>
    <m/>
    <m/>
    <s v="CASTIGO"/>
    <n v="986990937"/>
    <m/>
    <m/>
    <s v="oscarhortiz@gmail.com"/>
    <m/>
    <m/>
    <s v="OFICINA LASTENIA 11850"/>
    <s v="ANTOFAGASTA"/>
    <s v="II REGION"/>
    <s v="C-20314-2024"/>
    <s v="22º Juzgado Civil de Santiago"/>
    <s v="GIRO CHEQUE"/>
    <s v="MANTIENE"/>
    <m/>
    <m/>
    <m/>
    <m/>
    <s v="SI"/>
    <s v="ACTIVO"/>
    <s v="RVZW70"/>
    <s v="RENAULT"/>
    <s v="KWID 1.0"/>
    <n v="2022"/>
  </r>
  <r>
    <n v="1813320"/>
    <n v="64"/>
    <m/>
    <n v="5190592"/>
    <m/>
    <s v="PHOENIX"/>
    <s v="JUDICIAL"/>
    <x v="1"/>
    <s v="0-365"/>
    <x v="0"/>
    <s v="COBRANZA"/>
    <x v="0"/>
    <s v="E"/>
    <n v="12699843"/>
    <n v="0"/>
    <s v="RODRIGO ALEJANDRO  PEREZ BIZAMA"/>
    <m/>
    <n v="348.44400000000002"/>
    <d v="2026-01-02T00:00:00"/>
    <m/>
    <m/>
    <m/>
    <s v="TANNER"/>
    <s v="DACIÓN"/>
    <n v="0"/>
    <n v="0"/>
    <m/>
    <m/>
    <n v="5190592"/>
    <m/>
    <m/>
    <m/>
    <m/>
    <s v="CASTIGO"/>
    <n v="972660024"/>
    <m/>
    <m/>
    <s v="horion237@gmail.com"/>
    <m/>
    <m/>
    <s v="PASAJE PEDRO AGUIRRE CERDA S/N"/>
    <s v="PENCO"/>
    <s v="VIII REGION"/>
    <s v="3º Juzgado Civil de Santiago"/>
    <s v="C-15709-2024"/>
    <s v="EMBARGADO"/>
    <s v="MANTIENE"/>
    <m/>
    <m/>
    <m/>
    <m/>
    <s v="SI"/>
    <s v="ACTIVO"/>
    <s v="RTYF80"/>
    <s v="CHANGAN"/>
    <s v="CX70 OTTO 1.6"/>
    <n v="2022"/>
  </r>
  <r>
    <n v="1819340"/>
    <n v="187"/>
    <m/>
    <n v="13794259"/>
    <m/>
    <s v="PHOENIX"/>
    <s v="JUDICIAL"/>
    <x v="1"/>
    <s v="0-365"/>
    <x v="0"/>
    <s v="COBRANZA"/>
    <x v="0"/>
    <m/>
    <n v="16520746"/>
    <n v="7"/>
    <s v="MIGUEL EDUARDO CURIQUEO CARRILLO"/>
    <m/>
    <n v="439.56299999999999"/>
    <d v="2025-01-10T00:00:00"/>
    <m/>
    <m/>
    <m/>
    <s v="TANNER"/>
    <s v="DACIÓN"/>
    <n v="0"/>
    <n v="0"/>
    <m/>
    <m/>
    <n v="13794259"/>
    <m/>
    <m/>
    <m/>
    <m/>
    <s v="CASTIGO"/>
    <n v="56967693054"/>
    <m/>
    <m/>
    <s v="ecuriqueocarrillo@gmail.com"/>
    <m/>
    <m/>
    <s v="PUERTA DEL SOL 1620"/>
    <s v="CERRO NAVIA"/>
    <s v="REGION METROPOLITANA"/>
    <s v="C-4783-2025 "/>
    <s v="13º Juzgado Civil de Santiago"/>
    <s v="EMBARGADO"/>
    <s v="MANTIENE"/>
    <m/>
    <m/>
    <m/>
    <m/>
    <s v="SI"/>
    <s v="ACTIVO"/>
    <s v="JSXW20"/>
    <s v="FORD"/>
    <s v="EXPLORER 2.3"/>
    <n v="2022"/>
  </r>
  <r>
    <n v="1830966"/>
    <n v="126"/>
    <m/>
    <n v="3845322"/>
    <m/>
    <s v="PHOENIX"/>
    <s v="JUDICIAL"/>
    <x v="1"/>
    <s v="0-365"/>
    <x v="0"/>
    <s v="COBRANZA"/>
    <x v="0"/>
    <m/>
    <n v="18790483"/>
    <n v="8"/>
    <s v="JOSÉ LUIS VIA DORADO ALFARO"/>
    <m/>
    <n v="229.36699999999999"/>
    <d v="2025-01-12T00:00:00"/>
    <m/>
    <m/>
    <m/>
    <s v="TANNER"/>
    <m/>
    <n v="0"/>
    <n v="0"/>
    <m/>
    <m/>
    <n v="3845322"/>
    <m/>
    <m/>
    <m/>
    <m/>
    <s v="CASTIGO"/>
    <n v="973758127"/>
    <m/>
    <m/>
    <s v="jviadorado@hotmail.com"/>
    <m/>
    <m/>
    <s v="AVENIDA ANTILHUE 1250 DEPTO 312 PISO 3"/>
    <s v="ANTOFAGASTA"/>
    <s v="II REGION"/>
    <s v="18º Juzgado Civil de Santiago"/>
    <s v="C-15718-2024"/>
    <s v="GIRO CHEQUE"/>
    <s v="MANTIENE"/>
    <m/>
    <m/>
    <m/>
    <m/>
    <s v="SI"/>
    <s v="ACTIVO"/>
    <s v="HJLV54"/>
    <s v="KIA MOTORS"/>
    <s v="RIO 5 EX 1.4"/>
    <n v="2015"/>
  </r>
  <r>
    <n v="1859462"/>
    <n v="309"/>
    <m/>
    <n v="5987860"/>
    <m/>
    <s v="PHOENIX"/>
    <s v="JUDICIAL"/>
    <x v="1"/>
    <s v="0-365"/>
    <x v="0"/>
    <s v="COBRANZA"/>
    <x v="0"/>
    <m/>
    <n v="8253225"/>
    <n v="0"/>
    <s v="MARIO  GALLARDO NORIEGA"/>
    <m/>
    <n v="271.57600000000002"/>
    <d v="2025-01-06T00:00:00"/>
    <m/>
    <m/>
    <m/>
    <s v="TANNER"/>
    <s v="DACIÓN"/>
    <n v="0"/>
    <n v="0"/>
    <m/>
    <m/>
    <n v="5987860"/>
    <m/>
    <m/>
    <m/>
    <m/>
    <s v="CASTIGO"/>
    <n v="976093422"/>
    <m/>
    <m/>
    <s v="consuelonoriega1967@gmail.com"/>
    <m/>
    <m/>
    <s v="TOMAS YAVAR 667"/>
    <s v="CHILLAN VIEJO"/>
    <s v="XVI REGION"/>
    <s v="C-19072-2024"/>
    <s v="17º Juzgado Civil de Santiago"/>
    <s v="INGRESADO"/>
    <s v="MANTIENE"/>
    <m/>
    <m/>
    <m/>
    <m/>
    <s v="NO"/>
    <s v="ACTIVO"/>
    <s v="RVKV87"/>
    <s v="BAIC"/>
    <s v="X55FLTMT COMFORT"/>
    <n v="2022"/>
  </r>
  <r>
    <n v="1865019"/>
    <n v="187"/>
    <m/>
    <n v="6723725"/>
    <m/>
    <s v="PHOENIX"/>
    <s v="JUDICIAL"/>
    <x v="1"/>
    <s v="0-365"/>
    <x v="0"/>
    <s v="COBRANZA"/>
    <x v="0"/>
    <m/>
    <n v="25013996"/>
    <n v="9"/>
    <s v="DANIEL LOPEZ GARCIA"/>
    <m/>
    <n v="292.36900000000003"/>
    <d v="2025-01-10T00:00:00"/>
    <m/>
    <m/>
    <m/>
    <s v="TANNER"/>
    <s v="DACIÓN"/>
    <n v="0"/>
    <n v="0"/>
    <m/>
    <m/>
    <n v="6723725"/>
    <m/>
    <m/>
    <m/>
    <m/>
    <s v="CASTIGO"/>
    <n v="988545434"/>
    <m/>
    <m/>
    <s v="DANIEL.LOPEZ345@GMAIL.COM"/>
    <m/>
    <m/>
    <s v="OFICINA SAN GREGORIO 195"/>
    <s v="ANTOFAGASTA"/>
    <s v="II REGION"/>
    <s v="C-2598-2025"/>
    <s v="29º Juzgado Civil de Santiago"/>
    <s v="EMBARGADO"/>
    <s v="MANTIENE"/>
    <m/>
    <m/>
    <m/>
    <m/>
    <s v="SI"/>
    <s v="ACTIVO"/>
    <s v="RVRH84"/>
    <s v="KIA"/>
    <s v="MORNING MPI 1.2"/>
    <n v="2022"/>
  </r>
  <r>
    <n v="1867963"/>
    <n v="248"/>
    <m/>
    <n v="15022221"/>
    <m/>
    <s v="PHOENIX"/>
    <s v="JUDICIAL"/>
    <x v="1"/>
    <s v="0-365"/>
    <x v="0"/>
    <s v="COBRANZA"/>
    <x v="0"/>
    <m/>
    <n v="10631400"/>
    <n v="4"/>
    <s v="ISABEL DEL CARMEN SANTIBÁÑEZ NEIRA"/>
    <m/>
    <n v="425.13600000000002"/>
    <d v="2025-01-08T00:00:00"/>
    <m/>
    <m/>
    <m/>
    <s v="TANNER"/>
    <s v="DACIÓN"/>
    <n v="0"/>
    <n v="0"/>
    <m/>
    <m/>
    <n v="15022221"/>
    <m/>
    <m/>
    <m/>
    <m/>
    <s v="CASTIGO"/>
    <n v="993012461"/>
    <m/>
    <m/>
    <s v="isabelneira645@gmail.com"/>
    <s v="isaabelcoco09@gmail.com"/>
    <m/>
    <s v="F30 CAMPAMENTO LAS GAVIOTAS CASA 12"/>
    <s v="QUINTERO"/>
    <s v="V REGION"/>
    <s v="C-22126-2024"/>
    <s v="28º Juzgado Civil de Santiago"/>
    <s v="EMBARGADO"/>
    <s v="MANTIENE"/>
    <m/>
    <m/>
    <m/>
    <m/>
    <s v="SI"/>
    <s v="ACTIVO"/>
    <s v="RWBB51"/>
    <s v="KIA"/>
    <s v="SPORTAGE EX DSL 2.0 AUT"/>
    <n v="2022"/>
  </r>
  <r>
    <n v="1882519"/>
    <n v="95"/>
    <m/>
    <n v="5542324"/>
    <m/>
    <s v="PHOENIX"/>
    <s v="JUDICIAL"/>
    <x v="1"/>
    <s v="0-365"/>
    <x v="0"/>
    <s v="COBRANZA"/>
    <x v="0"/>
    <s v="E"/>
    <n v="17624476"/>
    <n v="3"/>
    <s v="MARIA IGNACIA  GONZALEZ GAMBOA"/>
    <m/>
    <n v="330.64100000000002"/>
    <d v="2026-01-01T00:00:00"/>
    <m/>
    <m/>
    <m/>
    <s v="TANNER"/>
    <m/>
    <n v="0"/>
    <n v="0"/>
    <m/>
    <m/>
    <n v="1959984"/>
    <m/>
    <m/>
    <m/>
    <m/>
    <s v="CASTIGO"/>
    <n v="964720331"/>
    <m/>
    <m/>
    <s v="ignacia@sapublicidad.cl"/>
    <m/>
    <m/>
    <s v="RIQUELME 604"/>
    <s v="MELIPILLA"/>
    <s v="REGION METROPOLITANA"/>
    <s v="C-20316-2024"/>
    <s v="10º Juzgado Civil de Santiago"/>
    <s v="GIRO CHEQUE"/>
    <s v="MANTIENE"/>
    <m/>
    <m/>
    <m/>
    <m/>
    <s v="SI"/>
    <s v="ACTIVO"/>
    <s v="PCYB62"/>
    <s v="RENAULT"/>
    <s v="SYMBOL 1.6"/>
    <n v="2020"/>
  </r>
  <r>
    <n v="1891178"/>
    <n v="156"/>
    <m/>
    <n v="6382600"/>
    <m/>
    <s v="PHOENIX"/>
    <s v="JUDICIAL"/>
    <x v="1"/>
    <s v="0-365"/>
    <x v="0"/>
    <s v="COBRANZA"/>
    <x v="0"/>
    <m/>
    <n v="26313552"/>
    <n v="0"/>
    <s v="WILLIAMS JOSE  CHACIN MARTINEZ"/>
    <m/>
    <n v="301.10000000000002"/>
    <d v="2025-01-11T00:00:00"/>
    <m/>
    <m/>
    <m/>
    <s v="TANNER"/>
    <s v="DACIÓN"/>
    <n v="0"/>
    <n v="0"/>
    <m/>
    <m/>
    <n v="6382600"/>
    <m/>
    <s v="PLAN DE PAGO"/>
    <s v="PHOENIX"/>
    <m/>
    <s v="CASTIGO"/>
    <n v="979125999"/>
    <m/>
    <m/>
    <s v="LUISANNAISABELL@GMAIL.COM"/>
    <m/>
    <m/>
    <s v="PDTE SANTA MARIA 289"/>
    <m/>
    <s v="REGION METROPOLITANA"/>
    <s v="C-5521-2025"/>
    <s v="23º Juzgado Civil de Santiago"/>
    <s v="EMBARGADO"/>
    <s v="MANTIENE"/>
    <m/>
    <m/>
    <m/>
    <m/>
    <s v="SI"/>
    <s v="ACTIVO"/>
    <s v="RWZK66"/>
    <s v="SUZUKI"/>
    <s v="BALENO GLS HB 1.4"/>
    <n v="2022"/>
  </r>
  <r>
    <n v="1895109"/>
    <n v="248"/>
    <m/>
    <n v="9670566"/>
    <m/>
    <s v="PHOENIX"/>
    <s v="JUDICIAL"/>
    <x v="1"/>
    <s v="0-365"/>
    <x v="0"/>
    <s v="COBRANZA"/>
    <x v="0"/>
    <m/>
    <n v="15074249"/>
    <n v="8"/>
    <s v="ROBERTO JESÚS  CISTERNAS  NÚÑEZ"/>
    <m/>
    <n v="367.05700000000002"/>
    <d v="2025-01-08T00:00:00"/>
    <m/>
    <m/>
    <m/>
    <s v="CREDINISSAN"/>
    <m/>
    <n v="0"/>
    <n v="0"/>
    <m/>
    <m/>
    <n v="9670566"/>
    <m/>
    <m/>
    <m/>
    <m/>
    <s v="CASTIGO"/>
    <n v="993897867"/>
    <m/>
    <m/>
    <s v="ROJECINUZ@GMAIL.COM"/>
    <m/>
    <m/>
    <s v="CALLE BALMACEDA 5"/>
    <s v="LOS ANDES"/>
    <s v="V REGION"/>
    <s v="C-22139-2024"/>
    <s v="22º Juzgado Civil de Santiago"/>
    <s v="INCAUTADO"/>
    <s v="MANTIENE"/>
    <m/>
    <m/>
    <m/>
    <m/>
    <s v="SI"/>
    <s v="ACTIVO"/>
    <s v="RWVX82"/>
    <s v="NISSAN"/>
    <s v="X TRAIL T32 CVT 2.5 AUT"/>
    <n v="2022"/>
  </r>
  <r>
    <n v="1906037"/>
    <n v="309"/>
    <m/>
    <n v="11820205"/>
    <m/>
    <s v="PHOENIX"/>
    <s v="JUDICIAL"/>
    <x v="1"/>
    <s v="0-365"/>
    <x v="0"/>
    <s v="COBRANZA"/>
    <x v="0"/>
    <m/>
    <n v="17989439"/>
    <n v="4"/>
    <s v="JORGE ABRAHAM  YÁÑEZ  MERIÑO"/>
    <m/>
    <n v="469.79300000000001"/>
    <d v="2025-01-06T00:00:00"/>
    <m/>
    <m/>
    <m/>
    <s v="CREDINISSAN"/>
    <s v="DACIÓN"/>
    <n v="0"/>
    <n v="0"/>
    <m/>
    <m/>
    <n v="11820205"/>
    <m/>
    <m/>
    <m/>
    <m/>
    <s v="CASTIGO"/>
    <n v="944348344"/>
    <m/>
    <m/>
    <s v="JORGEYANEZM25@GMAIL.COM"/>
    <m/>
    <m/>
    <s v="CRUCERO 2746"/>
    <s v="CHILLAN"/>
    <s v="XVI REGION"/>
    <s v="01º Juzgado Civil de Santiago"/>
    <s v="C-15834-2024"/>
    <s v="INGRESADO"/>
    <s v="MANTIENE"/>
    <m/>
    <m/>
    <m/>
    <m/>
    <s v="NO"/>
    <s v="ACTIVO"/>
    <s v="RWXY15"/>
    <s v="NISSAN"/>
    <s v="KICKS SENSE MC 1.6 MT"/>
    <n v="2022"/>
  </r>
  <r>
    <n v="1914398"/>
    <n v="64"/>
    <m/>
    <n v="7257716"/>
    <m/>
    <s v="PHOENIX"/>
    <s v="JUDICIAL"/>
    <x v="1"/>
    <s v="0-365"/>
    <x v="0"/>
    <s v="COBRANZA"/>
    <x v="0"/>
    <s v="E"/>
    <n v="18398341"/>
    <n v="5"/>
    <s v="NATALIA ALEJANDRA  ORELLANA ZUMARAN"/>
    <m/>
    <n v="273.779"/>
    <d v="2026-01-02T00:00:00"/>
    <m/>
    <m/>
    <m/>
    <s v="TANNER"/>
    <s v="DACIÓN"/>
    <n v="0"/>
    <n v="0"/>
    <m/>
    <m/>
    <n v="7257716"/>
    <m/>
    <m/>
    <m/>
    <m/>
    <s v="CASTIGO"/>
    <n v="979991768"/>
    <n v="978208658"/>
    <m/>
    <s v="natalia.alejandra.orellana@gmail.com"/>
    <m/>
    <m/>
    <s v="NICOLAS MUNIZAGA 2477"/>
    <s v="LA SERENA"/>
    <s v="IV REGION"/>
    <s v="C-1539-2026"/>
    <s v="24º Juzgado Civil de Santiago"/>
    <s v="INGRESADO"/>
    <s v="MANTIENE"/>
    <m/>
    <m/>
    <m/>
    <m/>
    <s v="NO"/>
    <s v="ACTIVO"/>
    <s v="RXRT20"/>
    <s v="CHANGAN"/>
    <s v="CS15 HB 4X2 1.5"/>
    <n v="2022"/>
  </r>
  <r>
    <n v="1923591"/>
    <n v="248"/>
    <m/>
    <n v="11082144"/>
    <m/>
    <s v="PHOENIX"/>
    <s v="JUDICIAL"/>
    <x v="1"/>
    <s v="0-365"/>
    <x v="0"/>
    <s v="COBRANZA"/>
    <x v="0"/>
    <m/>
    <n v="16647012"/>
    <n v="9"/>
    <s v="FABRICIO ALEJANDRO  VALENZUELA LEIVA"/>
    <m/>
    <n v="375.73500000000001"/>
    <d v="2025-01-08T00:00:00"/>
    <m/>
    <m/>
    <m/>
    <s v="TANNER"/>
    <s v="DACIÓN"/>
    <n v="0"/>
    <n v="0"/>
    <m/>
    <m/>
    <n v="8056774"/>
    <m/>
    <s v="PLAN DE PAGO"/>
    <s v="PHOENIX"/>
    <m/>
    <s v="CASTIGO"/>
    <n v="977915708"/>
    <m/>
    <m/>
    <s v="fabricio.valenzuela.leiva@gmail.com"/>
    <m/>
    <m/>
    <s v="EL LLANO 9"/>
    <s v="SAN BERNARDO"/>
    <s v="REGION METROPOLITANA"/>
    <s v="C-22141-2024"/>
    <s v="29º Juzgado Civil de Santiago"/>
    <s v="INGRESADO"/>
    <s v="SUSPENDIDO"/>
    <m/>
    <m/>
    <m/>
    <m/>
    <s v="NO"/>
    <s v="SUSPENDIDO"/>
    <s v="RXTT99"/>
    <s v="JAC"/>
    <s v="T8 PRO DIESEL ADVANCE 4X4 2.0"/>
    <n v="2022"/>
  </r>
  <r>
    <n v="1983306"/>
    <n v="248"/>
    <m/>
    <n v="11020924"/>
    <m/>
    <s v="PHOENIX"/>
    <s v="JUDICIAL"/>
    <x v="1"/>
    <s v="0-365"/>
    <x v="0"/>
    <s v="COBRANZA"/>
    <x v="0"/>
    <m/>
    <n v="11421231"/>
    <n v="8"/>
    <s v="JORGE LEANDRO HERRERA OPAZO"/>
    <m/>
    <n v="483.24900000000002"/>
    <d v="2025-01-08T00:00:00"/>
    <m/>
    <m/>
    <m/>
    <s v="TANNER"/>
    <m/>
    <n v="0"/>
    <n v="0"/>
    <m/>
    <m/>
    <n v="11020924"/>
    <m/>
    <m/>
    <m/>
    <m/>
    <s v="CASTIGO"/>
    <n v="965349720"/>
    <m/>
    <m/>
    <s v="rpiucoluribe@hotmail.com"/>
    <m/>
    <m/>
    <s v="CNO AY CHACABUCO S/N"/>
    <s v="AYSEN"/>
    <s v="XI REGION"/>
    <s v="C-22140-2024"/>
    <s v="21º JUZGADO CIVIL DE SANTIAGO"/>
    <s v="GIRO CHEQUE"/>
    <s v="MANTIENE"/>
    <m/>
    <m/>
    <m/>
    <m/>
    <s v="SI"/>
    <s v="ACTIVO"/>
    <s v="SBKK55"/>
    <s v="GREAT WALL"/>
    <s v="POER DCAB 4X4 2.0 AUT"/>
    <n v="2022"/>
  </r>
  <r>
    <n v="1987553"/>
    <n v="279"/>
    <m/>
    <n v="10554087"/>
    <m/>
    <s v="PHOENIX"/>
    <s v="JUDICIAL"/>
    <x v="1"/>
    <s v="0-365"/>
    <x v="0"/>
    <s v="COBRANZA"/>
    <x v="0"/>
    <m/>
    <n v="15242687"/>
    <n v="9"/>
    <s v="GIORGIO GENNARO SARTORI TORRES"/>
    <m/>
    <n v="317.14"/>
    <d v="2025-01-07T00:00:00"/>
    <m/>
    <m/>
    <m/>
    <s v="TANNER"/>
    <s v="DACIÓN"/>
    <n v="0"/>
    <n v="0"/>
    <m/>
    <m/>
    <n v="7309826"/>
    <m/>
    <s v="PLAN DE PAGO"/>
    <s v="PHOENIX"/>
    <m/>
    <s v="CASTIGO"/>
    <n v="975171907"/>
    <m/>
    <m/>
    <s v="giorgio.sartori.t@gmail.com"/>
    <m/>
    <m/>
    <s v="AVENIDA JARDINES DE RENACA 102"/>
    <s v="VIÑA DEL MAR"/>
    <s v="V REGION"/>
    <s v="20º Juzgado Civil de Santiago"/>
    <s v="C-15706-2024"/>
    <s v="INGRESADO"/>
    <s v="SUSPENDIDO"/>
    <m/>
    <m/>
    <m/>
    <m/>
    <s v="NO"/>
    <s v="SUSPENDIDO"/>
    <s v="SBWB47"/>
    <s v="MAZDA"/>
    <s v="NEW 3 HB 2.0"/>
    <n v="2022"/>
  </r>
  <r>
    <n v="1993999"/>
    <n v="370"/>
    <m/>
    <n v="6480797"/>
    <m/>
    <s v="PHOENIX"/>
    <s v="JUDICIAL"/>
    <x v="2"/>
    <s v="366-730"/>
    <x v="0"/>
    <s v="COBRANZA"/>
    <x v="0"/>
    <m/>
    <n v="26689839"/>
    <n v="8"/>
    <s v="ANDREY ADOLFO RODRIGUEZ PIRELA"/>
    <m/>
    <n v="256.56099999999998"/>
    <d v="2025-01-04T00:00:00"/>
    <m/>
    <m/>
    <m/>
    <s v="TANNER"/>
    <s v="DACIÓN"/>
    <n v="0"/>
    <n v="0"/>
    <m/>
    <m/>
    <n v="6480797"/>
    <m/>
    <m/>
    <m/>
    <m/>
    <s v="CASTIGO"/>
    <n v="5694292242"/>
    <m/>
    <m/>
    <s v="rodriguez.p.a@hotmail.com"/>
    <m/>
    <m/>
    <s v="PRIMERA TRANSVERSAL 5915 DEP 203 PISO 2"/>
    <s v="SAN MIGUEL"/>
    <s v="REGION METROPOLITANA"/>
    <s v="15º Juzgado Civil de Santiago"/>
    <s v="C-16651-2024"/>
    <s v="INGRESADO"/>
    <s v="MANTIENE"/>
    <m/>
    <m/>
    <m/>
    <m/>
    <s v="NO"/>
    <s v="ACTIVO"/>
    <s v="LPCZ41"/>
    <s v="CHERY"/>
    <s v="TIGGO 2 GLS 1.5"/>
    <n v="2019"/>
  </r>
  <r>
    <n v="1996495"/>
    <n v="309"/>
    <m/>
    <n v="16285403"/>
    <m/>
    <s v="PHOENIX"/>
    <s v="JUDICIAL"/>
    <x v="1"/>
    <s v="0-365"/>
    <x v="0"/>
    <s v="COBRANZA"/>
    <x v="0"/>
    <m/>
    <n v="16552478"/>
    <n v="0"/>
    <s v="FRANCISCO ANTONIO VENEGAS GATICA"/>
    <m/>
    <n v="659.35400000000004"/>
    <d v="2025-01-06T00:00:00"/>
    <m/>
    <m/>
    <m/>
    <s v="TANNER"/>
    <m/>
    <n v="0"/>
    <n v="0"/>
    <m/>
    <m/>
    <n v="16285403"/>
    <m/>
    <m/>
    <m/>
    <m/>
    <s v="CASTIGO"/>
    <n v="56936737903"/>
    <m/>
    <m/>
    <s v="francisco.venegas.gatica@fmail.com"/>
    <m/>
    <m/>
    <s v="LAS COMPUERTAS 9"/>
    <s v="CATEMU"/>
    <s v="V REGION"/>
    <s v="C-19084-2024"/>
    <s v="7º Juzgado Civil de Santiago"/>
    <s v="EMBARGADO"/>
    <s v="MANTIENE"/>
    <m/>
    <m/>
    <m/>
    <m/>
    <s v="SI"/>
    <s v="ACTIVO"/>
    <s v="SCVY70"/>
    <s v="JAC"/>
    <s v="T8 PRO LUXURY 4X4 2.0"/>
    <n v="2022"/>
  </r>
  <r>
    <n v="1999968"/>
    <n v="279"/>
    <m/>
    <n v="10385444"/>
    <m/>
    <s v="PHOENIX"/>
    <s v="JUDICIAL"/>
    <x v="1"/>
    <s v="0-365"/>
    <x v="0"/>
    <s v="COBRANZA"/>
    <x v="0"/>
    <m/>
    <n v="25179124"/>
    <n v="4"/>
    <s v="JOHANA VALENTINA LEON SILVA"/>
    <m/>
    <n v="353.01400000000001"/>
    <d v="2025-01-07T00:00:00"/>
    <m/>
    <m/>
    <m/>
    <s v="TANNER"/>
    <m/>
    <n v="0"/>
    <n v="0"/>
    <m/>
    <m/>
    <n v="5635994"/>
    <m/>
    <m/>
    <m/>
    <m/>
    <s v="CASTIGO"/>
    <m/>
    <m/>
    <m/>
    <m/>
    <m/>
    <m/>
    <m/>
    <m/>
    <s v="REGION METROPOLITANA"/>
    <s v="6º Juzgado Civil de Santiago"/>
    <s v="C-15708-2024"/>
    <s v="REMATADO"/>
    <s v="MANTIENE"/>
    <m/>
    <m/>
    <m/>
    <m/>
    <s v="SI"/>
    <s v="CERRADO"/>
    <m/>
    <s v="MIGRADO"/>
    <s v="MIGRADO"/>
    <n v="0"/>
  </r>
  <r>
    <n v="2003648"/>
    <n v="340"/>
    <m/>
    <n v="8935639"/>
    <m/>
    <s v="PHOENIX"/>
    <s v="JUDICIAL"/>
    <x v="1"/>
    <s v="0-365"/>
    <x v="0"/>
    <s v="COBRANZA"/>
    <x v="0"/>
    <m/>
    <n v="16148240"/>
    <n v="4"/>
    <s v="JOCELYN FLOR LEON ACEVEDO"/>
    <m/>
    <n v="291.08100000000002"/>
    <d v="2025-01-05T00:00:00"/>
    <m/>
    <m/>
    <m/>
    <s v="TANNER"/>
    <m/>
    <n v="0"/>
    <n v="0"/>
    <m/>
    <m/>
    <n v="4386861"/>
    <m/>
    <m/>
    <m/>
    <m/>
    <s v="CASTIGO"/>
    <n v="999138721"/>
    <m/>
    <m/>
    <s v="jocelyn_leon_27@hotmail.com"/>
    <m/>
    <m/>
    <s v="LA CONQUISTA 2865"/>
    <s v="CONCHALI"/>
    <s v="REGION METROPOLITANA"/>
    <s v="22º Juzgado Civil de Santiago"/>
    <s v="C-16647-2024"/>
    <s v="REMATADO"/>
    <s v="MANTIENE"/>
    <m/>
    <m/>
    <m/>
    <m/>
    <s v="SI"/>
    <s v="CERRADO"/>
    <s v="RZTP17"/>
    <s v="CHANGAN"/>
    <s v="CX70 1.6"/>
    <n v="2022"/>
  </r>
  <r>
    <n v="2005901"/>
    <n v="248"/>
    <m/>
    <n v="7052588"/>
    <m/>
    <s v="PHOENIX"/>
    <s v="JUDICIAL"/>
    <x v="1"/>
    <s v="0-365"/>
    <x v="0"/>
    <s v="COBRANZA"/>
    <x v="0"/>
    <m/>
    <n v="76929091"/>
    <n v="5"/>
    <s v="ÁNGELICA ARAYA VALENZUELA EXTRACCIÓN DE MINERALES E.I.R.L."/>
    <m/>
    <n v="587.71600000000001"/>
    <d v="2025-01-08T00:00:00"/>
    <m/>
    <m/>
    <m/>
    <s v="TANNER"/>
    <s v="DACIÓN"/>
    <n v="0"/>
    <n v="0"/>
    <m/>
    <m/>
    <n v="7052588"/>
    <m/>
    <m/>
    <m/>
    <m/>
    <s v="CASTIGO"/>
    <n v="958351240"/>
    <m/>
    <m/>
    <s v="angelicaarayavalenzuela@gmail.com"/>
    <m/>
    <m/>
    <s v="JOSE ANTONIO MORENO 555"/>
    <s v="ANTOFAGASTA"/>
    <s v="II REGION"/>
    <s v="C-22169-2024"/>
    <s v="30º Juzgado Civil de Santiago"/>
    <s v="INGRESADO"/>
    <s v="MANTIENE"/>
    <m/>
    <m/>
    <m/>
    <m/>
    <s v="NO"/>
    <s v="ACTIVO"/>
    <s v="JHRZ96"/>
    <s v="FORD"/>
    <s v="RANGER XLT 4X4 3.2"/>
    <n v="2017"/>
  </r>
  <r>
    <n v="2031096"/>
    <n v="95"/>
    <m/>
    <n v="7340602"/>
    <m/>
    <s v="PHOENIX"/>
    <s v="JUDICIAL"/>
    <x v="1"/>
    <s v="0-365"/>
    <x v="0"/>
    <s v="COBRANZA"/>
    <x v="0"/>
    <s v="E"/>
    <n v="12135832"/>
    <n v="8"/>
    <s v="GISELA BETZABE MARTINEZ CAMPOS"/>
    <m/>
    <n v="255.69800000000001"/>
    <d v="2026-01-01T00:00:00"/>
    <m/>
    <m/>
    <m/>
    <s v="TANNER"/>
    <s v="DACIÓN"/>
    <n v="0"/>
    <n v="0"/>
    <m/>
    <m/>
    <n v="7340602"/>
    <m/>
    <m/>
    <m/>
    <m/>
    <s v="CASTIGO"/>
    <n v="9978206577"/>
    <m/>
    <m/>
    <s v="martinezcamposgisela@gmail.com"/>
    <m/>
    <m/>
    <s v="AV. LA FERIA 4927"/>
    <s v="PEDRO AGUIRRE CERDA"/>
    <s v="REGION METROPOLITANA"/>
    <s v="C-6730-2025"/>
    <s v="10º Juzgado Civil de Santiago"/>
    <s v="INGRESADO"/>
    <s v="MANTIENE"/>
    <m/>
    <m/>
    <m/>
    <m/>
    <s v="NO"/>
    <s v="ACTIVO"/>
    <s v="SCBG91"/>
    <s v="JAC"/>
    <s v="JS3 HB 1.6"/>
    <n v="2022"/>
  </r>
  <r>
    <n v="2041907"/>
    <n v="309"/>
    <m/>
    <n v="8500246"/>
    <m/>
    <s v="PHOENIX"/>
    <s v="JUDICIAL"/>
    <x v="1"/>
    <s v="0-365"/>
    <x v="0"/>
    <s v="COBRANZA"/>
    <x v="0"/>
    <m/>
    <n v="12446328"/>
    <n v="9"/>
    <s v="CLAUDIA LORENA ROJAS ARRIARÁN"/>
    <m/>
    <n v="344.17899999999997"/>
    <d v="2025-01-06T00:00:00"/>
    <m/>
    <m/>
    <m/>
    <s v="TANNER"/>
    <s v="DACIÓN"/>
    <n v="0"/>
    <n v="0"/>
    <m/>
    <m/>
    <n v="6286246"/>
    <m/>
    <s v="PLAN DE PAGO"/>
    <s v="PHOENIX"/>
    <m/>
    <s v="CASTIGO"/>
    <n v="56953547488"/>
    <m/>
    <m/>
    <s v="PAULETIGNACIA26@gmail.com"/>
    <m/>
    <m/>
    <s v="PASAJE CAPELLAN PABLO VALLIER 2880"/>
    <s v="LA SERENA"/>
    <s v="IV REGION"/>
    <s v="C-19064-2024"/>
    <s v="25º JUZGADO CIVIL DE SANTIAGO"/>
    <s v="INGRESADO"/>
    <s v="SUSPENDIDO"/>
    <m/>
    <m/>
    <m/>
    <m/>
    <s v="NO"/>
    <s v="SUSPENDIDO"/>
    <s v="GFCS66"/>
    <s v="HYUNDAI"/>
    <s v="PORTER HR CRDI 2.5"/>
    <n v="2014"/>
  </r>
  <r>
    <n v="2056023"/>
    <n v="0"/>
    <m/>
    <n v="13470661"/>
    <m/>
    <s v="PHOENIX"/>
    <s v="JUDICIAL"/>
    <x v="1"/>
    <s v="0-365"/>
    <x v="0"/>
    <s v="COBRANZA"/>
    <x v="1"/>
    <s v="E"/>
    <n v="76823538"/>
    <n v="4"/>
    <s v="COMERCIALIZADORA CORRALES DEL CAMPO CL  SPA"/>
    <m/>
    <n v="817.31200000000001"/>
    <d v="2026-04-05T00:00:00"/>
    <m/>
    <m/>
    <m/>
    <s v="Dealer"/>
    <m/>
    <n v="0"/>
    <n v="0"/>
    <m/>
    <m/>
    <n v="13470661"/>
    <m/>
    <m/>
    <m/>
    <m/>
    <s v="CASTIGO"/>
    <n v="989904022"/>
    <m/>
    <m/>
    <s v="fecrnegociocl@gmail.com"/>
    <m/>
    <m/>
    <s v="Hijuela Primera Venecia Lote 9 Depto. 20"/>
    <s v="MAULE"/>
    <s v="VII REGION"/>
    <s v="C-22135-2024"/>
    <s v="10º Juzgado Civil de Santiago"/>
    <s v="EMBARGADO"/>
    <s v="MANTIENE"/>
    <m/>
    <m/>
    <m/>
    <m/>
    <s v="SI"/>
    <s v="ACTIVO"/>
    <s v="SCXD60"/>
    <s v="FIAT"/>
    <s v="DUCATO MULTIJET CARGO 2.3"/>
    <n v="2022"/>
  </r>
  <r>
    <n v="2068217"/>
    <n v="64"/>
    <m/>
    <n v="10163324"/>
    <m/>
    <s v="PHOENIX"/>
    <s v="JUDICIAL"/>
    <x v="1"/>
    <s v="0-365"/>
    <x v="0"/>
    <s v="COBRANZA"/>
    <x v="0"/>
    <s v="E"/>
    <n v="10337919"/>
    <n v="9"/>
    <s v="PEDRO JOSE URQUIZA NAVARRO"/>
    <m/>
    <n v="544.23699999999997"/>
    <d v="2026-01-02T00:00:00"/>
    <m/>
    <m/>
    <m/>
    <s v="TANNER"/>
    <s v="DACIÓN"/>
    <n v="0"/>
    <n v="0"/>
    <m/>
    <m/>
    <n v="10163324"/>
    <m/>
    <m/>
    <m/>
    <m/>
    <s v="CASTIGO"/>
    <n v="9766007470"/>
    <m/>
    <m/>
    <s v="crecerpurquiza@gmail.com"/>
    <m/>
    <m/>
    <s v="LOS CRISANTEMOS 8136"/>
    <s v="SAN RAMON"/>
    <s v="REGION METROPOLITANA"/>
    <s v="C-8323-2025"/>
    <s v="21º JUZGADO CIVIL DE SANTIAGO"/>
    <s v="EMBARGADO"/>
    <s v="MANTIENE"/>
    <m/>
    <m/>
    <m/>
    <m/>
    <s v="SI"/>
    <s v="ACTIVO"/>
    <s v="SDFL43"/>
    <s v="CHANGAN"/>
    <s v="HUNTER 1.9"/>
    <n v="2022"/>
  </r>
  <r>
    <n v="2112138"/>
    <n v="279"/>
    <m/>
    <n v="7782305"/>
    <m/>
    <s v="PHOENIX"/>
    <s v="JUDICIAL"/>
    <x v="1"/>
    <s v="0-365"/>
    <x v="0"/>
    <s v="COBRANZA"/>
    <x v="0"/>
    <m/>
    <n v="17278930"/>
    <n v="7"/>
    <s v="RODOLFO ANTONIO ARANEDA REYES"/>
    <m/>
    <n v="233.518"/>
    <d v="2025-01-07T00:00:00"/>
    <m/>
    <m/>
    <m/>
    <s v="TANNER"/>
    <s v="DACIÓN"/>
    <n v="0"/>
    <n v="0"/>
    <m/>
    <m/>
    <n v="7782305"/>
    <m/>
    <m/>
    <m/>
    <m/>
    <s v="CASTIGO"/>
    <n v="94908673"/>
    <n v="927651889"/>
    <m/>
    <s v="rodolfoar360@gmail.com"/>
    <s v="rodolfoar360@gmail.com"/>
    <m/>
    <s v="AVENIDA EL PARRON 0444"/>
    <s v="LA CISTERNA"/>
    <s v="REGION METROPOLITANA"/>
    <s v="C-20329-2024"/>
    <s v="7º Juzgado Civil de Santiago"/>
    <s v="INGRESADO"/>
    <s v="MANTIENE"/>
    <m/>
    <m/>
    <m/>
    <m/>
    <s v="NO"/>
    <s v="ACTIVO"/>
    <s v="SDWR61"/>
    <s v="JAC"/>
    <s v="JS2 HB 1.5"/>
    <n v="2022"/>
  </r>
  <r>
    <n v="2124083"/>
    <n v="340"/>
    <m/>
    <n v="11608660"/>
    <m/>
    <s v="PHOENIX"/>
    <s v="JUDICIAL"/>
    <x v="1"/>
    <s v="0-365"/>
    <x v="0"/>
    <s v="COBRANZA"/>
    <x v="0"/>
    <m/>
    <n v="19578014"/>
    <n v="5"/>
    <s v="JAVIER IGNACIO CHAPARRO GODOY"/>
    <m/>
    <n v="389.75400000000002"/>
    <d v="2025-01-05T00:00:00"/>
    <m/>
    <m/>
    <m/>
    <s v="TANNER"/>
    <m/>
    <n v="0"/>
    <n v="0"/>
    <m/>
    <m/>
    <n v="11608660"/>
    <m/>
    <m/>
    <m/>
    <m/>
    <s v="CASTIGO"/>
    <m/>
    <m/>
    <m/>
    <m/>
    <m/>
    <m/>
    <m/>
    <m/>
    <s v="REGION METROPOLITANA"/>
    <s v="C-19075-2024"/>
    <s v="27º Juzgado Civil de Santiago"/>
    <s v="NOTIFICADO"/>
    <s v="MANTIENE"/>
    <m/>
    <m/>
    <m/>
    <m/>
    <s v="SI"/>
    <s v="ACTIVO"/>
    <s v="SDRJ49"/>
    <s v="JAC"/>
    <s v="JS4 HB 1.6"/>
    <n v="2022"/>
  </r>
  <r>
    <n v="2126564"/>
    <n v="217"/>
    <m/>
    <n v="9343344"/>
    <m/>
    <s v="PHOENIX"/>
    <s v="JUDICIAL"/>
    <x v="1"/>
    <s v="0-365"/>
    <x v="0"/>
    <s v="COBRANZA"/>
    <x v="0"/>
    <m/>
    <n v="13489611"/>
    <n v="6"/>
    <s v="ELIZABETH DEL CARMEN ARENAS ORELLANA"/>
    <m/>
    <n v="402.29899999999998"/>
    <d v="2025-01-09T00:00:00"/>
    <m/>
    <m/>
    <m/>
    <s v="TANNER"/>
    <s v="DACIÓN"/>
    <n v="0"/>
    <n v="0"/>
    <m/>
    <m/>
    <n v="9343344"/>
    <m/>
    <m/>
    <m/>
    <m/>
    <s v="CASTIGO"/>
    <n v="962442886"/>
    <m/>
    <m/>
    <s v="Elyarenas2709@gmail.com"/>
    <m/>
    <m/>
    <s v="ALMIRANTE LATORRE 0367"/>
    <s v="PUENTE ALTO"/>
    <s v="REGION METROPOLITANA"/>
    <s v="C-683-2025"/>
    <s v="10º Juzgado Civil de Santiago"/>
    <s v="EMBARGADO"/>
    <s v="MANTIENE"/>
    <m/>
    <m/>
    <m/>
    <m/>
    <s v="SI"/>
    <s v="ACTIVO"/>
    <s v="KXTC55"/>
    <s v="NISSAN"/>
    <s v="NP300 DCAB 2.3"/>
    <n v="2019"/>
  </r>
  <r>
    <n v="2134165"/>
    <n v="64"/>
    <m/>
    <n v="3828549"/>
    <m/>
    <s v="PHOENIX"/>
    <s v="JUDICIAL"/>
    <x v="1"/>
    <s v="0-365"/>
    <x v="0"/>
    <s v="COBRANZA"/>
    <x v="0"/>
    <s v="E"/>
    <n v="12178968"/>
    <s v="K"/>
    <s v="CÉSAR ANDRÉS MUÑOZ HERRERA"/>
    <m/>
    <n v="198.875"/>
    <d v="2026-01-02T00:00:00"/>
    <m/>
    <m/>
    <m/>
    <s v="TANNER"/>
    <s v="DACIÓN"/>
    <n v="0"/>
    <n v="0"/>
    <m/>
    <m/>
    <n v="3828549"/>
    <m/>
    <m/>
    <m/>
    <m/>
    <s v="CASTIGO"/>
    <n v="989059720"/>
    <n v="934381682"/>
    <m/>
    <s v="Transporte.cmunoz@gmail.com"/>
    <s v="-"/>
    <m/>
    <s v="PASAJE ANTUCO 2550"/>
    <s v="MELIPILLA"/>
    <s v="REGION METROPOLITANA"/>
    <s v="C-8314-2025"/>
    <s v="2º Juzgado Civil de Santiago"/>
    <s v="EMBARGADO"/>
    <s v="MANTIENE"/>
    <m/>
    <m/>
    <m/>
    <m/>
    <s v="SI"/>
    <s v="ACTIVO"/>
    <s v="RPWP65"/>
    <s v="JAC"/>
    <s v="T8 CE 2.0"/>
    <n v="2022"/>
  </r>
  <r>
    <n v="2143882"/>
    <n v="217"/>
    <m/>
    <n v="6093246"/>
    <m/>
    <s v="PHOENIX"/>
    <s v="JUDICIAL"/>
    <x v="1"/>
    <s v="0-365"/>
    <x v="0"/>
    <s v="COBRANZA"/>
    <x v="0"/>
    <m/>
    <n v="11793560"/>
    <n v="4"/>
    <s v="LORENA MARISOL ECHAURREN PEÑA"/>
    <m/>
    <n v="254.54"/>
    <d v="2025-01-09T00:00:00"/>
    <m/>
    <m/>
    <m/>
    <s v="TANNER"/>
    <s v="DACIÓN"/>
    <n v="0"/>
    <n v="0"/>
    <m/>
    <m/>
    <n v="6093246"/>
    <m/>
    <m/>
    <m/>
    <m/>
    <s v="CASTIGO"/>
    <n v="977050378"/>
    <m/>
    <m/>
    <s v="lorenaechaurren2@gmail.com"/>
    <m/>
    <m/>
    <s v="María Rosa 55 Depto 2610"/>
    <s v="ESTACION CENTRAL"/>
    <s v="REGION METROPOLITANA"/>
    <s v="C-683-2025"/>
    <s v="11º Juzgado Civil de Santiago"/>
    <s v="INGRESADO"/>
    <s v="MANTIENE"/>
    <m/>
    <m/>
    <m/>
    <m/>
    <s v="NO"/>
    <s v="ACTIVO"/>
    <s v="KCWS56"/>
    <s v="RENAULT"/>
    <s v="SYMBOL 1.6"/>
    <n v="2018"/>
  </r>
  <r>
    <n v="2148996"/>
    <n v="309"/>
    <m/>
    <n v="8862930"/>
    <m/>
    <s v="PHOENIX"/>
    <s v="JUDICIAL"/>
    <x v="1"/>
    <s v="0-365"/>
    <x v="0"/>
    <s v="COBRANZA"/>
    <x v="0"/>
    <m/>
    <n v="17781952"/>
    <n v="2"/>
    <s v="FELIPE FRANCISCO VALDIVIA MEDINA"/>
    <m/>
    <n v="274.57400000000001"/>
    <d v="2025-01-06T00:00:00"/>
    <m/>
    <m/>
    <m/>
    <s v="TANNER"/>
    <s v="DACIÓN"/>
    <n v="0"/>
    <n v="0"/>
    <m/>
    <m/>
    <n v="8862930"/>
    <m/>
    <m/>
    <m/>
    <m/>
    <s v="CASTIGO"/>
    <n v="933839578"/>
    <m/>
    <m/>
    <s v="f.valdivia.medina@gmail.com"/>
    <m/>
    <m/>
    <s v="DOS NORTE 1724"/>
    <s v="CONCHALI"/>
    <s v="REGION METROPOLITANA"/>
    <s v="C-20389-2024"/>
    <s v="2º Juzgado Civil de Santiago"/>
    <s v="EMBARGADO"/>
    <s v="MANTIENE"/>
    <m/>
    <m/>
    <m/>
    <m/>
    <s v="SI"/>
    <s v="ACTIVO"/>
    <s v="PCSG29"/>
    <s v="NISSAN"/>
    <s v="VERSA SEDAN 1.6"/>
    <n v="2020"/>
  </r>
  <r>
    <n v="2170991"/>
    <n v="370"/>
    <m/>
    <n v="10100380"/>
    <m/>
    <s v="PHOENIX"/>
    <s v="JUDICIAL"/>
    <x v="2"/>
    <s v="366-730"/>
    <x v="0"/>
    <s v="COBRANZA"/>
    <x v="0"/>
    <m/>
    <n v="15743059"/>
    <n v="9"/>
    <s v="DANIELA ANDREA ARIAS VALDIVIA"/>
    <m/>
    <n v="287.88400000000001"/>
    <d v="2025-01-04T00:00:00"/>
    <m/>
    <m/>
    <m/>
    <s v="TANNER"/>
    <m/>
    <n v="0"/>
    <n v="0"/>
    <m/>
    <m/>
    <n v="7300380"/>
    <m/>
    <m/>
    <m/>
    <m/>
    <s v="CASTIGO"/>
    <n v="9455054110"/>
    <m/>
    <m/>
    <s v="daniela.arias.valdivia@gmail.com"/>
    <m/>
    <m/>
    <s v="PASAJE GETAFE 691"/>
    <s v="QUILLOTA"/>
    <s v="V REGION"/>
    <s v="C-20386-2024"/>
    <s v="21º JUZGADO CIVIL DE SANTIAGO"/>
    <s v="GIRO CHEQUE"/>
    <s v="MANTIENE"/>
    <m/>
    <m/>
    <m/>
    <m/>
    <s v="SI"/>
    <s v="ACTIVO"/>
    <s v="SGRW73"/>
    <s v="BAIC"/>
    <s v="X35 MPI 1.5"/>
    <n v="2023"/>
  </r>
  <r>
    <n v="2171993"/>
    <n v="126"/>
    <m/>
    <n v="8498727"/>
    <m/>
    <s v="PHOENIX"/>
    <s v="JUDICIAL"/>
    <x v="1"/>
    <s v="0-365"/>
    <x v="0"/>
    <s v="COBRANZA"/>
    <x v="0"/>
    <m/>
    <n v="18106130"/>
    <n v="8"/>
    <s v="CAIN ANDRÉS RODRÍGUEZ VILLA"/>
    <m/>
    <n v="286.52600000000001"/>
    <d v="2025-01-12T00:00:00"/>
    <m/>
    <m/>
    <m/>
    <s v="TANNER"/>
    <s v="DACIÓN"/>
    <n v="0"/>
    <n v="0"/>
    <m/>
    <m/>
    <n v="8498727"/>
    <m/>
    <m/>
    <m/>
    <m/>
    <s v="CASTIGO"/>
    <n v="920180512"/>
    <m/>
    <m/>
    <s v="kainandres95@gmail.com"/>
    <m/>
    <m/>
    <s v="LAGUNA REDONDA 2 PASAJE. 4 CASA 675"/>
    <s v="CONCEPCION"/>
    <s v="VIII REGION"/>
    <s v="C-5502-2025"/>
    <s v="15º Juzgado Civil de Santiago"/>
    <s v="INGRESADO"/>
    <s v="MANTIENE"/>
    <m/>
    <m/>
    <m/>
    <m/>
    <s v="NO"/>
    <s v="ACTIVO"/>
    <s v="SGLG63"/>
    <s v="MG"/>
    <s v="3 HATCH BACK 1.5"/>
    <n v="2023"/>
  </r>
  <r>
    <n v="2177404"/>
    <n v="0"/>
    <m/>
    <n v="5903050"/>
    <m/>
    <s v="PHOENIX"/>
    <s v="JUDICIAL"/>
    <x v="1"/>
    <s v="0-365"/>
    <x v="0"/>
    <s v="COBRANZA"/>
    <x v="1"/>
    <s v="E"/>
    <n v="26346582"/>
    <n v="2"/>
    <s v="JOSE GREGORIO NAVA VILLALOBOS"/>
    <m/>
    <n v="254.066"/>
    <d v="2026-04-05T00:00:00"/>
    <m/>
    <m/>
    <m/>
    <s v="AMICAR"/>
    <m/>
    <n v="0"/>
    <n v="0"/>
    <m/>
    <m/>
    <n v="5903050"/>
    <m/>
    <m/>
    <m/>
    <m/>
    <s v="CASTIGO"/>
    <n v="998336891"/>
    <n v="998336891"/>
    <m/>
    <s v="josenava.gaby@gmail.com"/>
    <m/>
    <m/>
    <s v="TRONCAL SAN FRANCISCO 2242"/>
    <s v="PUENTE ALTO"/>
    <s v="REGION METROPOLITANA"/>
    <s v="20º Juzgado Civil de Santiago"/>
    <s v="C-16648-2024"/>
    <s v="INGRESADO"/>
    <s v="MANTIENE"/>
    <m/>
    <m/>
    <m/>
    <m/>
    <s v="NO"/>
    <s v="ACTIVO"/>
    <s v="SGFT11"/>
    <s v="SUZUKI"/>
    <s v="SPRESSO GLX HB 1.0"/>
    <n v="2023"/>
  </r>
  <r>
    <n v="2184893"/>
    <n v="401"/>
    <m/>
    <n v="8824246"/>
    <m/>
    <s v="PHOENIX"/>
    <s v="JUDICIAL"/>
    <x v="2"/>
    <s v="366-730"/>
    <x v="0"/>
    <s v="COBRANZA"/>
    <x v="0"/>
    <m/>
    <n v="15396541"/>
    <n v="2"/>
    <s v="LUIS DAVID CORTES RAMIREZ"/>
    <m/>
    <n v="306.81700000000001"/>
    <d v="2025-01-03T00:00:00"/>
    <m/>
    <m/>
    <m/>
    <s v="TANNER"/>
    <s v="DACIÓN"/>
    <n v="0"/>
    <n v="0"/>
    <m/>
    <m/>
    <n v="8824246"/>
    <m/>
    <m/>
    <m/>
    <m/>
    <s v="CASTIGO"/>
    <n v="939141645"/>
    <m/>
    <m/>
    <s v="luis7cortes7@gmail.com"/>
    <m/>
    <m/>
    <s v="LOS OLIVOS 10622 DEPTO 201"/>
    <s v="EL BOSQUE"/>
    <s v="REGION METROPOLITANA"/>
    <s v="5º Juzgado Civil de Santiago"/>
    <s v="C-15704-2024"/>
    <s v="EMBARGADO"/>
    <s v="MANTIENE"/>
    <m/>
    <m/>
    <m/>
    <m/>
    <s v="SI"/>
    <s v="ACTIVO"/>
    <s v="SHBP19"/>
    <s v="JAC"/>
    <s v="JS3 HB 1.6"/>
    <n v="2023"/>
  </r>
  <r>
    <n v="2200934"/>
    <n v="279"/>
    <m/>
    <n v="10210739"/>
    <m/>
    <s v="PHOENIX"/>
    <s v="JUDICIAL"/>
    <x v="1"/>
    <s v="0-365"/>
    <x v="0"/>
    <s v="COBRANZA"/>
    <x v="0"/>
    <m/>
    <n v="6738345"/>
    <n v="1"/>
    <s v="ALBERTO ALEJANDRO BESNIER ABARZÚA"/>
    <m/>
    <n v="407.14100000000002"/>
    <d v="2025-01-07T00:00:00"/>
    <m/>
    <m/>
    <m/>
    <s v="TANNER"/>
    <s v="DACIÓN"/>
    <n v="0"/>
    <n v="0"/>
    <m/>
    <m/>
    <n v="10210739"/>
    <m/>
    <m/>
    <m/>
    <m/>
    <s v="CASTIGO"/>
    <n v="941232612"/>
    <m/>
    <m/>
    <s v="loventa09@gmail.com"/>
    <m/>
    <m/>
    <s v="LOS LLEUQUES 030"/>
    <s v="TALCA"/>
    <s v="VII REGION"/>
    <s v="C-19079-2024"/>
    <s v="26º Juzgado Civil de Santiago"/>
    <s v="EMBARGADO"/>
    <s v="MANTIENE"/>
    <m/>
    <m/>
    <m/>
    <m/>
    <s v="SI"/>
    <s v="ACTIVO"/>
    <s v="HRVZ18"/>
    <s v="MITSUBISHI"/>
    <s v="L200 KATANA CRM 2.5"/>
    <n v="2016"/>
  </r>
  <r>
    <n v="2206128"/>
    <n v="1"/>
    <m/>
    <n v="8830213"/>
    <m/>
    <s v="PHOENIX"/>
    <s v="JUDICIAL"/>
    <x v="1"/>
    <s v="0-365"/>
    <x v="0"/>
    <s v="COBRANZA"/>
    <x v="0"/>
    <s v="E"/>
    <n v="16075823"/>
    <n v="6"/>
    <s v="ALEJANDRO ESTEBAN BEYTÍA OJEDA"/>
    <m/>
    <n v="342.75900000000001"/>
    <d v="2026-01-03T00:00:00"/>
    <m/>
    <m/>
    <m/>
    <s v="TANNER"/>
    <m/>
    <n v="0"/>
    <n v="0"/>
    <m/>
    <m/>
    <n v="8830213"/>
    <m/>
    <m/>
    <m/>
    <m/>
    <s v="CASTIGO"/>
    <n v="966812870"/>
    <m/>
    <m/>
    <s v="BEYTIAALEJANDRO568@GMAIL.COM"/>
    <m/>
    <m/>
    <s v="MAR EGO"/>
    <s v="EL BOSQUE"/>
    <s v="REGION METROPOLITANA"/>
    <s v="C-9896-2025"/>
    <s v="29º Juzgado Civil de Santiago"/>
    <s v="EMBARGADO"/>
    <s v="MANTIENE"/>
    <m/>
    <m/>
    <m/>
    <m/>
    <s v="SI"/>
    <s v="ACTIVO"/>
    <m/>
    <s v="JETOUR"/>
    <s v="X 70"/>
    <n v="2023"/>
  </r>
  <r>
    <n v="2208275"/>
    <n v="126"/>
    <m/>
    <n v="9516314"/>
    <m/>
    <s v="PHOENIX"/>
    <s v="JUDICIAL"/>
    <x v="1"/>
    <s v="0-365"/>
    <x v="0"/>
    <s v="COBRANZA"/>
    <x v="0"/>
    <m/>
    <n v="18180465"/>
    <n v="3"/>
    <s v="PAMELA  IBETH BARRA FIGUEROA"/>
    <m/>
    <n v="291.745"/>
    <d v="2025-01-12T00:00:00"/>
    <m/>
    <m/>
    <m/>
    <s v="TANNER"/>
    <s v="DACIÓN"/>
    <n v="0"/>
    <n v="0"/>
    <m/>
    <m/>
    <n v="9516314"/>
    <m/>
    <m/>
    <m/>
    <m/>
    <s v="CASTIGO"/>
    <n v="9789222730"/>
    <m/>
    <m/>
    <s v="pamela.92.barra@gmail.com"/>
    <m/>
    <m/>
    <s v="CAMINO INTERNACIONAL 227"/>
    <s v="TEMUCO"/>
    <s v="IX REGION"/>
    <s v="C-3921-2025"/>
    <s v="30º Juzgado Civil de Santiago"/>
    <s v="INGRESADO"/>
    <s v="MANTIENE"/>
    <m/>
    <m/>
    <m/>
    <m/>
    <s v="NO"/>
    <s v="ACTIVO"/>
    <s v="SGFY37"/>
    <s v="CHANGAN"/>
    <s v="ALSVIN ELITE AT"/>
    <n v="2023"/>
  </r>
  <r>
    <n v="2213431"/>
    <n v="64"/>
    <m/>
    <n v="2055650"/>
    <m/>
    <s v="PHOENIX"/>
    <s v="JUDICIAL"/>
    <x v="1"/>
    <s v="0-365"/>
    <x v="0"/>
    <s v="COBRANZA"/>
    <x v="0"/>
    <s v="E"/>
    <n v="8956095"/>
    <n v="0"/>
    <s v="HUGO FELIPE VARGAS CIGNA"/>
    <m/>
    <n v="205.565"/>
    <d v="2026-01-02T00:00:00"/>
    <m/>
    <m/>
    <m/>
    <s v="TANNER"/>
    <s v="DACIÓN"/>
    <n v="0"/>
    <n v="0"/>
    <m/>
    <m/>
    <n v="2055650"/>
    <m/>
    <m/>
    <m/>
    <m/>
    <s v="CASTIGO"/>
    <n v="91732330"/>
    <m/>
    <m/>
    <s v="HUGOVARGASCIGNA@GMAIL.COM"/>
    <m/>
    <m/>
    <s v="VENTURA BLANCO VIEL"/>
    <s v="SAN MIGUEL"/>
    <s v="REGION METROPOLITANA"/>
    <s v="C-678-2025"/>
    <s v="28º Juzgado Civil de Santiago"/>
    <s v="EMBARGADO"/>
    <s v="MANTIENE"/>
    <m/>
    <m/>
    <m/>
    <m/>
    <s v="SI"/>
    <s v="ACTIVO"/>
    <s v="LSZF88"/>
    <s v="NISSAN"/>
    <s v="X TRAIL CVT 2.5 AT"/>
    <n v="2020"/>
  </r>
  <r>
    <n v="2221834"/>
    <n v="309"/>
    <m/>
    <n v="3892558"/>
    <m/>
    <s v="PHOENIX"/>
    <s v="JUDICIAL"/>
    <x v="1"/>
    <s v="0-365"/>
    <x v="0"/>
    <s v="COBRANZA"/>
    <x v="0"/>
    <m/>
    <n v="26793032"/>
    <n v="5"/>
    <s v="CARLOS ALBERTO GIANNOTTY MORENO"/>
    <m/>
    <n v="221.578"/>
    <d v="2025-01-06T00:00:00"/>
    <m/>
    <m/>
    <m/>
    <s v="TANNER"/>
    <m/>
    <n v="0"/>
    <n v="0"/>
    <m/>
    <m/>
    <n v="3642558"/>
    <m/>
    <s v="PLAN DE PAGO"/>
    <s v="PHOENIX"/>
    <m/>
    <s v="CASTIGO"/>
    <n v="959766639"/>
    <m/>
    <m/>
    <s v="Carlosagiannotti@gmail.com"/>
    <m/>
    <m/>
    <s v="NUEVA LOS LEONES 0253"/>
    <s v="PROVIDENCIA"/>
    <s v="REGION METROPOLITANA"/>
    <s v="24º Juzgado Civil de Santiago"/>
    <s v="C-15608-2024"/>
    <s v="INGRESADO"/>
    <s v="MANTIENE"/>
    <m/>
    <m/>
    <m/>
    <m/>
    <s v="NO"/>
    <s v="ACTIVO"/>
    <s v="WHP019"/>
    <s v="YAMAHA"/>
    <s v="MT-03A"/>
    <n v="2023"/>
  </r>
  <r>
    <n v="2239559"/>
    <n v="340"/>
    <m/>
    <n v="9232528"/>
    <m/>
    <s v="PHOENIX"/>
    <s v="JUDICIAL"/>
    <x v="1"/>
    <s v="0-365"/>
    <x v="0"/>
    <s v="COBRANZA"/>
    <x v="0"/>
    <m/>
    <n v="18041239"/>
    <n v="5"/>
    <s v="FABIOLA DEL CARMEN VARGAS GUTIERREZ"/>
    <m/>
    <n v="252.04599999999999"/>
    <d v="2025-01-05T00:00:00"/>
    <m/>
    <m/>
    <m/>
    <s v="TANNER"/>
    <m/>
    <n v="0"/>
    <n v="0"/>
    <m/>
    <m/>
    <n v="9232528"/>
    <m/>
    <m/>
    <m/>
    <m/>
    <s v="CASTIGO"/>
    <n v="9857862200"/>
    <m/>
    <m/>
    <s v="fabi.guti@gmail.com"/>
    <m/>
    <m/>
    <s v="RAMIRO AGUILERA MOLINA 445"/>
    <s v="RANCAGUA"/>
    <s v="VI REGION"/>
    <s v="16º Juzgado Civil de Santiago"/>
    <s v="C-16646-2024"/>
    <s v="EMBARGADO"/>
    <s v="MANTIENE"/>
    <m/>
    <m/>
    <m/>
    <m/>
    <s v="SI"/>
    <s v="ACTIVO"/>
    <s v="SHFL68"/>
    <s v="JAC"/>
    <s v="JS2 1.5"/>
    <n v="2023"/>
  </r>
  <r>
    <n v="2241494"/>
    <n v="248"/>
    <m/>
    <n v="10706135"/>
    <m/>
    <s v="PHOENIX"/>
    <s v="JUDICIAL"/>
    <x v="1"/>
    <s v="0-365"/>
    <x v="0"/>
    <s v="COBRANZA"/>
    <x v="0"/>
    <m/>
    <n v="15548788"/>
    <n v="7"/>
    <s v="JOAN ANDREA CARES BARRA"/>
    <m/>
    <n v="402.93900000000002"/>
    <d v="2025-01-08T00:00:00"/>
    <m/>
    <m/>
    <m/>
    <s v="TANNER"/>
    <s v="DACIÓN"/>
    <n v="0"/>
    <n v="0"/>
    <m/>
    <m/>
    <n v="10706135"/>
    <m/>
    <m/>
    <m/>
    <m/>
    <s v="CASTIGO"/>
    <n v="977326157"/>
    <m/>
    <m/>
    <s v="joancitacares@gmail.com"/>
    <m/>
    <m/>
    <s v="MANUEL TELLEZ OYARZUN 439"/>
    <s v="PUERTO MONTT"/>
    <s v="X REGION"/>
    <s v="C-22137-2024"/>
    <s v="3º Juzgado Civil de Santiago"/>
    <s v="NOTIFICADO"/>
    <s v="MANTIENE"/>
    <m/>
    <m/>
    <m/>
    <m/>
    <s v="SI"/>
    <s v="ACTIVO"/>
    <s v="SJVW75"/>
    <s v="SUZUKI"/>
    <s v="XL7 1.5"/>
    <n v="2023"/>
  </r>
  <r>
    <n v="2246738"/>
    <n v="95"/>
    <m/>
    <n v="7111666"/>
    <m/>
    <s v="PHOENIX"/>
    <s v="JUDICIAL"/>
    <x v="1"/>
    <s v="0-365"/>
    <x v="0"/>
    <s v="COBRANZA"/>
    <x v="0"/>
    <s v="E"/>
    <n v="8457326"/>
    <n v="4"/>
    <s v="ALICIA DEL ROSARIO TARIS MÉNDEZ"/>
    <m/>
    <n v="318.46499999999997"/>
    <d v="2026-01-01T00:00:00"/>
    <m/>
    <m/>
    <m/>
    <s v="TANNER"/>
    <s v="DACIÓN"/>
    <n v="0"/>
    <n v="0"/>
    <m/>
    <m/>
    <n v="7111666"/>
    <m/>
    <m/>
    <m/>
    <m/>
    <s v="CASTIGO"/>
    <n v="998503973"/>
    <m/>
    <m/>
    <s v="ALICIADELROSARIO.TARIS@GMAIL.COM"/>
    <s v="aliciataris7@gmail.com"/>
    <m/>
    <s v="ORTIZ DE ROZAS 539"/>
    <s v="RECOLETA"/>
    <s v="REGION METROPOLITANA"/>
    <s v="C-6664-2025"/>
    <s v="24º Juzgado Civil de Santiago"/>
    <s v="INGRESADO"/>
    <s v="MANTIENE"/>
    <m/>
    <m/>
    <m/>
    <m/>
    <s v="NO"/>
    <s v="ACTIVO"/>
    <s v="SKKP44"/>
    <s v="FOTON"/>
    <s v="TM3 MAS 1.5"/>
    <n v="2023"/>
  </r>
  <r>
    <n v="2253599"/>
    <n v="156"/>
    <m/>
    <n v="15121765"/>
    <m/>
    <s v="PHOENIX"/>
    <s v="JUDICIAL"/>
    <x v="1"/>
    <s v="0-365"/>
    <x v="0"/>
    <s v="COBRANZA"/>
    <x v="0"/>
    <m/>
    <n v="14390092"/>
    <n v="4"/>
    <s v="SAUL NOE VILLAGRA PUENTES"/>
    <m/>
    <n v="561.66"/>
    <d v="2025-01-11T00:00:00"/>
    <m/>
    <m/>
    <m/>
    <s v="TANNER"/>
    <m/>
    <n v="0"/>
    <n v="0"/>
    <m/>
    <m/>
    <n v="15121765"/>
    <m/>
    <m/>
    <m/>
    <m/>
    <s v="CASTIGO"/>
    <m/>
    <m/>
    <m/>
    <m/>
    <m/>
    <m/>
    <m/>
    <m/>
    <s v="REGION METROPOLITANA"/>
    <s v="C-4036-2025"/>
    <s v="23º Juzgado Civil de Santiago"/>
    <s v="NOTIFICADO"/>
    <s v="MANTIENE"/>
    <m/>
    <m/>
    <m/>
    <m/>
    <s v="SI"/>
    <s v="ACTIVO"/>
    <m/>
    <s v="MIGRADO"/>
    <s v="MIGRADO"/>
    <n v="0"/>
  </r>
  <r>
    <n v="2260525"/>
    <n v="248"/>
    <m/>
    <n v="11856692"/>
    <m/>
    <s v="PHOENIX"/>
    <s v="JUDICIAL"/>
    <x v="1"/>
    <s v="0-365"/>
    <x v="0"/>
    <s v="COBRANZA"/>
    <x v="0"/>
    <m/>
    <n v="13734460"/>
    <n v="2"/>
    <s v="ROXANA MARCELA ROSAS SEPÚLVEDA"/>
    <m/>
    <n v="706.40499999999997"/>
    <d v="2025-01-08T00:00:00"/>
    <m/>
    <m/>
    <m/>
    <s v="TANNER"/>
    <s v="DACIÓN"/>
    <n v="0"/>
    <n v="0"/>
    <m/>
    <m/>
    <n v="11856692"/>
    <m/>
    <m/>
    <m/>
    <m/>
    <s v="CASTIGO"/>
    <n v="964279394"/>
    <m/>
    <m/>
    <s v="Roxana.rosas@gmail.com"/>
    <m/>
    <m/>
    <s v="AVENIDA MIRAMAR 5324 DPTO 404"/>
    <s v="COQUIMBO"/>
    <s v="IV REGION"/>
    <s v="C-22145-2024"/>
    <s v="14º Juzgado Civil de Santiago"/>
    <s v="INGRESADO"/>
    <s v="MANTIENE"/>
    <m/>
    <m/>
    <m/>
    <m/>
    <s v="NO"/>
    <s v="ACTIVO"/>
    <s v="JJLC88"/>
    <s v="MERCEDES BENZ"/>
    <s v="GLE 350D COUPE SPORT"/>
    <n v="2017"/>
  </r>
  <r>
    <n v="2277292"/>
    <n v="217"/>
    <m/>
    <n v="12565144"/>
    <m/>
    <s v="PHOENIX"/>
    <s v="JUDICIAL"/>
    <x v="1"/>
    <s v="0-365"/>
    <x v="0"/>
    <s v="COBRANZA"/>
    <x v="0"/>
    <m/>
    <n v="15970085"/>
    <n v="2"/>
    <s v="DARIO JOSE FUENTES CANIO"/>
    <m/>
    <n v="431.94799999999998"/>
    <d v="2025-01-09T00:00:00"/>
    <m/>
    <m/>
    <m/>
    <s v="TANNER"/>
    <s v="DACIÓN"/>
    <n v="0"/>
    <n v="0"/>
    <m/>
    <m/>
    <n v="12565144"/>
    <m/>
    <m/>
    <m/>
    <m/>
    <s v="CASTIGO"/>
    <n v="987559265"/>
    <m/>
    <m/>
    <s v="dario_legalize@hotmail.com"/>
    <m/>
    <m/>
    <s v="PASAJE GENERAL EDUARDO BACHELET 2 263"/>
    <s v="RANCAGUA"/>
    <s v="VI REGION"/>
    <s v="C-686-2025"/>
    <s v="22º Juzgado Civil de Santiago"/>
    <s v="INGRESADO"/>
    <s v="MANTIENE"/>
    <m/>
    <m/>
    <m/>
    <m/>
    <s v="NO"/>
    <s v="ACTIVO"/>
    <s v="SHZC70"/>
    <s v="HAVAL"/>
    <s v="JOLION 1.5"/>
    <n v="2023"/>
  </r>
  <r>
    <n v="2291099"/>
    <n v="279"/>
    <m/>
    <n v="3834831"/>
    <m/>
    <s v="PHOENIX"/>
    <s v="JUDICIAL"/>
    <x v="1"/>
    <s v="0-365"/>
    <x v="0"/>
    <s v="COBRANZA"/>
    <x v="0"/>
    <m/>
    <n v="16159997"/>
    <n v="2"/>
    <s v="PAULA ELISA CÁRDENAS ALVARADO"/>
    <m/>
    <n v="208.126"/>
    <d v="2025-01-07T00:00:00"/>
    <m/>
    <m/>
    <m/>
    <s v="TANNER"/>
    <s v="DACIÓN"/>
    <n v="0"/>
    <n v="0"/>
    <m/>
    <m/>
    <n v="3834831"/>
    <m/>
    <m/>
    <m/>
    <m/>
    <s v="CASTIGO"/>
    <n v="948923995"/>
    <m/>
    <m/>
    <s v="Paulaelisa246@gmail.com"/>
    <m/>
    <m/>
    <s v="PASAJE LOS NARANJOS 954"/>
    <s v="VALDIVIA"/>
    <s v="XIV REGION"/>
    <s v="C-20346-2024"/>
    <s v="12º Juzgado Civil de Santiago"/>
    <s v="INGRESADO"/>
    <s v="MANTIENE"/>
    <m/>
    <m/>
    <m/>
    <m/>
    <s v="NO"/>
    <s v="ACTIVO"/>
    <s v="JHGT70"/>
    <s v="CHEVROLET"/>
    <s v="SPARK GT LT 1.2"/>
    <n v="2017"/>
  </r>
  <r>
    <n v="2297687"/>
    <n v="309"/>
    <m/>
    <n v="10777648"/>
    <m/>
    <s v="PHOENIX"/>
    <s v="JUDICIAL"/>
    <x v="1"/>
    <s v="0-365"/>
    <x v="0"/>
    <s v="COBRANZA"/>
    <x v="0"/>
    <m/>
    <n v="15929792"/>
    <n v="6"/>
    <s v="XAVIER ALEJANDRO LAVÍN VÁSQUEZ"/>
    <m/>
    <n v="375.94799999999998"/>
    <d v="2025-01-06T00:00:00"/>
    <m/>
    <m/>
    <m/>
    <s v="TANNER"/>
    <s v="DACIÓN"/>
    <n v="0"/>
    <n v="0"/>
    <m/>
    <m/>
    <n v="10777648"/>
    <m/>
    <m/>
    <m/>
    <m/>
    <s v="CASTIGO"/>
    <n v="966605547"/>
    <m/>
    <m/>
    <s v="xlavinvasquez@gmail.com"/>
    <m/>
    <m/>
    <s v="LOS TALLADORES 10407"/>
    <s v="LA FLORIDA"/>
    <s v="REGION METROPOLITANA"/>
    <s v="C-19071-2024"/>
    <s v="22º Juzgado Civil de Santiago"/>
    <s v="EMBARGADO"/>
    <s v="MANTIENE"/>
    <m/>
    <m/>
    <m/>
    <m/>
    <s v="SI"/>
    <s v="ACTIVO"/>
    <s v="KKWD17"/>
    <s v="BMW"/>
    <s v="118I 1.5 AUT"/>
    <n v="2018"/>
  </r>
  <r>
    <n v="2298622"/>
    <n v="126"/>
    <m/>
    <n v="16869176"/>
    <m/>
    <s v="PHOENIX"/>
    <s v="JUDICIAL"/>
    <x v="1"/>
    <s v="0-365"/>
    <x v="0"/>
    <s v="COBRANZA"/>
    <x v="0"/>
    <m/>
    <n v="14276136"/>
    <s v="K"/>
    <s v="LUIS ALBERTO AHUMADA ESCOBAR"/>
    <m/>
    <n v="478.84899999999999"/>
    <d v="2025-01-12T00:00:00"/>
    <m/>
    <m/>
    <m/>
    <s v="TANNER"/>
    <s v="DACIÓN"/>
    <n v="0"/>
    <n v="0"/>
    <m/>
    <m/>
    <n v="16869176"/>
    <m/>
    <m/>
    <m/>
    <m/>
    <s v="CASTIGO"/>
    <n v="958107362"/>
    <m/>
    <m/>
    <s v="lahumada01@hotmail.com"/>
    <m/>
    <m/>
    <s v="PRESBITERO GUSTAVO FELTEN 457"/>
    <s v="VILLA ALEMANA"/>
    <s v="V REGION"/>
    <s v="C-5504-2025"/>
    <s v="22º Juzgado Civil de Santiago"/>
    <s v="INGRESADO"/>
    <s v="MANTIENE"/>
    <m/>
    <m/>
    <m/>
    <m/>
    <s v="NO"/>
    <s v="ACTIVO"/>
    <s v="SKDW78"/>
    <s v="HAVAL"/>
    <s v="H6 ELITE 2.0 AUT"/>
    <n v="2023"/>
  </r>
  <r>
    <n v="2300266"/>
    <n v="156"/>
    <m/>
    <n v="6388538"/>
    <m/>
    <s v="PHOENIX"/>
    <s v="JUDICIAL"/>
    <x v="1"/>
    <s v="0-365"/>
    <x v="0"/>
    <s v="COBRANZA"/>
    <x v="0"/>
    <m/>
    <n v="17498345"/>
    <n v="3"/>
    <s v="MANUEL ARMANDO  YÁÑEZ YAÑEZ"/>
    <m/>
    <n v="259.28199999999998"/>
    <d v="2025-01-11T00:00:00"/>
    <m/>
    <m/>
    <m/>
    <s v="TANNER"/>
    <s v="DACIÓN"/>
    <n v="0"/>
    <n v="0"/>
    <m/>
    <m/>
    <n v="6388538"/>
    <m/>
    <m/>
    <m/>
    <m/>
    <s v="CASTIGO"/>
    <n v="969098534"/>
    <m/>
    <m/>
    <s v="manuelacuario1990@gmail.com"/>
    <m/>
    <m/>
    <s v="EL YODO 8170 DEPTO 126"/>
    <s v="ANTOFAGASTA"/>
    <s v="II REGION"/>
    <s v="C-2591-2025"/>
    <s v="15º Juzgado Civil de Santiago"/>
    <s v="EMBARGADO"/>
    <s v="MANTIENE"/>
    <m/>
    <m/>
    <m/>
    <m/>
    <s v="SI"/>
    <s v="ACTIVO"/>
    <s v="HSKF15"/>
    <s v="HYUNDAI"/>
    <s v="TUCSON 2.0"/>
    <n v="2016"/>
  </r>
  <r>
    <n v="2316103"/>
    <n v="309"/>
    <m/>
    <n v="8882006"/>
    <m/>
    <s v="PHOENIX"/>
    <s v="JUDICIAL"/>
    <x v="1"/>
    <s v="0-365"/>
    <x v="0"/>
    <s v="COBRANZA"/>
    <x v="0"/>
    <m/>
    <n v="76287256"/>
    <n v="0"/>
    <s v="COMERCIALIZADORA ALPES LIMITADA"/>
    <m/>
    <n v="234.34700000000001"/>
    <d v="2025-01-06T00:00:00"/>
    <m/>
    <m/>
    <m/>
    <s v="TANNER"/>
    <s v="DACIÓN"/>
    <n v="0"/>
    <n v="0"/>
    <m/>
    <m/>
    <n v="8882006"/>
    <m/>
    <s v="PUT EN CUOTAS"/>
    <s v="PHOENIX"/>
    <m/>
    <s v="CASTIGO"/>
    <n v="942283930"/>
    <m/>
    <m/>
    <s v="MPARADA@ALPESLTDA.CL"/>
    <m/>
    <m/>
    <s v="NIMES"/>
    <m/>
    <m/>
    <s v="C-19082-2024"/>
    <s v="18º Juzgado Civil de Santiago"/>
    <s v="EMBARGADO"/>
    <s v="MANTIENE"/>
    <m/>
    <m/>
    <m/>
    <m/>
    <s v="SI"/>
    <s v="ACTIVO"/>
    <s v="RFXS15"/>
    <s v="CITROEN"/>
    <s v="BERLINGO 2 HDI 1.6"/>
    <n v="2022"/>
  </r>
  <r>
    <n v="2335172"/>
    <n v="279"/>
    <m/>
    <n v="8268333"/>
    <m/>
    <s v="PHOENIX"/>
    <s v="JUDICIAL"/>
    <x v="1"/>
    <s v="0-365"/>
    <x v="0"/>
    <s v="COBRANZA"/>
    <x v="0"/>
    <m/>
    <n v="13463717"/>
    <s v="K"/>
    <s v="CRISTIAN JORGE VELIZ MILES"/>
    <m/>
    <n v="154.91900000000001"/>
    <d v="2025-01-07T00:00:00"/>
    <m/>
    <m/>
    <m/>
    <s v="TANNER"/>
    <m/>
    <n v="0"/>
    <n v="0"/>
    <m/>
    <m/>
    <n v="8268333"/>
    <m/>
    <m/>
    <m/>
    <m/>
    <s v="CASTIGO"/>
    <n v="95636771"/>
    <m/>
    <m/>
    <s v="CRISTIAVELIZMILES@ICLOUD.COM"/>
    <m/>
    <m/>
    <s v="CARLOS VARGAS AGUIRRE"/>
    <m/>
    <m/>
    <s v="C-19066-2024"/>
    <s v="25º JUZGADO CIVIL DE SANTIAGO"/>
    <s v="REMATADO"/>
    <s v="MANTIENE"/>
    <m/>
    <m/>
    <m/>
    <m/>
    <s v="SI"/>
    <s v="ACTIVO"/>
    <s v="RDZV64"/>
    <s v="SUZUKI"/>
    <s v="BALENO HB 1.4"/>
    <n v="2021"/>
  </r>
  <r>
    <n v="2359330"/>
    <n v="429"/>
    <m/>
    <n v="17079615"/>
    <m/>
    <s v="PHOENIX"/>
    <s v="JUDICIAL"/>
    <x v="2"/>
    <s v="366-730"/>
    <x v="0"/>
    <s v="COBRANZA"/>
    <x v="0"/>
    <m/>
    <n v="14387173"/>
    <n v="8"/>
    <s v="SOLEDAD DEL CARMEN ALFARO PINTO"/>
    <m/>
    <n v="457.24099999999999"/>
    <d v="2025-01-02T00:00:00"/>
    <m/>
    <m/>
    <m/>
    <s v="TANNER"/>
    <s v="DACIÓN"/>
    <n v="0"/>
    <n v="0"/>
    <m/>
    <m/>
    <n v="12315615"/>
    <m/>
    <s v="PLAN DE PAGO"/>
    <s v="PHOENIX"/>
    <m/>
    <s v="CASTIGO"/>
    <n v="971808740"/>
    <m/>
    <m/>
    <s v="soledadalfaro.pinto@gmail.com"/>
    <m/>
    <m/>
    <s v="OLEA 3869 CASA E"/>
    <s v="ISLA DE MAIPO"/>
    <s v="REGION METROPOLITANA"/>
    <s v="16º Juzgado Civil de Santiago"/>
    <s v="C-15702-2024"/>
    <s v="EMBARGADO"/>
    <s v="SUSPENDIDO"/>
    <m/>
    <m/>
    <m/>
    <m/>
    <s v="SI"/>
    <s v="SUSPENDIDO"/>
    <s v="SRFJ82"/>
    <s v="GEELY"/>
    <s v="AZKARRA 1.5TD 6AT GL 2WD EXCLUSIVE"/>
    <n v="2023"/>
  </r>
  <r>
    <n v="2361546"/>
    <n v="187"/>
    <m/>
    <n v="5966279"/>
    <m/>
    <s v="PHOENIX"/>
    <s v="JUDICIAL"/>
    <x v="1"/>
    <s v="0-365"/>
    <x v="0"/>
    <s v="COBRANZA"/>
    <x v="0"/>
    <m/>
    <n v="18845546"/>
    <n v="8"/>
    <s v="PAULETTE CRISTINA PEÑA JARA"/>
    <m/>
    <n v="234.494"/>
    <d v="2025-01-10T00:00:00"/>
    <m/>
    <m/>
    <m/>
    <s v="TANNER"/>
    <s v="DACIÓN"/>
    <n v="0"/>
    <n v="0"/>
    <m/>
    <m/>
    <n v="4966279"/>
    <m/>
    <s v="PLAN DE PAGO"/>
    <s v="PHOENIX"/>
    <m/>
    <s v="CASTIGO"/>
    <n v="981279138"/>
    <m/>
    <m/>
    <s v="ppena4372@gmail.com"/>
    <m/>
    <m/>
    <s v="Calle Salitrera Rica Aventura, El Palomar 542"/>
    <s v="COPIAPO"/>
    <s v="III REGION"/>
    <s v="C-22161-2024"/>
    <s v="7º Juzgado Civil de Santiago"/>
    <s v="EMBARGADO"/>
    <s v="MANTIENE"/>
    <m/>
    <m/>
    <m/>
    <m/>
    <s v="SI"/>
    <s v="ACTIVO"/>
    <s v="JDKT88"/>
    <s v="FORD"/>
    <s v="ECOSPORT TITANIUM 1.6"/>
    <n v="2017"/>
  </r>
  <r>
    <n v="2369302"/>
    <n v="1"/>
    <m/>
    <n v="5129690"/>
    <m/>
    <s v="PHOENIX"/>
    <s v="JUDICIAL"/>
    <x v="1"/>
    <s v="0-365"/>
    <x v="0"/>
    <s v="COBRANZA"/>
    <x v="0"/>
    <s v="E"/>
    <n v="23133644"/>
    <n v="3"/>
    <s v="YENY CRUCILDA GREGORIO MOLINA"/>
    <m/>
    <n v="225.78800000000001"/>
    <d v="2026-01-03T00:00:00"/>
    <m/>
    <m/>
    <m/>
    <s v="TANNER"/>
    <s v="DACIÓN"/>
    <n v="0"/>
    <n v="0"/>
    <m/>
    <m/>
    <n v="5129690"/>
    <m/>
    <m/>
    <m/>
    <m/>
    <s v="CASTIGO"/>
    <n v="973595974"/>
    <m/>
    <m/>
    <s v="delunacalleabigail@gmail.com"/>
    <m/>
    <m/>
    <s v="LIBERTAD #998 DEPTO 201"/>
    <s v="SANTIAGO"/>
    <s v="REGION METROPOLITANA"/>
    <s v="C-19068-2024"/>
    <s v="5º Juzgado Civil de Santiago"/>
    <s v="EMBARGADO"/>
    <s v="MANTIENE"/>
    <m/>
    <m/>
    <m/>
    <m/>
    <s v="SI"/>
    <s v="ACTIVO"/>
    <s v="SPYS96"/>
    <s v="KYC"/>
    <s v="T3 1.5"/>
    <n v="2023"/>
  </r>
  <r>
    <n v="2387636"/>
    <n v="126"/>
    <m/>
    <n v="6640921"/>
    <m/>
    <s v="PHOENIX"/>
    <s v="JUDICIAL"/>
    <x v="1"/>
    <s v="0-365"/>
    <x v="0"/>
    <s v="COBRANZA"/>
    <x v="0"/>
    <m/>
    <n v="77333385"/>
    <n v="8"/>
    <s v="GRUPO ONASSIS SPA"/>
    <m/>
    <n v="264.74299999999999"/>
    <d v="2025-01-12T00:00:00"/>
    <m/>
    <m/>
    <m/>
    <s v="TANNER"/>
    <s v="DACIÓN"/>
    <n v="0"/>
    <n v="0"/>
    <m/>
    <m/>
    <n v="6640921"/>
    <m/>
    <m/>
    <m/>
    <m/>
    <s v="CASTIGO"/>
    <n v="986919657"/>
    <m/>
    <m/>
    <s v="ingjoseromero.v2@gmail.com"/>
    <m/>
    <m/>
    <s v="Condel del Maule 4106 Depto 2005"/>
    <s v="ESTACION CENTRAL"/>
    <s v="REGION METROPOLITANA"/>
    <s v="C-5507-2025"/>
    <s v="5º Juzgado Civil de Santiago"/>
    <s v="EMBARGADO"/>
    <s v="MANTIENE"/>
    <m/>
    <m/>
    <m/>
    <m/>
    <s v="SI"/>
    <s v="ACTIVO"/>
    <s v="SRZZ50"/>
    <s v="FOTON"/>
    <s v="MIDI DOBLE CAB. 1.300 CC"/>
    <n v="2023"/>
  </r>
  <r>
    <n v="2388892"/>
    <n v="126"/>
    <m/>
    <n v="9061783"/>
    <m/>
    <s v="PHOENIX"/>
    <s v="JUDICIAL"/>
    <x v="1"/>
    <s v="0-365"/>
    <x v="0"/>
    <s v="COBRANZA"/>
    <x v="0"/>
    <m/>
    <n v="27044510"/>
    <n v="1"/>
    <s v="OSCAR ALFREDO SANABRIA SILVA"/>
    <m/>
    <n v="317.89100000000002"/>
    <d v="2025-01-12T00:00:00"/>
    <m/>
    <m/>
    <m/>
    <s v="TANNER"/>
    <s v="DACIÓN"/>
    <n v="0"/>
    <n v="0"/>
    <m/>
    <m/>
    <n v="9061783"/>
    <m/>
    <m/>
    <m/>
    <m/>
    <s v="CASTIGO"/>
    <n v="934225833"/>
    <m/>
    <m/>
    <s v="juanbarraza1023@gmail.com"/>
    <m/>
    <m/>
    <s v="RANCAGUA 2804"/>
    <s v="IQUIQUE"/>
    <s v="I REGION"/>
    <s v="C-5511-2025"/>
    <s v="9º Juzgado Civil de Santiago"/>
    <s v="INGRESADO"/>
    <s v="MANTIENE"/>
    <m/>
    <m/>
    <m/>
    <m/>
    <s v="NO"/>
    <s v="ACTIVO"/>
    <s v="SRYP74"/>
    <s v="SUZUKI"/>
    <s v="DZIRE SEDAN 1.2"/>
    <n v="2023"/>
  </r>
  <r>
    <n v="2396322"/>
    <n v="126"/>
    <m/>
    <n v="7589257"/>
    <m/>
    <s v="PHOENIX"/>
    <s v="JUDICIAL"/>
    <x v="1"/>
    <s v="0-365"/>
    <x v="0"/>
    <s v="COBRANZA"/>
    <x v="0"/>
    <m/>
    <n v="18878690"/>
    <n v="1"/>
    <s v="FERNANDA PATRICIA CID CISTERNA"/>
    <m/>
    <n v="217.17500000000001"/>
    <d v="2025-01-12T00:00:00"/>
    <m/>
    <m/>
    <m/>
    <s v="TANNER"/>
    <s v="DACIÓN"/>
    <n v="0"/>
    <n v="0"/>
    <m/>
    <m/>
    <n v="7589257"/>
    <m/>
    <m/>
    <m/>
    <m/>
    <s v="CASTIGO"/>
    <n v="977715853"/>
    <m/>
    <m/>
    <s v="fernandacidcisterna@gmail.com"/>
    <m/>
    <m/>
    <s v="POBLACION SVEN KRARUP EL LITRE 1310"/>
    <s v="HIJUELAS"/>
    <s v="V REGION"/>
    <s v="C-5513-2025"/>
    <s v="19º Juzgado Civil de Santiago"/>
    <s v="EMBARGADO"/>
    <s v="MANTIENE"/>
    <m/>
    <m/>
    <m/>
    <m/>
    <s v="SI"/>
    <s v="ACTIVO"/>
    <s v="SSWL69"/>
    <s v="RENAULT"/>
    <s v="KWID HB 1.0"/>
    <n v="2023"/>
  </r>
  <r>
    <n v="2398643"/>
    <n v="279"/>
    <m/>
    <n v="4285479"/>
    <m/>
    <s v="PHOENIX"/>
    <s v="JUDICIAL"/>
    <x v="1"/>
    <s v="0-365"/>
    <x v="0"/>
    <s v="COBRANZA"/>
    <x v="0"/>
    <m/>
    <n v="10307797"/>
    <n v="4"/>
    <s v="RODRIGO ANDERS CIFUENTES URQUIOLA"/>
    <m/>
    <n v="141.32900000000001"/>
    <d v="2025-01-07T00:00:00"/>
    <m/>
    <m/>
    <m/>
    <s v="TANNER"/>
    <m/>
    <n v="0"/>
    <n v="0"/>
    <m/>
    <m/>
    <n v="4285479"/>
    <m/>
    <m/>
    <m/>
    <m/>
    <s v="CASTIGO"/>
    <m/>
    <m/>
    <m/>
    <m/>
    <m/>
    <m/>
    <m/>
    <m/>
    <s v="REGION METROPOLITANA"/>
    <s v="C-20348-2024"/>
    <s v="30º Juzgado Civil de Santiago"/>
    <s v="EMBARGADO"/>
    <s v="MANTIENE"/>
    <m/>
    <m/>
    <m/>
    <m/>
    <s v="SI"/>
    <s v="ACTIVO"/>
    <m/>
    <s v="GEELY"/>
    <s v="EX7 2.0 4X2 GL"/>
    <n v="0"/>
  </r>
  <r>
    <n v="2410360"/>
    <n v="217"/>
    <m/>
    <n v="5047680"/>
    <m/>
    <s v="PHOENIX"/>
    <s v="JUDICIAL"/>
    <x v="1"/>
    <s v="0-365"/>
    <x v="0"/>
    <s v="COBRANZA"/>
    <x v="0"/>
    <m/>
    <n v="13291544"/>
    <s v="K"/>
    <s v="ANDREA DEL PILAR GONZÁLEZ URETA"/>
    <m/>
    <n v="274.774"/>
    <d v="2025-01-09T00:00:00"/>
    <m/>
    <m/>
    <m/>
    <s v="TANNER"/>
    <s v="DACIÓN"/>
    <n v="0"/>
    <n v="0"/>
    <m/>
    <m/>
    <n v="2960760"/>
    <m/>
    <s v="PLAN DE PAGO"/>
    <s v="PHOENIX"/>
    <m/>
    <s v="CASTIGO"/>
    <n v="948899401"/>
    <m/>
    <m/>
    <s v="agonzalez1977ureta@gmail.com"/>
    <m/>
    <m/>
    <s v="PIELAGO DEL SUR 1866"/>
    <s v="LA FLORIDA"/>
    <s v="REGION METROPOLITANA"/>
    <s v="C-685-2025"/>
    <s v="12º Juzgado Civil de Santiago"/>
    <s v="EMBARGADO"/>
    <s v="SUSPENDIDO"/>
    <m/>
    <m/>
    <m/>
    <m/>
    <s v="SI"/>
    <s v="SUSPENDIDO"/>
    <s v="SRSZ86"/>
    <s v="FOTON"/>
    <s v="MIDI DOBLE 1.3"/>
    <n v="2023"/>
  </r>
  <r>
    <n v="2413831"/>
    <n v="0"/>
    <m/>
    <n v="6428433"/>
    <m/>
    <s v="PHOENIX"/>
    <s v="JUDICIAL"/>
    <x v="1"/>
    <s v="0-365"/>
    <x v="0"/>
    <s v="COBRANZA"/>
    <x v="1"/>
    <s v="E"/>
    <n v="18942324"/>
    <n v="1"/>
    <s v="MABEL JEANNETTE VASQUEZ PINTO"/>
    <m/>
    <n v="245.23"/>
    <d v="2026-04-05T00:00:00"/>
    <m/>
    <m/>
    <m/>
    <s v="AMICAR"/>
    <m/>
    <n v="0"/>
    <n v="0"/>
    <m/>
    <m/>
    <n v="6428433"/>
    <m/>
    <m/>
    <m/>
    <m/>
    <s v="CASTIGO"/>
    <n v="937128880"/>
    <m/>
    <m/>
    <s v="mabee.vasquez@gmail.com"/>
    <m/>
    <m/>
    <s v="SECTOR PUENTE ALTO, PARCELA 9"/>
    <s v="MOLINA"/>
    <s v="VII REGION"/>
    <s v="C-11262-2025"/>
    <s v="22º Juzgado Civil de Santiago"/>
    <s v="INGRESADO"/>
    <s v="MANTIENE"/>
    <m/>
    <m/>
    <m/>
    <m/>
    <s v="NO"/>
    <s v="ACTIVO"/>
    <s v="SLPG81"/>
    <s v="CHANGAN"/>
    <s v="ALSVIN LUXURY MT"/>
    <n v="2023"/>
  </r>
  <r>
    <n v="2438681"/>
    <n v="0"/>
    <m/>
    <n v="10802486"/>
    <m/>
    <s v="PHOENIX"/>
    <s v="JUDICIAL"/>
    <x v="1"/>
    <s v="0-365"/>
    <x v="0"/>
    <s v="COBRANZA"/>
    <x v="1"/>
    <s v="E"/>
    <n v="15989026"/>
    <n v="0"/>
    <s v="JEANETTE ANGELICA SEGURA PALACIOS"/>
    <m/>
    <n v="346.63499999999999"/>
    <d v="2026-04-05T00:00:00"/>
    <m/>
    <m/>
    <m/>
    <s v="AMICAR"/>
    <m/>
    <n v="0"/>
    <n v="0"/>
    <m/>
    <m/>
    <n v="10802486"/>
    <m/>
    <m/>
    <m/>
    <m/>
    <s v="CASTIGO"/>
    <n v="967317680"/>
    <m/>
    <m/>
    <s v="jeanettesegura.p@gmail.com"/>
    <m/>
    <m/>
    <s v="TOMAS GUEVARA 510"/>
    <s v="PADRE LAS CASAS"/>
    <s v="IX REGION"/>
    <s v="C-22151-2024"/>
    <s v="26º Juzgado Civil de Santiago"/>
    <s v="INGRESADO"/>
    <s v="MANTIENE"/>
    <m/>
    <m/>
    <m/>
    <m/>
    <s v="NO"/>
    <s v="ACTIVO"/>
    <s v="SRWZ16"/>
    <s v="HAVAL"/>
    <s v="JOLION 1.5 AT 4X2 ELITE"/>
    <n v="2023"/>
  </r>
  <r>
    <n v="2439077"/>
    <n v="370"/>
    <m/>
    <n v="11721353"/>
    <m/>
    <s v="PHOENIX"/>
    <s v="JUDICIAL"/>
    <x v="2"/>
    <s v="366-730"/>
    <x v="0"/>
    <s v="COBRANZA"/>
    <x v="0"/>
    <m/>
    <n v="17260232"/>
    <n v="0"/>
    <s v="VERÓNICA ALEJANDRA ESPARZA SANDOVAL"/>
    <m/>
    <n v="332.50700000000001"/>
    <d v="2025-01-04T00:00:00"/>
    <m/>
    <m/>
    <m/>
    <s v="TANNER"/>
    <s v="DACIÓN"/>
    <n v="0"/>
    <n v="0"/>
    <m/>
    <m/>
    <n v="11721353"/>
    <m/>
    <m/>
    <m/>
    <m/>
    <s v="CASTIGO"/>
    <n v="988357860"/>
    <m/>
    <m/>
    <s v="verito.esparza@gmail.com"/>
    <m/>
    <m/>
    <s v="Margot Dualde 1107"/>
    <s v="RIO BUENO"/>
    <s v="XIV REGION"/>
    <s v="05º Juzgado Civil de Santiago"/>
    <s v="C-15840-2024"/>
    <s v="EMBARGADO"/>
    <s v="MANTIENE"/>
    <m/>
    <m/>
    <m/>
    <m/>
    <s v="SI"/>
    <s v="ACTIVO"/>
    <s v="STST93"/>
    <s v="JETOUR"/>
    <s v="X70 4X2 1.5"/>
    <n v="2023"/>
  </r>
  <r>
    <n v="2440458"/>
    <n v="0"/>
    <m/>
    <n v="4734937"/>
    <m/>
    <s v="PHOENIX"/>
    <s v="JUDICIAL"/>
    <x v="1"/>
    <s v="0-365"/>
    <x v="0"/>
    <s v="COBRANZA"/>
    <x v="1"/>
    <s v="E"/>
    <n v="27185126"/>
    <s v="K"/>
    <s v="Lisbet Natali Santana Mendez"/>
    <m/>
    <n v="221.327"/>
    <d v="2026-04-05T00:00:00"/>
    <m/>
    <m/>
    <m/>
    <s v="AMICAR"/>
    <m/>
    <n v="0"/>
    <n v="0"/>
    <m/>
    <m/>
    <n v="4734937"/>
    <m/>
    <m/>
    <m/>
    <m/>
    <s v="CASTIGO"/>
    <n v="961483578"/>
    <m/>
    <m/>
    <s v="lisbetsantana25@gmail.com"/>
    <m/>
    <m/>
    <s v="PUERTO SAAVEDRA 264"/>
    <s v="LA FLORIDA"/>
    <s v="REGION METROPOLITANA"/>
    <s v="C-11263-2025"/>
    <s v="22º Juzgado Civil de Santiago"/>
    <s v="INGRESADO"/>
    <s v="MANTIENE"/>
    <m/>
    <m/>
    <m/>
    <m/>
    <s v="NO"/>
    <s v="ACTIVO"/>
    <s v="SGHH80"/>
    <s v="SUZUKI"/>
    <s v="S PRESSO HB 1.0"/>
    <n v="2023"/>
  </r>
  <r>
    <n v="2474882"/>
    <n v="217"/>
    <m/>
    <n v="11141587"/>
    <m/>
    <s v="PHOENIX"/>
    <s v="JUDICIAL"/>
    <x v="1"/>
    <s v="0-365"/>
    <x v="0"/>
    <s v="COBRANZA"/>
    <x v="0"/>
    <m/>
    <n v="14300288"/>
    <n v="8"/>
    <s v="EDUARDO ESTEBAN REYES MONSALVES"/>
    <m/>
    <n v="301.93400000000003"/>
    <d v="2025-01-09T00:00:00"/>
    <m/>
    <m/>
    <m/>
    <s v="TANNER"/>
    <m/>
    <n v="0"/>
    <n v="0"/>
    <m/>
    <m/>
    <n v="11141587"/>
    <m/>
    <m/>
    <m/>
    <m/>
    <s v="CASTIGO"/>
    <n v="953366779"/>
    <m/>
    <m/>
    <s v="EREYE005@HOTMAIL.COM"/>
    <m/>
    <m/>
    <s v="BALMACEDA"/>
    <s v="DIEGO DE ALMAGRO"/>
    <s v="III REGION"/>
    <s v="C-19068-2024"/>
    <s v="22º Juzgado Civil de Santiago"/>
    <s v="NOTIFICADO"/>
    <s v="MANTIENE"/>
    <m/>
    <m/>
    <m/>
    <m/>
    <s v="SI"/>
    <s v="ACTIVO"/>
    <m/>
    <s v="DODGE"/>
    <s v="JOURNEY  SE 4X2"/>
    <n v="2020"/>
  </r>
  <r>
    <n v="2478704"/>
    <n v="64"/>
    <m/>
    <n v="7414851"/>
    <m/>
    <s v="PHOENIX"/>
    <s v="JUDICIAL"/>
    <x v="1"/>
    <s v="0-365"/>
    <x v="0"/>
    <s v="COBRANZA"/>
    <x v="0"/>
    <s v="E"/>
    <n v="6800892"/>
    <n v="1"/>
    <s v="EDMUNDO NARCISO PALMA POVEA"/>
    <m/>
    <n v="165.333"/>
    <d v="2026-01-02T00:00:00"/>
    <m/>
    <m/>
    <m/>
    <s v="TANNER"/>
    <m/>
    <n v="0"/>
    <n v="0"/>
    <m/>
    <m/>
    <n v="7414851"/>
    <m/>
    <m/>
    <m/>
    <m/>
    <s v="CASTIGO"/>
    <n v="941418106"/>
    <m/>
    <m/>
    <s v="VILLA.BRISQUERO.PALMA@GMAIL.COM"/>
    <m/>
    <m/>
    <s v="AV EL TREBOL"/>
    <s v="LO PRADO"/>
    <s v="REGION METROPOLITANA"/>
    <s v="C-2594-2025"/>
    <s v="9º Juzgado Civil de Santiago"/>
    <s v="INGRESADO"/>
    <s v="MANTIENE"/>
    <m/>
    <m/>
    <m/>
    <m/>
    <s v="NO"/>
    <s v="ACTIVO"/>
    <s v="HKBZ87"/>
    <s v="OPEL"/>
    <s v="CORSA HB5 1.4"/>
    <n v="2015"/>
  </r>
  <r>
    <n v="2487385"/>
    <n v="309"/>
    <m/>
    <n v="8900846"/>
    <m/>
    <s v="PHOENIX"/>
    <s v="JUDICIAL"/>
    <x v="1"/>
    <s v="0-365"/>
    <x v="0"/>
    <s v="COBRANZA"/>
    <x v="0"/>
    <m/>
    <n v="17450324"/>
    <n v="9"/>
    <s v="ISRAEL CAMILO ZAVALA RIFO"/>
    <m/>
    <n v="255.971"/>
    <d v="2025-01-06T00:00:00"/>
    <m/>
    <m/>
    <m/>
    <s v="TANNER"/>
    <s v="DACIÓN"/>
    <n v="0"/>
    <n v="0"/>
    <m/>
    <m/>
    <n v="8900846"/>
    <m/>
    <m/>
    <m/>
    <m/>
    <s v="CASTIGO"/>
    <n v="948910067"/>
    <m/>
    <m/>
    <s v="camilozavala89@gmail.com"/>
    <m/>
    <m/>
    <s v="GALBARINO 2118"/>
    <s v="LOS ANGELES"/>
    <s v="VIII REGION"/>
    <s v="C-19072-2024"/>
    <s v="2º Juzgado Civil de Santiago"/>
    <s v="EMBARGADO"/>
    <s v="MANTIENE"/>
    <m/>
    <m/>
    <m/>
    <m/>
    <s v="SI"/>
    <s v="ACTIVO"/>
    <s v="SRCR51"/>
    <s v="BAIC"/>
    <s v="X35 MPI 1.5"/>
    <n v="2023"/>
  </r>
  <r>
    <n v="2499421"/>
    <n v="279"/>
    <m/>
    <n v="19468657"/>
    <m/>
    <s v="PHOENIX"/>
    <s v="JUDICIAL"/>
    <x v="1"/>
    <s v="0-365"/>
    <x v="0"/>
    <s v="COBRANZA"/>
    <x v="0"/>
    <m/>
    <n v="17311881"/>
    <n v="3"/>
    <s v="ISAAC ALBERTO CAMPILLAY CHULAK"/>
    <m/>
    <n v="431.21800000000002"/>
    <d v="2025-01-07T00:00:00"/>
    <m/>
    <m/>
    <m/>
    <s v="TANNER"/>
    <m/>
    <n v="0"/>
    <n v="0"/>
    <m/>
    <m/>
    <n v="19468657"/>
    <m/>
    <m/>
    <m/>
    <m/>
    <s v="CASTIGO"/>
    <n v="933133090"/>
    <m/>
    <m/>
    <s v="ISAAC.CAMPILLAY@GMAIL.COM"/>
    <m/>
    <m/>
    <s v="CHACABUCO"/>
    <m/>
    <m/>
    <s v="C-20317-2024"/>
    <s v="27º Juzgado Civil de Santiago"/>
    <s v="INGRESADO"/>
    <s v="MANTIENE"/>
    <m/>
    <m/>
    <m/>
    <m/>
    <s v="NO"/>
    <s v="ACTIVO"/>
    <m/>
    <s v="CHANGAN"/>
    <s v="UNI TURBO 1.5 AUT"/>
    <n v="2023"/>
  </r>
  <r>
    <n v="2501797"/>
    <n v="309"/>
    <m/>
    <n v="8389751"/>
    <m/>
    <s v="PHOENIX"/>
    <s v="JUDICIAL"/>
    <x v="1"/>
    <s v="0-365"/>
    <x v="0"/>
    <s v="COBRANZA"/>
    <x v="0"/>
    <m/>
    <n v="76881479"/>
    <n v="1"/>
    <s v="MARTINEZ Y MARTINEZ CONSTRUCCION SPA"/>
    <m/>
    <n v="282.11500000000001"/>
    <d v="2025-01-06T00:00:00"/>
    <m/>
    <m/>
    <m/>
    <s v="TANNER"/>
    <m/>
    <n v="0"/>
    <n v="0"/>
    <m/>
    <m/>
    <n v="8389751"/>
    <m/>
    <m/>
    <m/>
    <m/>
    <s v="CASTIGO"/>
    <n v="976479025"/>
    <m/>
    <m/>
    <s v="CMLETELIERUC@GMAIL.ES"/>
    <m/>
    <m/>
    <s v="EL PARRON 1751 DEPTO 2"/>
    <s v="SAN RAMON"/>
    <s v="REGION METROPOLITANA"/>
    <s v="C-19075-2024"/>
    <s v="15º Juzgado Civil de Santiago"/>
    <s v="INCAUTADO"/>
    <s v="MANTIENE"/>
    <m/>
    <m/>
    <m/>
    <m/>
    <s v="SI"/>
    <s v="ACTIVO"/>
    <s v="SFPH48"/>
    <s v="DFLM"/>
    <s v="JOYEAR SX5 LUX 1.6"/>
    <n v="2023"/>
  </r>
  <r>
    <n v="2514373"/>
    <n v="187"/>
    <m/>
    <n v="21434298"/>
    <m/>
    <s v="PHOENIX"/>
    <s v="JUDICIAL"/>
    <x v="1"/>
    <s v="0-365"/>
    <x v="0"/>
    <s v="COBRANZA"/>
    <x v="0"/>
    <m/>
    <n v="15618940"/>
    <n v="5"/>
    <s v="LORENS GRACE SEPULVEDA RIQUELME"/>
    <m/>
    <n v="608.41700000000003"/>
    <d v="2025-01-10T00:00:00"/>
    <m/>
    <m/>
    <m/>
    <s v="TANNER"/>
    <s v="DACIÓN"/>
    <n v="0"/>
    <n v="0"/>
    <m/>
    <m/>
    <n v="21434298"/>
    <m/>
    <m/>
    <m/>
    <m/>
    <s v="CASTIGO"/>
    <n v="926372988"/>
    <n v="939570373"/>
    <m/>
    <s v="lorensnm@gmail.com"/>
    <m/>
    <m/>
    <s v="PRIMERA AVENIDA 1252"/>
    <s v="SAN MIGUEL"/>
    <s v="REGION METROPOLITANA"/>
    <s v="C-2589-2025"/>
    <s v="19º Juzgado Civil de Santiago"/>
    <s v="EMBARGADO"/>
    <s v="MANTIENE"/>
    <m/>
    <m/>
    <m/>
    <m/>
    <s v="SI"/>
    <s v="ACTIVO"/>
    <s v="SVHP70"/>
    <s v="HYUNDAI"/>
    <s v="TUCSON 2.0"/>
    <n v="2023"/>
  </r>
  <r>
    <n v="2535757"/>
    <n v="340"/>
    <m/>
    <n v="11878718"/>
    <m/>
    <s v="PHOENIX"/>
    <s v="JUDICIAL"/>
    <x v="1"/>
    <s v="0-365"/>
    <x v="0"/>
    <s v="COBRANZA"/>
    <x v="0"/>
    <m/>
    <n v="26517020"/>
    <s v="K"/>
    <s v="PEDRO HUGO ALVARADO PIÑERO"/>
    <m/>
    <n v="301.87900000000002"/>
    <d v="2025-01-05T00:00:00"/>
    <m/>
    <m/>
    <m/>
    <s v="TANNER"/>
    <m/>
    <n v="0"/>
    <n v="0"/>
    <m/>
    <m/>
    <n v="11878718"/>
    <m/>
    <m/>
    <m/>
    <m/>
    <s v="CASTIGO"/>
    <n v="9353966110"/>
    <m/>
    <m/>
    <s v="palvarado607@gmail.com"/>
    <m/>
    <m/>
    <s v="COQUIMBO 1189 DEPTO 1136"/>
    <s v="SANTIAGO"/>
    <s v="REGION METROPOLITANA"/>
    <s v="26º Juzgado Civil de Santiago"/>
    <s v="C-16647-2024"/>
    <s v="EMBARGADO"/>
    <s v="MANTIENE"/>
    <m/>
    <m/>
    <m/>
    <m/>
    <s v="SI"/>
    <s v="ACTIVO"/>
    <s v="SWWC84"/>
    <s v="JAC"/>
    <s v="JS3 4X2 1.6"/>
    <n v="2023"/>
  </r>
  <r>
    <n v="2537349"/>
    <n v="64"/>
    <m/>
    <n v="11690180"/>
    <m/>
    <s v="PHOENIX"/>
    <s v="JUDICIAL"/>
    <x v="1"/>
    <s v="0-365"/>
    <x v="0"/>
    <s v="COBRANZA"/>
    <x v="0"/>
    <s v="E"/>
    <n v="14081887"/>
    <n v="9"/>
    <s v="SERGIO ESTEBAN CASANOVA BURGOS"/>
    <m/>
    <n v="315.52100000000002"/>
    <d v="2026-01-02T00:00:00"/>
    <m/>
    <m/>
    <m/>
    <s v="TANNER"/>
    <m/>
    <n v="0"/>
    <n v="0"/>
    <m/>
    <m/>
    <n v="11690180"/>
    <m/>
    <m/>
    <m/>
    <m/>
    <s v="CASTIGO"/>
    <n v="931795581"/>
    <m/>
    <m/>
    <s v="sergiocasanova566@gmail.com"/>
    <m/>
    <m/>
    <s v="PASAJE LA TIRANA N° 589"/>
    <s v="VALDIVIA"/>
    <s v="XIV REGION"/>
    <s v="C-8345-2025"/>
    <s v="29º Juzgado Civil de Santiago"/>
    <s v="EMBARGADO"/>
    <s v="MANTIENE"/>
    <m/>
    <m/>
    <m/>
    <m/>
    <s v="SI"/>
    <s v="ACTIVO"/>
    <s v="SSSJ58"/>
    <s v="BAIC"/>
    <s v="X55 1.5T"/>
    <n v="2023"/>
  </r>
  <r>
    <n v="2548154"/>
    <n v="279"/>
    <m/>
    <n v="15167906"/>
    <m/>
    <s v="PHOENIX"/>
    <s v="JUDICIAL"/>
    <x v="1"/>
    <s v="0-365"/>
    <x v="0"/>
    <s v="COBRANZA"/>
    <x v="0"/>
    <m/>
    <n v="24294538"/>
    <n v="7"/>
    <s v="JUAN NELSON ALBIS ORTIZ"/>
    <m/>
    <n v="444.12"/>
    <d v="2025-01-07T00:00:00"/>
    <m/>
    <m/>
    <m/>
    <s v="TANNER"/>
    <m/>
    <n v="0"/>
    <n v="0"/>
    <m/>
    <m/>
    <n v="7117866"/>
    <m/>
    <m/>
    <m/>
    <m/>
    <s v="CASTIGO"/>
    <n v="930596650"/>
    <m/>
    <m/>
    <s v="NELSONALBIS50@GMAIL.COM"/>
    <m/>
    <m/>
    <s v="PARAGUAY"/>
    <m/>
    <m/>
    <s v="25º Juzgado Civil de Santiago"/>
    <s v="C-16640-2024"/>
    <s v="GIRO CHEQUE"/>
    <s v="MANTIENE"/>
    <m/>
    <m/>
    <m/>
    <m/>
    <s v="SI"/>
    <s v="ACTIVO"/>
    <m/>
    <s v="KIA"/>
    <s v="SPORTAGE"/>
    <n v="2019"/>
  </r>
  <r>
    <n v="2554756"/>
    <n v="309"/>
    <m/>
    <n v="19842461"/>
    <m/>
    <s v="PHOENIX"/>
    <s v="JUDICIAL"/>
    <x v="1"/>
    <s v="0-365"/>
    <x v="0"/>
    <s v="COBRANZA"/>
    <x v="0"/>
    <m/>
    <n v="76840234"/>
    <n v="5"/>
    <s v="SOCIEDAD METALTECN SPA"/>
    <m/>
    <n v="630.24800000000005"/>
    <d v="2025-01-06T00:00:00"/>
    <m/>
    <m/>
    <m/>
    <s v="TANNER"/>
    <m/>
    <n v="0"/>
    <n v="0"/>
    <m/>
    <m/>
    <n v="19842461"/>
    <m/>
    <m/>
    <m/>
    <m/>
    <s v="CASTIGO"/>
    <n v="977686318"/>
    <m/>
    <m/>
    <s v="MANUELJVERGARAI@GMAIL.COM"/>
    <m/>
    <m/>
    <s v="LO OVALLE"/>
    <s v="INDEPENDENCIA"/>
    <s v="REGION METROPOLITANA"/>
    <s v="C-19073-2024"/>
    <s v="8º Juzgado Civil de Santiago"/>
    <s v="EMBARGADO"/>
    <s v="MANTIENE"/>
    <m/>
    <m/>
    <m/>
    <m/>
    <s v="SI"/>
    <s v="ACTIVO"/>
    <m/>
    <s v="AUDI"/>
    <s v="S 5"/>
    <n v="2013"/>
  </r>
  <r>
    <n v="2577744"/>
    <n v="126"/>
    <m/>
    <n v="4324898"/>
    <m/>
    <s v="PHOENIX"/>
    <s v="JUDICIAL"/>
    <x v="1"/>
    <s v="0-365"/>
    <x v="0"/>
    <s v="COBRANZA"/>
    <x v="0"/>
    <m/>
    <n v="25810620"/>
    <n v="2"/>
    <s v="LUIS MAGAYANES SALIRROSAS FLORES"/>
    <m/>
    <n v="164.232"/>
    <d v="2025-01-12T00:00:00"/>
    <m/>
    <m/>
    <m/>
    <s v="TANNER"/>
    <m/>
    <n v="0"/>
    <n v="0"/>
    <m/>
    <m/>
    <n v="4324898"/>
    <m/>
    <m/>
    <m/>
    <m/>
    <s v="CASTIGO"/>
    <n v="944982271"/>
    <m/>
    <m/>
    <s v="LUISMAGAYANESF@GMAIL.COM"/>
    <m/>
    <m/>
    <s v="TEATINOS"/>
    <m/>
    <m/>
    <s v="C-4509-2025"/>
    <s v="5º Juzgado Civil de Santiago"/>
    <s v="EMBARGADO"/>
    <s v="MANTIENE"/>
    <m/>
    <m/>
    <m/>
    <m/>
    <s v="SI"/>
    <s v="ACTIVO"/>
    <m/>
    <s v="HYUNDAI"/>
    <s v="VERNA"/>
    <n v="2021"/>
  </r>
  <r>
    <n v="2578434"/>
    <n v="279"/>
    <m/>
    <n v="9737672"/>
    <m/>
    <s v="PHOENIX"/>
    <s v="JUDICIAL"/>
    <x v="1"/>
    <s v="0-365"/>
    <x v="0"/>
    <s v="COBRANZA"/>
    <x v="0"/>
    <m/>
    <n v="13496012"/>
    <n v="4"/>
    <s v="SUSSY MAGDALENA ROJAS ROJAS"/>
    <m/>
    <n v="280.58999999999997"/>
    <d v="2025-01-07T00:00:00"/>
    <m/>
    <m/>
    <m/>
    <s v="TANNER"/>
    <s v="DACIÓN"/>
    <n v="0"/>
    <n v="0"/>
    <m/>
    <m/>
    <n v="9737672"/>
    <m/>
    <m/>
    <m/>
    <m/>
    <s v="CASTIGO"/>
    <n v="56944242267"/>
    <m/>
    <m/>
    <s v="sussy.rojas@gmail.com"/>
    <m/>
    <m/>
    <s v="RESERVA NACIONAL LOS RUILES 1225"/>
    <s v="COQUIMBO"/>
    <s v="IV REGION"/>
    <s v="C-20344-2024"/>
    <s v="30º Juzgado Civil de Santiago"/>
    <s v="EMBARGADO"/>
    <s v="MANTIENE"/>
    <m/>
    <m/>
    <m/>
    <m/>
    <s v="SI"/>
    <s v="ACTIVO"/>
    <s v="SXGY74"/>
    <s v="JAC"/>
    <s v="JS2 LUXURY HB 1.5"/>
    <n v="2023"/>
  </r>
  <r>
    <n v="2582129"/>
    <n v="187"/>
    <m/>
    <n v="12525585"/>
    <m/>
    <s v="PHOENIX"/>
    <s v="JUDICIAL"/>
    <x v="1"/>
    <s v="0-365"/>
    <x v="0"/>
    <s v="COBRANZA"/>
    <x v="0"/>
    <m/>
    <n v="12944192"/>
    <n v="5"/>
    <s v="MICHAEL ROLANDO CASTILLO VALDES"/>
    <m/>
    <n v="420.36399999999998"/>
    <d v="2025-01-10T00:00:00"/>
    <m/>
    <m/>
    <m/>
    <s v="TANNER"/>
    <s v="DACIÓN"/>
    <n v="0"/>
    <n v="0"/>
    <m/>
    <m/>
    <n v="12525585"/>
    <m/>
    <m/>
    <m/>
    <m/>
    <s v="CASTIGO"/>
    <n v="988150571"/>
    <m/>
    <m/>
    <s v="michelcastillovaldes75@gmail.com"/>
    <m/>
    <m/>
    <s v="FLOR DEL VALLE CALLE UNICA"/>
    <s v="OVALLE"/>
    <s v="IV REGION"/>
    <s v="C-22135-2024"/>
    <s v="8º Juzgado Civil de Santiago"/>
    <s v="EMBARGADO"/>
    <s v="MANTIENE"/>
    <m/>
    <m/>
    <m/>
    <m/>
    <s v="SI"/>
    <s v="ACTIVO"/>
    <s v="SWYC98"/>
    <s v="HAVAL"/>
    <s v="JOLION ACTIVE 1.5"/>
    <n v="2023"/>
  </r>
  <r>
    <n v="2613197"/>
    <n v="187"/>
    <m/>
    <n v="7811342"/>
    <m/>
    <s v="PHOENIX"/>
    <s v="JUDICIAL"/>
    <x v="1"/>
    <s v="0-365"/>
    <x v="0"/>
    <s v="COBRANZA"/>
    <x v="0"/>
    <m/>
    <n v="26143344"/>
    <n v="3"/>
    <s v="ALMENY NHACARY SCHILLING ESPINOZA"/>
    <m/>
    <n v="293.947"/>
    <d v="2025-01-10T00:00:00"/>
    <m/>
    <m/>
    <m/>
    <s v="TANNER"/>
    <m/>
    <n v="0"/>
    <n v="0"/>
    <m/>
    <m/>
    <n v="3458222"/>
    <m/>
    <m/>
    <m/>
    <m/>
    <s v="CASTIGO"/>
    <n v="979205383"/>
    <m/>
    <m/>
    <s v="aschilling90@gmail.com"/>
    <m/>
    <m/>
    <s v="AV ZANARTU 1100 EDIFICIO 1 DEPTO"/>
    <m/>
    <m/>
    <s v="C-2591-2025"/>
    <s v="4º Juzgado Civil de Santiago"/>
    <s v="REMATADO"/>
    <s v="MANTIENE"/>
    <m/>
    <m/>
    <m/>
    <m/>
    <s v="SI"/>
    <s v="CERRADO"/>
    <m/>
    <s v="RAM"/>
    <s v="VAN 700 CITY DIESEL"/>
    <n v="2020"/>
  </r>
  <r>
    <n v="2642200"/>
    <n v="1"/>
    <m/>
    <n v="6213630"/>
    <m/>
    <s v="PHOENIX"/>
    <s v="JUDICIAL"/>
    <x v="1"/>
    <s v="0-365"/>
    <x v="0"/>
    <s v="COBRANZA"/>
    <x v="0"/>
    <s v="E"/>
    <n v="19972407"/>
    <s v="K"/>
    <s v="JUAN CLAUDIO SILVA BURDILES"/>
    <m/>
    <n v="221.36500000000001"/>
    <d v="2026-01-03T00:00:00"/>
    <m/>
    <m/>
    <m/>
    <s v="TANNER"/>
    <s v="DACIÓN"/>
    <n v="0"/>
    <n v="0"/>
    <m/>
    <m/>
    <n v="5213630"/>
    <m/>
    <m/>
    <m/>
    <m/>
    <s v="CASTIGO"/>
    <n v="942717151"/>
    <m/>
    <m/>
    <s v="juanclaudiosilvaburdiles@gmail.com"/>
    <m/>
    <m/>
    <s v="Calle Ecuador #307, Los Sauces"/>
    <s v="LOS SAUCES"/>
    <s v="IX REGION"/>
    <s v="C-6721-2025"/>
    <s v="21º JUZGADO CIVIL DE SANTIAGO"/>
    <s v="INGRESADO"/>
    <s v="MANTIENE"/>
    <m/>
    <m/>
    <m/>
    <m/>
    <s v="NO"/>
    <s v="ACTIVO"/>
    <s v="LZDF91"/>
    <s v="MAXUS"/>
    <s v="T60 GL 4X4 2.8"/>
    <n v="2021"/>
  </r>
  <r>
    <n v="2645056"/>
    <n v="95"/>
    <m/>
    <n v="16611407"/>
    <m/>
    <s v="PHOENIX"/>
    <s v="JUDICIAL"/>
    <x v="1"/>
    <s v="0-365"/>
    <x v="0"/>
    <s v="COBRANZA"/>
    <x v="0"/>
    <s v="E"/>
    <n v="13038018"/>
    <n v="2"/>
    <s v="ANA LIDIA BASTIAS ARAYA"/>
    <m/>
    <n v="414.68400000000003"/>
    <d v="2026-01-01T00:00:00"/>
    <m/>
    <m/>
    <m/>
    <s v="TANNER"/>
    <s v="DACIÓN"/>
    <n v="0"/>
    <n v="0"/>
    <m/>
    <m/>
    <n v="16611407"/>
    <m/>
    <m/>
    <m/>
    <m/>
    <s v="CASTIGO"/>
    <n v="950884880"/>
    <m/>
    <m/>
    <s v="ANALIDIA4114@GMAIL.COM"/>
    <m/>
    <m/>
    <s v="AV CHESTERTON"/>
    <s v="PUDAHUEL"/>
    <s v="REGION METROPOLITANA"/>
    <s v="C-5503-2025"/>
    <s v="4º Juzgado Civil de Santiago"/>
    <s v="EMBARGADO"/>
    <s v="MANTIENE"/>
    <m/>
    <m/>
    <m/>
    <m/>
    <s v="SI"/>
    <s v="ACTIVO"/>
    <s v="KDBV46"/>
    <s v="MAZDA"/>
    <s v="NEW 6"/>
    <n v="2022"/>
  </r>
  <r>
    <n v="2663330"/>
    <n v="401"/>
    <m/>
    <n v="14089202"/>
    <m/>
    <s v="PHOENIX"/>
    <s v="JUDICIAL"/>
    <x v="2"/>
    <s v="366-730"/>
    <x v="0"/>
    <s v="COBRANZA"/>
    <x v="0"/>
    <m/>
    <n v="7044994"/>
    <n v="3"/>
    <s v="CARMEN LUZ VENEGAS MALUENDA"/>
    <m/>
    <n v="763.93200000000002"/>
    <d v="2025-01-03T00:00:00"/>
    <m/>
    <m/>
    <m/>
    <s v="TANNER"/>
    <m/>
    <n v="0"/>
    <n v="0"/>
    <m/>
    <m/>
    <n v="14089202"/>
    <m/>
    <m/>
    <m/>
    <m/>
    <s v="CASTIGO"/>
    <n v="998852088"/>
    <m/>
    <m/>
    <s v="cluzvenegas.m@gmail.com"/>
    <m/>
    <m/>
    <s v="MANUEL MONTT 918 DEPTO 504"/>
    <s v="PROVIDENCIA"/>
    <s v="REGION METROPOLITANA"/>
    <s v="23º Juzgado Civil de Santiago"/>
    <s v="C-15733-2024"/>
    <s v="EMBARGADO"/>
    <s v="MANTIENE"/>
    <m/>
    <m/>
    <m/>
    <m/>
    <s v="SI"/>
    <s v="ACTIVO"/>
    <s v="JJXL31"/>
    <s v="MERCEDES BENZ"/>
    <s v="SPRINTER 415 CDI"/>
    <n v="2017"/>
  </r>
  <r>
    <n v="2668943"/>
    <n v="0"/>
    <m/>
    <n v="12786160"/>
    <m/>
    <s v="PHOENIX"/>
    <s v="JUDICIAL"/>
    <x v="1"/>
    <s v="0-365"/>
    <x v="0"/>
    <s v="COBRANZA"/>
    <x v="1"/>
    <s v="E"/>
    <n v="18420136"/>
    <n v="4"/>
    <s v="DIEGO JAVIER GONZALEZ ARRIAGADA"/>
    <m/>
    <n v="373.91300000000001"/>
    <d v="2026-04-05T00:00:00"/>
    <m/>
    <m/>
    <m/>
    <s v="AMICAR"/>
    <m/>
    <n v="0"/>
    <n v="0"/>
    <m/>
    <m/>
    <n v="12786160"/>
    <m/>
    <m/>
    <m/>
    <m/>
    <s v="CASTIGO"/>
    <n v="56966400955"/>
    <m/>
    <m/>
    <s v="dgonzalezarriagada1993@gmail.com"/>
    <m/>
    <m/>
    <s v="COIGUIN BAJO 36"/>
    <s v="PUERTO MONTT"/>
    <s v="X REGION"/>
    <s v="C-11251-2025"/>
    <s v="2º Juzgado Civil de Santiago"/>
    <s v="NOTIFICADO"/>
    <s v="MANTIENE"/>
    <m/>
    <m/>
    <m/>
    <m/>
    <s v="SI"/>
    <s v="ACTIVO"/>
    <s v="SWKL24"/>
    <s v="JAC"/>
    <s v="JS6 LUXURY SE DCT"/>
    <n v="2023"/>
  </r>
  <r>
    <n v="2673094"/>
    <n v="1"/>
    <m/>
    <n v="9694975"/>
    <m/>
    <s v="PHOENIX"/>
    <s v="JUDICIAL"/>
    <x v="1"/>
    <s v="0-365"/>
    <x v="0"/>
    <s v="COBRANZA"/>
    <x v="0"/>
    <s v="E"/>
    <n v="14379008"/>
    <n v="8"/>
    <s v="EDUARDO ALFREDO  AHUMADA  CORTES"/>
    <m/>
    <n v="283.91300000000001"/>
    <d v="2026-01-03T00:00:00"/>
    <m/>
    <m/>
    <m/>
    <s v="TANNER"/>
    <s v="DACIÓN"/>
    <n v="0"/>
    <n v="0"/>
    <m/>
    <m/>
    <n v="9694975"/>
    <m/>
    <m/>
    <m/>
    <m/>
    <s v="CASTIGO"/>
    <n v="56949640086"/>
    <m/>
    <m/>
    <s v="angelahumadawillis0910@gmail.com"/>
    <m/>
    <m/>
    <s v="PARCELA 110"/>
    <s v="ILLAPEL"/>
    <s v="IV REGION"/>
    <s v="C-2594-2025"/>
    <s v="21º JUZGADO CIVIL DE SANTIAGO"/>
    <s v="INGRESADO"/>
    <s v="MANTIENE"/>
    <m/>
    <m/>
    <m/>
    <m/>
    <s v="NO"/>
    <s v="ACTIVO"/>
    <s v="SXGD67"/>
    <s v="SUZUKI"/>
    <s v="DZIRE 1.2"/>
    <n v="2023"/>
  </r>
  <r>
    <n v="2675827"/>
    <n v="1"/>
    <m/>
    <n v="4540946"/>
    <m/>
    <s v="PHOENIX"/>
    <s v="JUDICIAL"/>
    <x v="1"/>
    <s v="0-365"/>
    <x v="0"/>
    <s v="COBRANZA"/>
    <x v="0"/>
    <s v="E"/>
    <n v="16873958"/>
    <n v="3"/>
    <s v="WILLIAMS RAFAEL OPAZO LAY"/>
    <m/>
    <n v="197.95599999999999"/>
    <d v="2026-01-03T00:00:00"/>
    <m/>
    <m/>
    <m/>
    <s v="TANNER"/>
    <m/>
    <n v="0"/>
    <n v="0"/>
    <m/>
    <m/>
    <n v="4540946"/>
    <m/>
    <m/>
    <m/>
    <m/>
    <s v="CASTIGO"/>
    <n v="979555363"/>
    <m/>
    <m/>
    <s v="WILLIAMSBULLANGUEROOPAZO@GMAIL.COM"/>
    <m/>
    <m/>
    <s v="CHAIGUAO SN"/>
    <s v="MEJILLONES"/>
    <s v="II REGION"/>
    <s v="C-22118-2024"/>
    <s v="28º Juzgado Civil de Santiago"/>
    <s v="INGRESADO"/>
    <s v="MANTIENE"/>
    <m/>
    <m/>
    <m/>
    <m/>
    <s v="NO"/>
    <s v="ACTIVO"/>
    <m/>
    <s v="KIA"/>
    <s v="SORENTO E.X 2.4 AUT"/>
    <n v="2014"/>
  </r>
  <r>
    <n v="2678909"/>
    <n v="126"/>
    <m/>
    <n v="5062075"/>
    <m/>
    <s v="PHOENIX"/>
    <s v="JUDICIAL"/>
    <x v="1"/>
    <s v="0-365"/>
    <x v="0"/>
    <s v="COBRANZA"/>
    <x v="0"/>
    <m/>
    <n v="77081782"/>
    <s v="K"/>
    <s v="COMERCIALIZADORA Y DISTRIBUIDORA SAN PABLO SPA"/>
    <m/>
    <n v="506.20800000000003"/>
    <d v="2025-01-12T00:00:00"/>
    <m/>
    <m/>
    <m/>
    <s v="TANNER"/>
    <m/>
    <n v="0"/>
    <n v="0"/>
    <m/>
    <m/>
    <n v="5062075"/>
    <m/>
    <m/>
    <m/>
    <m/>
    <s v="CASTIGO"/>
    <n v="973425995"/>
    <m/>
    <m/>
    <s v="rodrigo@wefarmers.cl"/>
    <m/>
    <m/>
    <s v="BADAJOZ 100 OFICINA 523"/>
    <s v="LAS CONDES"/>
    <s v="REGION METROPOLITANA"/>
    <s v="C-20329-2024"/>
    <s v="1º Juzgado Civil de Santiago"/>
    <s v="INCAUTADO"/>
    <s v="MANTIENE"/>
    <m/>
    <m/>
    <m/>
    <m/>
    <s v="SI"/>
    <s v="ACTIVO"/>
    <s v="SRTD89"/>
    <s v="FOTON"/>
    <s v="TM3 CARGO BOX"/>
    <n v="2023"/>
  </r>
  <r>
    <n v="2690834"/>
    <n v="370"/>
    <m/>
    <n v="10261073"/>
    <m/>
    <s v="PHOENIX"/>
    <s v="JUDICIAL"/>
    <x v="2"/>
    <s v="366-730"/>
    <x v="0"/>
    <s v="COBRANZA"/>
    <x v="0"/>
    <m/>
    <n v="15913479"/>
    <n v="2"/>
    <s v="PAULO GIOVANNI LEDEZMA CASTILLO"/>
    <m/>
    <n v="290.78199999999998"/>
    <d v="2025-01-04T00:00:00"/>
    <m/>
    <m/>
    <m/>
    <s v="TANNER"/>
    <s v="DACIÓN"/>
    <n v="0"/>
    <n v="0"/>
    <m/>
    <m/>
    <n v="10261073"/>
    <m/>
    <m/>
    <m/>
    <m/>
    <s v="CASTIGO"/>
    <n v="982918469"/>
    <m/>
    <m/>
    <s v="ledezmapaulo6@gmail.com"/>
    <m/>
    <m/>
    <s v="TAMBILLO SN"/>
    <s v="COQUIMBO"/>
    <s v="IV REGION"/>
    <s v="17º Juzgado Civil de Santiago"/>
    <s v="C-15706-2024"/>
    <s v="INGRESADO"/>
    <s v="MANTIENE"/>
    <m/>
    <m/>
    <m/>
    <m/>
    <s v="NO"/>
    <s v="ACTIVO"/>
    <s v="SZTK17"/>
    <s v="HYUNDAI"/>
    <s v="GRAND I10 AI3 4X2 1.2"/>
    <n v="2024"/>
  </r>
  <r>
    <n v="2699951"/>
    <n v="64"/>
    <m/>
    <n v="10007396"/>
    <m/>
    <s v="PHOENIX"/>
    <s v="JUDICIAL"/>
    <x v="1"/>
    <s v="0-365"/>
    <x v="0"/>
    <s v="COBRANZA"/>
    <x v="0"/>
    <s v="E"/>
    <n v="77144932"/>
    <n v="8"/>
    <s v="AGROCOMERCIAL BARBARA VAN DER DIJS E.I.R.L."/>
    <m/>
    <n v="407.79899999999998"/>
    <d v="2026-01-02T00:00:00"/>
    <m/>
    <m/>
    <m/>
    <s v="TANNER"/>
    <s v="DACIÓN"/>
    <n v="0"/>
    <n v="0"/>
    <m/>
    <m/>
    <n v="10007396"/>
    <m/>
    <m/>
    <m/>
    <m/>
    <s v="CASTIGO"/>
    <n v="940859641"/>
    <m/>
    <m/>
    <s v="vanderdijs1204@gmail.com"/>
    <m/>
    <m/>
    <s v="AV CERRILLOS 4030 DEPTO 528"/>
    <s v="PEDRO AGUIRRE CERDA"/>
    <s v="REGION METROPOLITANA"/>
    <s v="C-8335-2025"/>
    <s v="14º Juzgado Civil de Santiago"/>
    <s v="EMBARGADO"/>
    <s v="MANTIENE"/>
    <m/>
    <m/>
    <m/>
    <m/>
    <s v="SI"/>
    <s v="ACTIVO"/>
    <s v="SBTB63"/>
    <s v="TOYOTA"/>
    <s v="COROLLA"/>
    <n v="2022"/>
  </r>
  <r>
    <n v="2740588"/>
    <n v="126"/>
    <m/>
    <n v="9109254"/>
    <m/>
    <s v="PHOENIX"/>
    <s v="JUDICIAL"/>
    <x v="1"/>
    <s v="0-365"/>
    <x v="0"/>
    <s v="COBRANZA"/>
    <x v="0"/>
    <m/>
    <n v="10639738"/>
    <n v="4"/>
    <s v="CRISTIAN ALEJANDRO ANTONIO RIQUELME VILLAGRA"/>
    <m/>
    <n v="186.61099999999999"/>
    <d v="2025-01-12T00:00:00"/>
    <m/>
    <m/>
    <m/>
    <s v="CREDINISSAN"/>
    <m/>
    <n v="0"/>
    <n v="0"/>
    <m/>
    <m/>
    <n v="9109254"/>
    <m/>
    <m/>
    <m/>
    <m/>
    <s v="CASTIGO"/>
    <n v="941007327"/>
    <m/>
    <m/>
    <s v="KORG_27@HOTMAIL.COM"/>
    <m/>
    <m/>
    <s v="CALCHAMONT"/>
    <s v="LO PRADO"/>
    <s v="REGION METROPOLITANA"/>
    <s v="C-20330-2024"/>
    <s v="18º Juzgado Civil de Santiago"/>
    <s v="EMBARGADO"/>
    <s v="MANTIENE"/>
    <m/>
    <m/>
    <m/>
    <m/>
    <s v="SI"/>
    <s v="ACTIVO"/>
    <m/>
    <s v="NISSAN"/>
    <s v="VERSA"/>
    <n v="2022"/>
  </r>
  <r>
    <n v="2749966"/>
    <n v="64"/>
    <m/>
    <n v="11670690"/>
    <m/>
    <s v="PHOENIX"/>
    <s v="JUDICIAL"/>
    <x v="1"/>
    <s v="0-365"/>
    <x v="0"/>
    <s v="COBRANZA"/>
    <x v="0"/>
    <s v="E"/>
    <n v="12401950"/>
    <n v="8"/>
    <s v="NORBERTO ENRIQUE COLLAO MARIN"/>
    <m/>
    <n v="331.70100000000002"/>
    <d v="2026-01-02T00:00:00"/>
    <m/>
    <m/>
    <m/>
    <s v="TANNER"/>
    <m/>
    <n v="0"/>
    <n v="0"/>
    <m/>
    <m/>
    <n v="11670690"/>
    <m/>
    <m/>
    <m/>
    <m/>
    <s v="CASTIGO"/>
    <n v="963856994"/>
    <m/>
    <m/>
    <s v="norbertocollaomarin@gmail.com"/>
    <m/>
    <m/>
    <s v="SANTA BERTA 2680"/>
    <s v="MAIPU"/>
    <s v="REGION METROPOLITANA"/>
    <s v="C-3912-2025"/>
    <s v="11º Juzgado Civil de Santiago"/>
    <s v="REMATADO"/>
    <s v="MANTIENE"/>
    <m/>
    <m/>
    <m/>
    <m/>
    <s v="SI"/>
    <s v="ACTIVO"/>
    <s v="TCRY73"/>
    <s v="SWM"/>
    <s v="G05 PRO 2.0"/>
    <n v="2024"/>
  </r>
  <r>
    <n v="2751867"/>
    <n v="95"/>
    <m/>
    <n v="5982190"/>
    <m/>
    <s v="PHOENIX"/>
    <s v="JUDICIAL"/>
    <x v="1"/>
    <s v="0-365"/>
    <x v="0"/>
    <s v="COBRANZA"/>
    <x v="0"/>
    <s v="E"/>
    <n v="25588177"/>
    <n v="9"/>
    <s v="BIANEY YOSELY RODRIGUEZ DELGADO"/>
    <m/>
    <n v="190.48699999999999"/>
    <d v="2026-01-01T00:00:00"/>
    <m/>
    <m/>
    <m/>
    <s v="TANNER"/>
    <m/>
    <n v="0"/>
    <n v="0"/>
    <m/>
    <m/>
    <n v="5982190"/>
    <m/>
    <m/>
    <m/>
    <m/>
    <s v="CASTIGO"/>
    <n v="930329460"/>
    <m/>
    <m/>
    <s v="BIANEYYOSELY@GMAIL.COM"/>
    <m/>
    <m/>
    <s v="AV ZAARTU"/>
    <m/>
    <m/>
    <s v="C-6724-2025"/>
    <s v="23º Juzgado Civil de Santiago"/>
    <s v="EMBARGADO"/>
    <s v="MANTIENE"/>
    <m/>
    <m/>
    <m/>
    <m/>
    <s v="SI"/>
    <s v="ACTIVO"/>
    <m/>
    <s v="CHERY"/>
    <s v="TIGGO 2 1.5"/>
    <n v="2021"/>
  </r>
  <r>
    <n v="2753455"/>
    <n v="156"/>
    <m/>
    <n v="10000175"/>
    <m/>
    <s v="PHOENIX"/>
    <s v="JUDICIAL"/>
    <x v="1"/>
    <s v="0-365"/>
    <x v="0"/>
    <s v="COBRANZA"/>
    <x v="0"/>
    <m/>
    <n v="18491040"/>
    <n v="3"/>
    <s v="JAVIER HUMBERTO  SANDOVAL ALVARADO"/>
    <m/>
    <n v="276.01299999999998"/>
    <d v="2025-01-11T00:00:00"/>
    <m/>
    <m/>
    <m/>
    <s v="TANNER"/>
    <s v="DACIÓN"/>
    <n v="0"/>
    <n v="0"/>
    <m/>
    <m/>
    <n v="10000175"/>
    <m/>
    <m/>
    <m/>
    <m/>
    <s v="CASTIGO"/>
    <n v="946243802"/>
    <m/>
    <m/>
    <s v="jav_sanval72@hotmail.com"/>
    <m/>
    <m/>
    <s v="AVDA COSTANERA 2118"/>
    <s v="OSORNO"/>
    <s v="X REGION"/>
    <s v="C-3915-2025"/>
    <s v="3º Juzgado Civil de Santiago"/>
    <s v="INGRESADO"/>
    <s v="MANTIENE"/>
    <m/>
    <m/>
    <m/>
    <m/>
    <s v="NO"/>
    <s v="ACTIVO"/>
    <s v="TCHS15"/>
    <s v="SUZUKI"/>
    <s v="CELERIO HB MT 1.0"/>
    <n v="2024"/>
  </r>
  <r>
    <n v="2757617"/>
    <n v="95"/>
    <m/>
    <n v="9115829"/>
    <m/>
    <s v="PHOENIX"/>
    <s v="JUDICIAL"/>
    <x v="1"/>
    <s v="0-365"/>
    <x v="0"/>
    <s v="COBRANZA"/>
    <x v="0"/>
    <s v="E"/>
    <n v="10908669"/>
    <s v="K"/>
    <s v="OSCAR RICARDO ROMERO GONZÁLEZ"/>
    <m/>
    <n v="309.13"/>
    <d v="2026-01-01T00:00:00"/>
    <m/>
    <m/>
    <m/>
    <s v="TANNER"/>
    <s v="DACIÓN"/>
    <n v="0"/>
    <n v="0"/>
    <m/>
    <m/>
    <n v="9115829"/>
    <m/>
    <s v="PUT EN CUOTAS"/>
    <s v="PHOENIX"/>
    <m/>
    <s v="CASTIGO"/>
    <n v="964496387"/>
    <m/>
    <m/>
    <s v="ROMINAROMEROCARRASCO@GMAIL.COM"/>
    <m/>
    <m/>
    <s v="LAS BANDURRIAS 10915 VILLA COLOMBIA"/>
    <s v="LA PINTANA"/>
    <s v="REGION METROPOLITANA"/>
    <s v="C-6724-2025"/>
    <s v="18º Juzgado Civil de Santiago"/>
    <s v="EMBARGADO"/>
    <s v="MANTIENE"/>
    <m/>
    <m/>
    <m/>
    <m/>
    <s v="SI"/>
    <s v="ACTIVO"/>
    <s v="TDZV42"/>
    <s v="DFM"/>
    <s v="T5"/>
    <n v="2024"/>
  </r>
  <r>
    <n v="2758458"/>
    <n v="340"/>
    <m/>
    <n v="7453892"/>
    <m/>
    <s v="PHOENIX"/>
    <s v="JUDICIAL"/>
    <x v="1"/>
    <s v="0-365"/>
    <x v="0"/>
    <s v="COBRANZA"/>
    <x v="0"/>
    <m/>
    <n v="12522128"/>
    <n v="9"/>
    <s v="ALEJANDRA DEL PILAR  CABELLO ARCOS"/>
    <m/>
    <n v="188.285"/>
    <d v="2025-01-05T00:00:00"/>
    <m/>
    <m/>
    <m/>
    <s v="TANNER"/>
    <m/>
    <n v="0"/>
    <n v="0"/>
    <m/>
    <m/>
    <n v="7453892"/>
    <m/>
    <m/>
    <m/>
    <m/>
    <s v="CASTIGO"/>
    <n v="56999343435"/>
    <m/>
    <m/>
    <s v="acabello.05@gmail.com"/>
    <m/>
    <m/>
    <s v="SALAR DECARCOTE 10283"/>
    <s v="LA FLORIDA"/>
    <s v="REGION METROPOLITANA"/>
    <s v="10º Juzgado Civil de Santiago"/>
    <s v="C-16650-2024"/>
    <s v="EMBARGADO"/>
    <s v="MANTIENE"/>
    <m/>
    <m/>
    <m/>
    <m/>
    <s v="SI"/>
    <s v="ACTIVO"/>
    <s v="STZK87"/>
    <s v="BRILLIANCE"/>
    <s v="T30 1.5"/>
    <n v="2023"/>
  </r>
  <r>
    <n v="2762910"/>
    <n v="340"/>
    <m/>
    <n v="15253118"/>
    <m/>
    <s v="PHOENIX"/>
    <s v="JUDICIAL"/>
    <x v="1"/>
    <s v="0-365"/>
    <x v="0"/>
    <s v="COBRANZA"/>
    <x v="0"/>
    <m/>
    <n v="9369669"/>
    <n v="7"/>
    <s v="CARLOS ORLANDO PLAZA COLMAN"/>
    <m/>
    <n v="316.42"/>
    <d v="2025-01-05T00:00:00"/>
    <m/>
    <m/>
    <m/>
    <s v="TANNER"/>
    <m/>
    <n v="0"/>
    <n v="0"/>
    <m/>
    <m/>
    <n v="15253118"/>
    <m/>
    <s v="PLAN DE PAGO"/>
    <s v="PHOENIX"/>
    <m/>
    <s v="CASTIGO"/>
    <n v="992941506"/>
    <m/>
    <m/>
    <s v="CARLOSPIEZACOLMAN@GMAIL.COM"/>
    <m/>
    <m/>
    <s v="MANUEL MONTT"/>
    <s v="TIERRA AMARILLA"/>
    <s v="III REGION"/>
    <s v="11º Juzgado Civil de Santiago"/>
    <s v="C-15702-2024"/>
    <s v="EMBARGADO"/>
    <s v="MANTIENE"/>
    <m/>
    <m/>
    <m/>
    <m/>
    <s v="SI"/>
    <s v="ACTIVO"/>
    <s v="SDJY64"/>
    <s v="HAVAL"/>
    <s v="JOLION ACTIVE 1.5"/>
    <n v="2022"/>
  </r>
  <r>
    <n v="2764515"/>
    <n v="95"/>
    <m/>
    <n v="6725884"/>
    <m/>
    <s v="PHOENIX"/>
    <s v="JUDICIAL"/>
    <x v="1"/>
    <s v="0-365"/>
    <x v="0"/>
    <s v="COBRANZA"/>
    <x v="0"/>
    <s v="E"/>
    <n v="24025013"/>
    <n v="6"/>
    <s v="NATHALIE URIBE ZUNIGA"/>
    <m/>
    <n v="228.19800000000001"/>
    <d v="2026-01-01T00:00:00"/>
    <m/>
    <m/>
    <m/>
    <s v="TANNER"/>
    <m/>
    <n v="0"/>
    <n v="0"/>
    <m/>
    <m/>
    <n v="6725884"/>
    <m/>
    <m/>
    <m/>
    <m/>
    <s v="CASTIGO"/>
    <n v="988285711"/>
    <m/>
    <m/>
    <s v="FVU220118@GMAIL.COM"/>
    <m/>
    <m/>
    <s v="BALMACEDA"/>
    <m/>
    <m/>
    <s v="C-3923-2025"/>
    <s v="30º Juzgado Civil de Santiago"/>
    <s v="EMBARGADO"/>
    <s v="MANTIENE"/>
    <m/>
    <m/>
    <m/>
    <m/>
    <s v="SI"/>
    <s v="ACTIVO"/>
    <m/>
    <s v="NISSAN"/>
    <s v="QASHQAI 1.6"/>
    <n v="2019"/>
  </r>
  <r>
    <n v="2768727"/>
    <n v="248"/>
    <m/>
    <n v="8654891"/>
    <m/>
    <s v="PHOENIX"/>
    <s v="JUDICIAL"/>
    <x v="1"/>
    <s v="0-365"/>
    <x v="0"/>
    <s v="COBRANZA"/>
    <x v="0"/>
    <m/>
    <n v="18151055"/>
    <n v="2"/>
    <s v="CARLOS ANDRES SILVA LOPEZ"/>
    <m/>
    <n v="250.66499999999999"/>
    <d v="2025-01-08T00:00:00"/>
    <m/>
    <m/>
    <m/>
    <s v="TANNER"/>
    <m/>
    <n v="0"/>
    <n v="0"/>
    <m/>
    <m/>
    <n v="4853261"/>
    <m/>
    <m/>
    <m/>
    <m/>
    <s v="CASTIGO"/>
    <n v="982757098"/>
    <m/>
    <m/>
    <s v="CARLOS.SILVALOPEZ92@GMAIL.COM"/>
    <m/>
    <m/>
    <s v="JOAQUIN UNDURRAGA PARCELA"/>
    <s v="LAMPA"/>
    <s v="REGION METROPOLITANA"/>
    <s v="C-20318-2024"/>
    <s v="6º JUZGADO CIVIL DE SANTIAGO"/>
    <s v="GIRO CHEQUE"/>
    <s v="MANTIENE"/>
    <m/>
    <m/>
    <m/>
    <m/>
    <s v="SI"/>
    <s v="ACTIVO"/>
    <m/>
    <s v="SUZUKI"/>
    <s v="VITARA GLS 1.6"/>
    <n v="2021"/>
  </r>
  <r>
    <n v="2791167"/>
    <n v="309"/>
    <m/>
    <n v="12778445"/>
    <m/>
    <s v="PHOENIX"/>
    <s v="JUDICIAL"/>
    <x v="1"/>
    <s v="0-365"/>
    <x v="0"/>
    <s v="COBRANZA"/>
    <x v="0"/>
    <m/>
    <n v="11047578"/>
    <n v="0"/>
    <s v="PAULINA DEL CARMEN LEIVA REVESTRELLO"/>
    <m/>
    <n v="289.85300000000001"/>
    <d v="2025-01-06T00:00:00"/>
    <m/>
    <m/>
    <m/>
    <s v="TANNER"/>
    <m/>
    <n v="0"/>
    <n v="0"/>
    <m/>
    <m/>
    <n v="7967844"/>
    <m/>
    <m/>
    <m/>
    <m/>
    <s v="CASTIGO"/>
    <m/>
    <m/>
    <m/>
    <s v="paulinaleivarevestrello@gmail.com"/>
    <m/>
    <m/>
    <s v="CAPITAN ANDERSEN 446"/>
    <s v="LO PRADO"/>
    <s v="REGION METROPOLITANA"/>
    <s v="C-19084-2024"/>
    <s v="18º Juzgado Civil de Santiago"/>
    <s v="GIRO CHEQUE"/>
    <s v="MANTIENE"/>
    <m/>
    <m/>
    <m/>
    <m/>
    <s v="SI"/>
    <s v="ACTIVO"/>
    <s v="TDDY18"/>
    <s v="DFM"/>
    <s v="T5 EVO 1.5 TURBO LUXURY"/>
    <n v="2024"/>
  </r>
  <r>
    <n v="2793595"/>
    <n v="309"/>
    <m/>
    <n v="19891250"/>
    <m/>
    <s v="PHOENIX"/>
    <s v="JUDICIAL"/>
    <x v="1"/>
    <s v="0-365"/>
    <x v="0"/>
    <s v="COBRANZA"/>
    <x v="0"/>
    <m/>
    <n v="77192919"/>
    <n v="2"/>
    <s v="SALCA SPA"/>
    <m/>
    <n v="604.04899999999998"/>
    <d v="2025-01-06T00:00:00"/>
    <m/>
    <m/>
    <m/>
    <s v="TANNER"/>
    <m/>
    <n v="0"/>
    <n v="0"/>
    <m/>
    <m/>
    <n v="19891250"/>
    <m/>
    <m/>
    <m/>
    <m/>
    <s v="CASTIGO"/>
    <n v="944974587"/>
    <m/>
    <m/>
    <s v="PAGOS@SALCAMAQ.CL"/>
    <m/>
    <m/>
    <s v="1 SUR"/>
    <s v="TALCA"/>
    <s v="VII REGION"/>
    <s v="C-20492-2024 "/>
    <s v="4º Juzgado Civil de Santiago"/>
    <s v="EMBARGADO"/>
    <s v="MANTIENE"/>
    <m/>
    <m/>
    <m/>
    <m/>
    <s v="SI"/>
    <s v="ACTIVO"/>
    <m/>
    <s v="AUDI"/>
    <s v="Q7 3.0 T"/>
    <n v="2017"/>
  </r>
  <r>
    <n v="2811631"/>
    <n v="126"/>
    <m/>
    <n v="9297429"/>
    <m/>
    <s v="PHOENIX"/>
    <s v="JUDICIAL"/>
    <x v="1"/>
    <s v="0-365"/>
    <x v="0"/>
    <s v="COBRANZA"/>
    <x v="0"/>
    <m/>
    <n v="76818886"/>
    <n v="6"/>
    <s v="COMERCIAL RODA SPA"/>
    <m/>
    <n v="267.67899999999997"/>
    <d v="2025-01-12T00:00:00"/>
    <m/>
    <m/>
    <m/>
    <s v="TANNER"/>
    <m/>
    <n v="0"/>
    <n v="0"/>
    <m/>
    <m/>
    <n v="9297429"/>
    <m/>
    <m/>
    <m/>
    <m/>
    <s v="CASTIGO"/>
    <n v="941601649"/>
    <m/>
    <m/>
    <s v="VALESKAANDREA.LOPEZ@GMAIL.COM"/>
    <m/>
    <m/>
    <s v="PARQUE NACIONAL NAHUELBUTA"/>
    <s v="COQUIMBO"/>
    <s v="IV REGION"/>
    <s v="C-5502-2025"/>
    <s v="11º Juzgado Civil de Santiago"/>
    <s v="EMBARGADO"/>
    <s v="MANTIENE"/>
    <m/>
    <m/>
    <m/>
    <m/>
    <s v="SI"/>
    <s v="ACTIVO"/>
    <m/>
    <s v="MITSUBISHI"/>
    <s v="L200 WORK CR"/>
    <n v="2017"/>
  </r>
  <r>
    <n v="2811998"/>
    <n v="187"/>
    <m/>
    <n v="9900746"/>
    <m/>
    <s v="PHOENIX"/>
    <s v="JUDICIAL"/>
    <x v="1"/>
    <s v="0-365"/>
    <x v="0"/>
    <s v="COBRANZA"/>
    <x v="0"/>
    <m/>
    <n v="8481610"/>
    <n v="8"/>
    <s v="SERGIO DAMASO  DE LA FUENTE  MATAMALA"/>
    <m/>
    <n v="238.21"/>
    <d v="2025-01-10T00:00:00"/>
    <m/>
    <m/>
    <m/>
    <s v="CREDINISSAN"/>
    <m/>
    <n v="0"/>
    <n v="0"/>
    <m/>
    <m/>
    <n v="9900746"/>
    <m/>
    <m/>
    <m/>
    <m/>
    <s v="CASTIGO"/>
    <n v="963325072"/>
    <m/>
    <m/>
    <s v="SDDELAFUENTE@GMAIL.COM"/>
    <m/>
    <m/>
    <s v="LOS CASTAÑOS 981"/>
    <s v="LA SERENA"/>
    <s v="IV REGION"/>
    <s v="C-2591-2025"/>
    <s v="6º JUZGADO CIVIL DE SANTIAGO"/>
    <s v="INCAUTADO"/>
    <s v="MANTIENE"/>
    <m/>
    <m/>
    <m/>
    <m/>
    <s v="SI"/>
    <s v="ACTIVO"/>
    <m/>
    <s v="NISSAN"/>
    <s v="X-TRAIL SENSE CVT"/>
    <n v="2021"/>
  </r>
  <r>
    <n v="2872325"/>
    <n v="217"/>
    <m/>
    <n v="12727665"/>
    <m/>
    <s v="PHOENIX"/>
    <s v="JUDICIAL"/>
    <x v="1"/>
    <s v="0-365"/>
    <x v="0"/>
    <s v="COBRANZA"/>
    <x v="0"/>
    <m/>
    <n v="19514399"/>
    <n v="4"/>
    <s v="CECILIA ANDREA JIMÉNEZ RAMÍREZ"/>
    <m/>
    <n v="478.892"/>
    <d v="2025-01-09T00:00:00"/>
    <m/>
    <m/>
    <m/>
    <s v="TANNER"/>
    <m/>
    <n v="0"/>
    <n v="0"/>
    <m/>
    <m/>
    <n v="12727665"/>
    <m/>
    <m/>
    <m/>
    <m/>
    <s v="CASTIGO"/>
    <n v="927292591"/>
    <m/>
    <m/>
    <s v="jrcecilia.1996@gmail.com"/>
    <m/>
    <m/>
    <s v="DIAGONAL PARAGUAY 360 DEPTO 63"/>
    <s v="SANTIAGO"/>
    <s v="REGION METROPOLITANA"/>
    <s v="C-681-2025"/>
    <s v="20º Juzgado Civil de Santiago"/>
    <s v="INGRESADO"/>
    <s v="MANTIENE"/>
    <m/>
    <m/>
    <m/>
    <m/>
    <s v="NO"/>
    <s v="ACTIVO"/>
    <s v="GSDB50"/>
    <s v="MAZDA"/>
    <s v="NEW 6"/>
    <n v="2014"/>
  </r>
  <r>
    <n v="2872668"/>
    <n v="156"/>
    <m/>
    <n v="17431081"/>
    <m/>
    <s v="PHOENIX"/>
    <s v="JUDICIAL"/>
    <x v="1"/>
    <s v="0-365"/>
    <x v="0"/>
    <s v="COBRANZA"/>
    <x v="0"/>
    <m/>
    <n v="16260523"/>
    <n v="2"/>
    <s v="SERGIO ISAAC OCHOA MAYEA"/>
    <m/>
    <n v="510.81900000000002"/>
    <d v="2025-01-11T00:00:00"/>
    <m/>
    <m/>
    <m/>
    <s v="TANNER"/>
    <s v="DACIÓN"/>
    <n v="0"/>
    <n v="0"/>
    <m/>
    <m/>
    <n v="17431081"/>
    <m/>
    <m/>
    <m/>
    <m/>
    <s v="CASTIGO"/>
    <n v="971410925"/>
    <m/>
    <m/>
    <s v="sergio.ochoa.mayea@gmail.com"/>
    <m/>
    <m/>
    <s v="INDUSTRIA 380"/>
    <s v="CABILDO"/>
    <s v="V REGION"/>
    <s v="C-5516-2025"/>
    <s v="10º Juzgado Civil de Santiago"/>
    <s v="EMBARGADO"/>
    <s v="MANTIENE"/>
    <m/>
    <m/>
    <m/>
    <m/>
    <s v="SI"/>
    <s v="ACTIVO"/>
    <s v="SYRW13"/>
    <s v="MAZDA"/>
    <s v="3 CORE 2.0 AUT"/>
    <n v="2024"/>
  </r>
  <r>
    <n v="2873911"/>
    <n v="64"/>
    <m/>
    <n v="14567474"/>
    <m/>
    <s v="PHOENIX"/>
    <s v="JUDICIAL"/>
    <x v="1"/>
    <s v="0-365"/>
    <x v="0"/>
    <s v="COBRANZA"/>
    <x v="0"/>
    <s v="E"/>
    <n v="20054145"/>
    <n v="6"/>
    <s v="MELISSA RAIZA VEGA CATALAN"/>
    <m/>
    <n v="414.15"/>
    <d v="2026-01-02T00:00:00"/>
    <m/>
    <m/>
    <m/>
    <s v="TANNER"/>
    <s v="DACIÓN"/>
    <n v="0"/>
    <n v="0"/>
    <m/>
    <m/>
    <n v="14567474"/>
    <m/>
    <m/>
    <m/>
    <m/>
    <s v="CASTIGO"/>
    <n v="956317245"/>
    <m/>
    <m/>
    <s v="melissaraiza@gmail.com"/>
    <m/>
    <m/>
    <s v="CAMINO RINCONADA 2372"/>
    <s v="MAIPU"/>
    <s v="REGION METROPOLITANA"/>
    <s v="C-8328-2025"/>
    <s v="20º Juzgado Civil de Santiago"/>
    <s v="EMBARGADO"/>
    <s v="MANTIENE"/>
    <m/>
    <m/>
    <m/>
    <m/>
    <s v="SI"/>
    <s v="ACTIVO"/>
    <s v="THLT54"/>
    <s v="HYUNDAI"/>
    <s v="CRETA SU2ID 1.5 MT PLUS"/>
    <n v="2024"/>
  </r>
  <r>
    <n v="2879575"/>
    <n v="248"/>
    <m/>
    <n v="21853028"/>
    <m/>
    <s v="PHOENIX"/>
    <s v="JUDICIAL"/>
    <x v="1"/>
    <s v="0-365"/>
    <x v="0"/>
    <s v="COBRANZA"/>
    <x v="0"/>
    <m/>
    <n v="16744379"/>
    <n v="6"/>
    <s v="MANUEL IGNACIO REYES VALDÉS"/>
    <m/>
    <n v="553.26800000000003"/>
    <d v="2025-01-08T00:00:00"/>
    <m/>
    <m/>
    <m/>
    <s v="TANNER"/>
    <m/>
    <n v="0"/>
    <n v="0"/>
    <m/>
    <m/>
    <n v="21853028"/>
    <m/>
    <m/>
    <m/>
    <m/>
    <s v="CASTIGO"/>
    <n v="940170824"/>
    <m/>
    <m/>
    <s v="REYESVALDESIGNACIO@GMAIL.COM"/>
    <m/>
    <m/>
    <s v="AV VIRGINIA SUBERCASEAUX 4000 PARCELA"/>
    <s v="PIRQUE"/>
    <s v="REGION METROPOLITANA"/>
    <s v="C-20320-2024"/>
    <s v="29º Juzgado Civil de Santiago"/>
    <s v="INGRESADO"/>
    <s v="MANTIENE"/>
    <m/>
    <m/>
    <m/>
    <m/>
    <s v="NO"/>
    <s v="ACTIVO"/>
    <m/>
    <s v="MAZDA"/>
    <s v="ALL NEW BT 50 4X4 3.0 AUT"/>
    <n v="2022"/>
  </r>
  <r>
    <n v="2887545"/>
    <n v="0"/>
    <m/>
    <n v="5709645"/>
    <m/>
    <s v="PHOENIX"/>
    <s v="JUDICIAL"/>
    <x v="1"/>
    <s v="0-365"/>
    <x v="0"/>
    <s v="COBRANZA"/>
    <x v="1"/>
    <s v="E"/>
    <n v="10602886"/>
    <n v="9"/>
    <s v="VÍCTOR JOHNY URIBE MARILAF"/>
    <m/>
    <n v="466.94200000000001"/>
    <d v="2026-04-05T00:00:00"/>
    <m/>
    <m/>
    <m/>
    <s v="Dealer"/>
    <m/>
    <n v="0"/>
    <n v="0"/>
    <m/>
    <m/>
    <n v="5709645"/>
    <m/>
    <m/>
    <m/>
    <m/>
    <s v="CASTIGO"/>
    <n v="950129182"/>
    <m/>
    <m/>
    <s v="vuribem1967@gmail.com"/>
    <m/>
    <m/>
    <s v="PLAYA BLANCA 2535 CASA 2"/>
    <s v="IQUIQUE"/>
    <s v="I REGION"/>
    <s v="C-20310-2024"/>
    <s v="15º Juzgado Civil de Santiago"/>
    <s v="EMBARGADO"/>
    <s v="MANTIENE"/>
    <m/>
    <m/>
    <m/>
    <m/>
    <s v="SI"/>
    <s v="ACTIVO"/>
    <s v="TDKB44"/>
    <s v="HYUNDAI"/>
    <s v="GRAND STAREX"/>
    <n v="2015"/>
  </r>
  <r>
    <n v="2895886"/>
    <n v="156"/>
    <m/>
    <n v="10374206"/>
    <m/>
    <s v="PHOENIX"/>
    <s v="JUDICIAL"/>
    <x v="1"/>
    <s v="0-365"/>
    <x v="0"/>
    <s v="COBRANZA"/>
    <x v="0"/>
    <m/>
    <n v="25456204"/>
    <n v="1"/>
    <s v="ARMANDO JOSE  VELASQUEZ  ORSINI"/>
    <m/>
    <n v="317.08499999999998"/>
    <d v="2025-01-11T00:00:00"/>
    <m/>
    <m/>
    <m/>
    <s v="CREDINISSAN"/>
    <m/>
    <n v="0"/>
    <n v="0"/>
    <m/>
    <m/>
    <n v="10374206"/>
    <m/>
    <m/>
    <m/>
    <m/>
    <s v="CASTIGO"/>
    <n v="946521331"/>
    <m/>
    <m/>
    <s v="ARMANDOVELASQUEZO@GMAIL.COM"/>
    <m/>
    <m/>
    <s v="PASAJE SANTA CARMEN 02742"/>
    <s v="PUENTE ALTO"/>
    <s v="REGION METROPOLITANA"/>
    <s v="C-683-2025"/>
    <s v="23º Juzgado Civil de Santiago"/>
    <s v="EMBARGADO"/>
    <s v="MANTIENE"/>
    <m/>
    <m/>
    <m/>
    <m/>
    <s v="SI"/>
    <s v="ACTIVO"/>
    <m/>
    <s v="NISSAN"/>
    <s v="KICKS EXCLUSIVE CVT"/>
    <n v="2021"/>
  </r>
  <r>
    <n v="2924242"/>
    <n v="64"/>
    <m/>
    <n v="2184677"/>
    <m/>
    <s v="PHOENIX"/>
    <s v="JUDICIAL"/>
    <x v="1"/>
    <s v="0-365"/>
    <x v="0"/>
    <s v="COBRANZA"/>
    <x v="0"/>
    <s v="E"/>
    <n v="17329518"/>
    <n v="9"/>
    <s v="VALERIA DE CARMEN ILNAO VARGAS"/>
    <m/>
    <n v="198.607"/>
    <d v="2026-01-02T00:00:00"/>
    <m/>
    <m/>
    <m/>
    <s v="TANNER"/>
    <s v="DACIÓN"/>
    <n v="0"/>
    <n v="0"/>
    <m/>
    <m/>
    <n v="2184677"/>
    <m/>
    <m/>
    <m/>
    <m/>
    <s v="CASTIGO"/>
    <n v="968333562"/>
    <m/>
    <m/>
    <s v="VALERIAILNAO73@GMAIL.COM"/>
    <m/>
    <m/>
    <s v="CALLE PROYECTADA 870 BLOB B"/>
    <s v="PUNTA ARENAS"/>
    <s v="XII REGION"/>
    <s v="C-6721-2025"/>
    <s v="13º Juzgado Civil de Santiago"/>
    <s v="INGRESADO"/>
    <s v="MANTIENE"/>
    <m/>
    <m/>
    <m/>
    <m/>
    <s v="NO"/>
    <s v="ACTIVO"/>
    <s v="RRGH87"/>
    <s v="CHEVROLET"/>
    <s v="ORLANDO"/>
    <n v="2012"/>
  </r>
  <r>
    <n v="2930448"/>
    <n v="126"/>
    <m/>
    <n v="15322216"/>
    <m/>
    <s v="PHOENIX"/>
    <s v="JUDICIAL"/>
    <x v="1"/>
    <s v="0-365"/>
    <x v="0"/>
    <s v="COBRANZA"/>
    <x v="0"/>
    <m/>
    <n v="14505314"/>
    <n v="5"/>
    <s v="MARISEL JEANNETTE MILLAQUÉN URIBE"/>
    <m/>
    <n v="321.94499999999999"/>
    <d v="2025-01-12T00:00:00"/>
    <m/>
    <m/>
    <m/>
    <s v="TANNER"/>
    <s v="DACIÓN"/>
    <n v="0"/>
    <n v="0"/>
    <m/>
    <m/>
    <n v="15322216"/>
    <m/>
    <m/>
    <m/>
    <m/>
    <s v="CASTIGO"/>
    <n v="986423239"/>
    <m/>
    <m/>
    <s v="MARISEL.MILLAQUEN@GMAIL.COM"/>
    <m/>
    <m/>
    <s v="LOLCURA SN"/>
    <m/>
    <m/>
    <s v="8º Juzgado Civil de Santiago"/>
    <s v="C-15708-2024"/>
    <s v="EMBARGADO"/>
    <s v="MANTIENE"/>
    <m/>
    <m/>
    <m/>
    <m/>
    <s v="SI"/>
    <s v="ACTIVO"/>
    <s v="STPP87"/>
    <s v="JAC"/>
    <s v="T8 DC 2.0"/>
    <n v="2023"/>
  </r>
  <r>
    <n v="2933440"/>
    <n v="340"/>
    <m/>
    <n v="21874712"/>
    <m/>
    <s v="PHOENIX"/>
    <s v="JUDICIAL"/>
    <x v="1"/>
    <s v="0-365"/>
    <x v="0"/>
    <s v="COBRANZA"/>
    <x v="0"/>
    <m/>
    <n v="6951673"/>
    <n v="4"/>
    <s v="CARLOS ENRIQUE ORELLANA ARAYA"/>
    <m/>
    <n v="571"/>
    <d v="2025-01-05T00:00:00"/>
    <m/>
    <m/>
    <m/>
    <s v="TANNER"/>
    <m/>
    <n v="0"/>
    <n v="0"/>
    <m/>
    <m/>
    <n v="21874712"/>
    <m/>
    <m/>
    <m/>
    <m/>
    <s v="CASTIGO"/>
    <n v="976755392"/>
    <m/>
    <m/>
    <s v="claudiaalvarez197400@gmail.com"/>
    <m/>
    <m/>
    <s v="LAS CLARISAS 2070"/>
    <s v="LA FLORIDA"/>
    <s v="REGION METROPOLITANA"/>
    <s v="26º Juzgado Civil de Santiago"/>
    <s v="C-15709-2024"/>
    <s v="INGRESADO"/>
    <s v="MANTIENE"/>
    <m/>
    <m/>
    <m/>
    <m/>
    <s v="NO"/>
    <s v="ACTIVO"/>
    <s v="TGRP96"/>
    <s v="CHANGAN"/>
    <s v="UNIT ELITE 1.5 AUT"/>
    <n v="2024"/>
  </r>
  <r>
    <n v="2942690"/>
    <n v="340"/>
    <m/>
    <n v="12943322"/>
    <m/>
    <s v="PHOENIX"/>
    <s v="JUDICIAL"/>
    <x v="1"/>
    <s v="0-365"/>
    <x v="0"/>
    <s v="COBRANZA"/>
    <x v="0"/>
    <m/>
    <n v="12408989"/>
    <n v="1"/>
    <s v="MAURICIO LUCIANO MORÁN MUJICA"/>
    <m/>
    <n v="302.291"/>
    <d v="2025-01-05T00:00:00"/>
    <m/>
    <m/>
    <m/>
    <s v="TANNER"/>
    <m/>
    <n v="0"/>
    <n v="0"/>
    <m/>
    <m/>
    <n v="12943322"/>
    <m/>
    <m/>
    <m/>
    <m/>
    <s v="CASTIGO"/>
    <n v="949527270"/>
    <m/>
    <m/>
    <s v="RICIOMORAN@LIVE.CL"/>
    <m/>
    <m/>
    <s v="LOS LEONES 220 DPTO"/>
    <m/>
    <m/>
    <s v="16º Juzgado Civil de Santiago"/>
    <s v="C-15703-2024"/>
    <s v="EMBARGADO"/>
    <s v="MANTIENE"/>
    <m/>
    <m/>
    <m/>
    <m/>
    <s v="SI"/>
    <s v="ACTIVO"/>
    <m/>
    <s v="MAZDA"/>
    <s v="3  1.6"/>
    <n v="2017"/>
  </r>
  <r>
    <n v="2957432"/>
    <n v="95"/>
    <m/>
    <n v="6324796"/>
    <m/>
    <s v="PHOENIX"/>
    <s v="JUDICIAL"/>
    <x v="1"/>
    <s v="0-365"/>
    <x v="0"/>
    <s v="COBRANZA"/>
    <x v="0"/>
    <s v="E"/>
    <n v="9499422"/>
    <n v="5"/>
    <s v="JUAN ANGEL CARRERA GONZÁLEZ"/>
    <m/>
    <n v="200.17599999999999"/>
    <d v="2026-01-01T00:00:00"/>
    <m/>
    <m/>
    <m/>
    <s v="TANNER"/>
    <s v="DACIÓN"/>
    <n v="0"/>
    <n v="0"/>
    <m/>
    <m/>
    <n v="6324796"/>
    <m/>
    <m/>
    <m/>
    <m/>
    <s v="CASTIGO"/>
    <n v="954966744"/>
    <n v="954966744"/>
    <m/>
    <s v="jonhcarr@hotmail.com"/>
    <m/>
    <m/>
    <s v="JULIO MARTINEZ PRADANOS 1355 DEPTO 513"/>
    <s v="INDEPENDENCIA"/>
    <s v="REGION METROPOLITANA"/>
    <s v="C-3916-2025"/>
    <s v="18º Juzgado Civil de Santiago"/>
    <s v="EMBARGADO"/>
    <s v="MANTIENE"/>
    <m/>
    <m/>
    <m/>
    <m/>
    <s v="SI"/>
    <s v="ACTIVO"/>
    <s v="LDRR53"/>
    <s v="PEUGEOT"/>
    <s v="NUEVA PARTNER HDI 1.6"/>
    <n v="2019"/>
  </r>
  <r>
    <n v="2959119"/>
    <n v="95"/>
    <m/>
    <n v="6731141"/>
    <m/>
    <s v="PHOENIX"/>
    <s v="JUDICIAL"/>
    <x v="1"/>
    <s v="0-365"/>
    <x v="0"/>
    <s v="COBRANZA"/>
    <x v="0"/>
    <s v="E"/>
    <n v="19898341"/>
    <n v="1"/>
    <s v="CHRISTOPHER ROMMEL SANTOS ANCO"/>
    <m/>
    <n v="184.41499999999999"/>
    <d v="2026-01-01T00:00:00"/>
    <m/>
    <m/>
    <m/>
    <s v="TANNER"/>
    <m/>
    <n v="0"/>
    <n v="0"/>
    <m/>
    <m/>
    <n v="6731141"/>
    <m/>
    <m/>
    <m/>
    <m/>
    <s v="CASTIGO"/>
    <n v="957301208"/>
    <m/>
    <m/>
    <s v="CHRISSANTOSV@GMAIL.COM"/>
    <m/>
    <m/>
    <s v="PASAJE DIEZ"/>
    <s v="LA FLORIDA"/>
    <s v="REGION METROPOLITANA"/>
    <s v="C-2592-2025"/>
    <s v="15º Juzgado Civil de Santiago"/>
    <s v="EMBARGADO"/>
    <s v="MANTIENE"/>
    <m/>
    <m/>
    <m/>
    <m/>
    <s v="SI"/>
    <s v="ACTIVO"/>
    <m/>
    <s v="SUZUKI"/>
    <s v="BALENO GLX HB 1.4"/>
    <n v="2022"/>
  </r>
  <r>
    <n v="2960003"/>
    <n v="309"/>
    <m/>
    <n v="25392714"/>
    <m/>
    <s v="PHOENIX"/>
    <s v="JUDICIAL"/>
    <x v="1"/>
    <s v="0-365"/>
    <x v="0"/>
    <s v="COBRANZA"/>
    <x v="0"/>
    <m/>
    <n v="13492280"/>
    <s v="K"/>
    <s v="CLAUDIO ANDRES TAPIA QUEZADA"/>
    <m/>
    <n v="627.63699999999994"/>
    <d v="2025-01-06T00:00:00"/>
    <m/>
    <m/>
    <m/>
    <s v="TANNER"/>
    <m/>
    <n v="0"/>
    <n v="0"/>
    <m/>
    <m/>
    <n v="25392714"/>
    <m/>
    <m/>
    <m/>
    <m/>
    <s v="CASTIGO"/>
    <n v="989813352"/>
    <m/>
    <m/>
    <s v="chicotapiaquezada43@gmail.com"/>
    <m/>
    <m/>
    <s v="LOS HUSARES 1486"/>
    <s v="QUILICURA"/>
    <s v="REGION METROPOLITANA"/>
    <s v="3º Juzgado Civil de Santiago"/>
    <s v="C-16655-2024"/>
    <s v="EMBARGADO"/>
    <s v="MANTIENE"/>
    <m/>
    <m/>
    <m/>
    <m/>
    <s v="SI"/>
    <s v="ACTIVO"/>
    <s v="TKDC78"/>
    <s v="CHANGAN"/>
    <s v="UNIT ELITE"/>
    <n v="2024"/>
  </r>
  <r>
    <n v="2974045"/>
    <n v="279"/>
    <m/>
    <n v="13891343"/>
    <m/>
    <s v="PHOENIX"/>
    <s v="JUDICIAL"/>
    <x v="1"/>
    <s v="0-365"/>
    <x v="0"/>
    <s v="COBRANZA"/>
    <x v="0"/>
    <m/>
    <n v="77436846"/>
    <n v="9"/>
    <s v="SOCIEDAD DE SERVICIOS DEDES SEPULVEDA SPA"/>
    <m/>
    <n v="636.17200000000003"/>
    <d v="2025-01-07T00:00:00"/>
    <m/>
    <m/>
    <m/>
    <s v="TANNER"/>
    <s v="DACIÓN"/>
    <n v="0"/>
    <n v="0"/>
    <m/>
    <m/>
    <n v="13891343"/>
    <m/>
    <m/>
    <m/>
    <m/>
    <s v="CASTIGO"/>
    <n v="978000861"/>
    <m/>
    <m/>
    <s v="Sepulvedaaniuska@gmail.com"/>
    <m/>
    <m/>
    <s v="LAS ORILLAS S/N CAMINO LAS ORILLAS KM 1460"/>
    <s v="LINARES"/>
    <s v="VII REGION"/>
    <s v="C-19070-2024"/>
    <s v="22º Juzgado Civil de Santiago"/>
    <s v="EMBARGADO"/>
    <s v="MANTIENE"/>
    <m/>
    <m/>
    <m/>
    <m/>
    <s v="SI"/>
    <s v="ACTIVO"/>
    <s v="HLYR49"/>
    <s v="JAC"/>
    <s v="SUNRAY"/>
    <n v="2016"/>
  </r>
  <r>
    <n v="2975455"/>
    <n v="64"/>
    <m/>
    <n v="5130013"/>
    <m/>
    <s v="PHOENIX"/>
    <s v="JUDICIAL"/>
    <x v="1"/>
    <s v="0-365"/>
    <x v="0"/>
    <s v="COBRANZA"/>
    <x v="0"/>
    <s v="E"/>
    <n v="15175277"/>
    <n v="2"/>
    <s v="MARCELO RODRIGO ROJAS LANDAETA"/>
    <m/>
    <n v="156.59299999999999"/>
    <d v="2026-01-02T00:00:00"/>
    <m/>
    <m/>
    <m/>
    <s v="TANNER"/>
    <m/>
    <n v="0"/>
    <n v="0"/>
    <m/>
    <m/>
    <n v="5130013"/>
    <m/>
    <m/>
    <m/>
    <m/>
    <s v="CASTIGO"/>
    <n v="957823016"/>
    <n v="957823016"/>
    <m/>
    <s v="MARCELO200631@GMAIL.COM"/>
    <m/>
    <m/>
    <s v="PASAJE ISAAC VARAS"/>
    <s v="LA SERENA"/>
    <s v="IV REGION"/>
    <s v="C-6750-2025"/>
    <s v="7º Juzgado Civil de Santiago"/>
    <s v="REMATADO"/>
    <s v="MANTIENE"/>
    <m/>
    <m/>
    <m/>
    <m/>
    <s v="SI"/>
    <s v="ACTIVO"/>
    <s v="PZZY68"/>
    <s v="CHANGAN"/>
    <s v="CX 70"/>
    <n v="2021"/>
  </r>
  <r>
    <n v="2984397"/>
    <n v="217"/>
    <m/>
    <n v="7543017"/>
    <m/>
    <s v="PHOENIX"/>
    <s v="JUDICIAL"/>
    <x v="1"/>
    <s v="0-365"/>
    <x v="0"/>
    <s v="COBRANZA"/>
    <x v="0"/>
    <m/>
    <n v="26178249"/>
    <n v="9"/>
    <s v="EDWIN ALBERTO SALINAS LEON"/>
    <m/>
    <n v="211.36"/>
    <d v="2025-01-09T00:00:00"/>
    <m/>
    <m/>
    <m/>
    <s v="TANNER"/>
    <m/>
    <n v="0"/>
    <n v="0"/>
    <m/>
    <m/>
    <n v="7543017"/>
    <m/>
    <m/>
    <m/>
    <m/>
    <s v="CASTIGO"/>
    <n v="996786873"/>
    <m/>
    <m/>
    <s v="EDWINSALINAS9102@GMAIL.COM"/>
    <m/>
    <m/>
    <s v="MARIN"/>
    <m/>
    <m/>
    <s v="C-22134-2024"/>
    <s v="4º Juzgado Civil de Santiago"/>
    <s v="EMBARGADO"/>
    <s v="MANTIENE"/>
    <m/>
    <m/>
    <m/>
    <m/>
    <s v="SI"/>
    <s v="ACTIVO"/>
    <m/>
    <s v="SUZUKI"/>
    <s v="SWIFT 1.2"/>
    <n v="2022"/>
  </r>
  <r>
    <n v="2994448"/>
    <n v="279"/>
    <m/>
    <n v="9026755"/>
    <m/>
    <s v="PHOENIX"/>
    <s v="JUDICIAL"/>
    <x v="1"/>
    <s v="0-365"/>
    <x v="0"/>
    <s v="COBRANZA"/>
    <x v="0"/>
    <m/>
    <n v="17329047"/>
    <n v="0"/>
    <s v="FÉLIX ANDRÉS BRAVO REBOLLEDO"/>
    <m/>
    <n v="249.54"/>
    <d v="2025-01-07T00:00:00"/>
    <m/>
    <m/>
    <m/>
    <s v="TANNER"/>
    <s v="DACIÓN"/>
    <n v="0"/>
    <n v="0"/>
    <m/>
    <m/>
    <n v="9026755"/>
    <m/>
    <m/>
    <m/>
    <m/>
    <s v="CASTIGO"/>
    <n v="963733673"/>
    <m/>
    <m/>
    <s v="felixbravo7@gmail.com"/>
    <m/>
    <m/>
    <s v="AV BALMACEDA 68"/>
    <s v="CURICO"/>
    <s v="VII REGION"/>
    <s v="C-19084-2024"/>
    <s v="23º Juzgado Civil de Santiago"/>
    <s v="INGRESADO"/>
    <s v="MANTIENE"/>
    <m/>
    <m/>
    <m/>
    <m/>
    <s v="NO"/>
    <s v="ACTIVO"/>
    <s v="HTZZ25"/>
    <s v="NISSAN"/>
    <s v="QASHQAI"/>
    <n v="2016"/>
  </r>
  <r>
    <n v="3018111"/>
    <n v="156"/>
    <m/>
    <n v="7956679"/>
    <m/>
    <s v="PHOENIX"/>
    <s v="JUDICIAL"/>
    <x v="1"/>
    <s v="0-365"/>
    <x v="0"/>
    <s v="COBRANZA"/>
    <x v="0"/>
    <m/>
    <n v="19064959"/>
    <n v="8"/>
    <s v="LUIS ALBERTO ARAVENA CANCINO"/>
    <m/>
    <n v="259.42099999999999"/>
    <d v="2025-01-11T00:00:00"/>
    <m/>
    <m/>
    <m/>
    <s v="TANNER"/>
    <m/>
    <n v="0"/>
    <n v="0"/>
    <m/>
    <m/>
    <n v="7956679"/>
    <m/>
    <m/>
    <m/>
    <m/>
    <s v="CASTIGO"/>
    <n v="931456047"/>
    <m/>
    <m/>
    <s v="LUISAARAVENAVENAC@GMAIL.COM"/>
    <m/>
    <m/>
    <s v="CAMINO LO PINTO LAS GARZAS 2 PARCELA"/>
    <s v="LO PRADO"/>
    <s v="REGION METROPOLITANA"/>
    <s v="C-2588-2025"/>
    <s v="19º Juzgado Civil de Santiago"/>
    <s v="INGRESADO"/>
    <s v="MANTIENE"/>
    <m/>
    <m/>
    <m/>
    <m/>
    <s v="NO"/>
    <s v="ACTIVO"/>
    <m/>
    <s v="JAC"/>
    <s v="T8 XE ADVANCE 2.0"/>
    <n v="2021"/>
  </r>
  <r>
    <n v="3023630"/>
    <n v="217"/>
    <m/>
    <n v="6008596"/>
    <m/>
    <s v="PHOENIX"/>
    <s v="JUDICIAL"/>
    <x v="1"/>
    <s v="0-365"/>
    <x v="0"/>
    <s v="COBRANZA"/>
    <x v="0"/>
    <m/>
    <n v="18590183"/>
    <n v="1"/>
    <s v="CRISTIAN ANTONIO CONTRERAS HUECHANTE"/>
    <m/>
    <n v="134.518"/>
    <d v="2025-01-09T00:00:00"/>
    <m/>
    <m/>
    <m/>
    <s v="TANNER"/>
    <m/>
    <n v="0"/>
    <n v="0"/>
    <m/>
    <m/>
    <n v="6008596"/>
    <m/>
    <m/>
    <m/>
    <m/>
    <s v="CASTIGO"/>
    <n v="981782252"/>
    <m/>
    <m/>
    <s v="CONTRERASCRISTIAN.H@GMAIL.COM"/>
    <m/>
    <m/>
    <s v="NICARAGUA"/>
    <m/>
    <s v="XIV REGION"/>
    <s v="C-22144-2024"/>
    <s v="20º Juzgado Civil de Santiago"/>
    <s v="EMBARGADO"/>
    <s v="MANTIENE"/>
    <m/>
    <m/>
    <m/>
    <m/>
    <s v="SI"/>
    <s v="ACTIVO"/>
    <m/>
    <s v="RENAULT"/>
    <s v="SYMBOL ZEN 1.6"/>
    <n v="2021"/>
  </r>
  <r>
    <n v="3024161"/>
    <n v="156"/>
    <m/>
    <n v="2427639"/>
    <m/>
    <s v="PHOENIX"/>
    <s v="JUDICIAL"/>
    <x v="1"/>
    <s v="0-365"/>
    <x v="0"/>
    <s v="COBRANZA"/>
    <x v="0"/>
    <m/>
    <n v="14252587"/>
    <n v="9"/>
    <s v="EUGENIO ALFREDO FIGUEROA CATALAN"/>
    <m/>
    <n v="110.155"/>
    <d v="2025-01-11T00:00:00"/>
    <m/>
    <m/>
    <m/>
    <s v="TANNER"/>
    <m/>
    <n v="0"/>
    <n v="0"/>
    <m/>
    <m/>
    <n v="2427639"/>
    <m/>
    <m/>
    <m/>
    <m/>
    <s v="CASTIGO"/>
    <n v="962782435"/>
    <m/>
    <m/>
    <s v="FIGUEROACATALAN22@GMAIL.COM"/>
    <m/>
    <m/>
    <s v="PARCELA LAS VEGAS P8 LA GLORIETA"/>
    <s v="EL BOSQUE"/>
    <s v="REGION METROPOLITANA"/>
    <s v="C-2589-2025"/>
    <s v="22º Juzgado Civil de Santiago"/>
    <s v="INGRESADO"/>
    <s v="MANTIENE"/>
    <m/>
    <m/>
    <m/>
    <m/>
    <s v="NO"/>
    <s v="ACTIVO"/>
    <m/>
    <s v="SUZUKI"/>
    <s v="SWIFT 1.2"/>
    <n v="2019"/>
  </r>
  <r>
    <n v="3033201"/>
    <n v="95"/>
    <m/>
    <n v="9131337"/>
    <m/>
    <s v="PHOENIX"/>
    <s v="JUDICIAL"/>
    <x v="1"/>
    <s v="0-365"/>
    <x v="0"/>
    <s v="COBRANZA"/>
    <x v="0"/>
    <s v="E"/>
    <n v="12008530"/>
    <n v="1"/>
    <s v="PABLO ARIEL MELLADO HUERTA"/>
    <m/>
    <n v="313.78899999999999"/>
    <d v="2026-01-01T00:00:00"/>
    <m/>
    <m/>
    <m/>
    <s v="TANNER"/>
    <m/>
    <n v="0"/>
    <n v="0"/>
    <m/>
    <m/>
    <n v="9131337"/>
    <m/>
    <m/>
    <m/>
    <m/>
    <s v="CASTIGO"/>
    <n v="940236335"/>
    <n v="940236335"/>
    <m/>
    <s v="PABLOMELLADOHUERTA@GMAIL.COM"/>
    <s v="pabloarielmelladohuerta@gmail.com"/>
    <m/>
    <s v="PISAGUA"/>
    <s v="CHIMBARONGO"/>
    <s v="VI REGION"/>
    <s v="C-22142-2024"/>
    <s v="27º Juzgado Civil de Santiago"/>
    <s v="EMBARGADO"/>
    <s v="MANTIENE"/>
    <m/>
    <m/>
    <m/>
    <m/>
    <s v="SI"/>
    <s v="ACTIVO"/>
    <m/>
    <s v="FORD"/>
    <s v="EXPLORER 2.3 AT LIMITED"/>
    <n v="2019"/>
  </r>
  <r>
    <n v="3033614"/>
    <n v="279"/>
    <m/>
    <n v="9235537"/>
    <m/>
    <s v="PHOENIX"/>
    <s v="JUDICIAL"/>
    <x v="1"/>
    <s v="0-365"/>
    <x v="0"/>
    <s v="COBRANZA"/>
    <x v="0"/>
    <m/>
    <n v="18763987"/>
    <n v="5"/>
    <s v="ALEJANDRO ANDRÉS PASTENES PASTENES"/>
    <m/>
    <n v="310.23599999999999"/>
    <d v="2025-01-07T00:00:00"/>
    <m/>
    <m/>
    <m/>
    <s v="TANNER"/>
    <m/>
    <n v="0"/>
    <n v="0"/>
    <m/>
    <m/>
    <n v="9235537"/>
    <m/>
    <m/>
    <m/>
    <m/>
    <s v="CASTIGO"/>
    <n v="978301493"/>
    <m/>
    <m/>
    <s v="pastenesalejandroandres@gmail.com"/>
    <m/>
    <m/>
    <s v="MERCEDES REYES DE CERVERO 5057"/>
    <s v="LAMPA"/>
    <s v="REGION METROPOLITANA"/>
    <s v="C-19077-2024"/>
    <s v="27º Juzgado Civil de Santiago"/>
    <s v="INGRESADO"/>
    <s v="MANTIENE"/>
    <m/>
    <m/>
    <m/>
    <m/>
    <s v="NO"/>
    <s v="ACTIVO"/>
    <s v="GFBL94"/>
    <s v="HYUNDAI"/>
    <s v="ELANTRA"/>
    <n v="2014"/>
  </r>
  <r>
    <n v="3048075"/>
    <n v="156"/>
    <m/>
    <n v="6301684"/>
    <m/>
    <s v="PHOENIX"/>
    <s v="JUDICIAL"/>
    <x v="1"/>
    <s v="0-365"/>
    <x v="0"/>
    <s v="COBRANZA"/>
    <x v="0"/>
    <m/>
    <n v="18582115"/>
    <n v="3"/>
    <s v="DIEGO IGNACIO VEGA ARMIJO"/>
    <m/>
    <n v="211.27099999999999"/>
    <d v="2025-01-11T00:00:00"/>
    <m/>
    <m/>
    <m/>
    <s v="TANNER"/>
    <m/>
    <n v="0"/>
    <n v="0"/>
    <m/>
    <m/>
    <n v="6301684"/>
    <m/>
    <m/>
    <m/>
    <m/>
    <s v="CASTIGO"/>
    <n v="949456259"/>
    <m/>
    <m/>
    <s v="DIEGOVEGA.DVA@GMAIL.COM"/>
    <m/>
    <m/>
    <s v="CALLE LONGOTOMA"/>
    <s v="LA LIGUA"/>
    <s v="V REGION"/>
    <s v="C-3918-2025"/>
    <s v="14º Juzgado Civil de Santiago"/>
    <s v="EMBARGADO"/>
    <s v="MANTIENE"/>
    <m/>
    <m/>
    <m/>
    <m/>
    <s v="SI"/>
    <s v="ACTIVO"/>
    <m/>
    <s v="PEUGEOT"/>
    <s v="208 ALLURE 1.6 E-HDI"/>
    <n v="2016"/>
  </r>
  <r>
    <n v="3052601"/>
    <n v="248"/>
    <m/>
    <n v="28194778"/>
    <m/>
    <s v="PHOENIX"/>
    <s v="JUDICIAL"/>
    <x v="1"/>
    <s v="0-365"/>
    <x v="0"/>
    <s v="COBRANZA"/>
    <x v="0"/>
    <m/>
    <n v="26929191"/>
    <n v="5"/>
    <s v="NOELIA MARGARITA CHALO"/>
    <m/>
    <n v="763.67899999999997"/>
    <d v="2025-01-08T00:00:00"/>
    <m/>
    <m/>
    <m/>
    <s v="TANNER"/>
    <m/>
    <n v="0"/>
    <n v="0"/>
    <m/>
    <m/>
    <n v="28194778"/>
    <m/>
    <m/>
    <m/>
    <m/>
    <s v="CASTIGO"/>
    <n v="979783428"/>
    <m/>
    <m/>
    <s v="noeliamchalo@hotmail.com"/>
    <m/>
    <m/>
    <s v="AVENIDA PUNTA NOGALES 1384"/>
    <s v="HUECHURABA"/>
    <s v="REGION METROPOLITANA"/>
    <s v="C-20321-2024"/>
    <s v="13º Juzgado Civil de Santiago"/>
    <s v="EMBARGADO"/>
    <s v="MANTIENE"/>
    <m/>
    <m/>
    <m/>
    <m/>
    <s v="SI"/>
    <s v="ACTIVO"/>
    <s v="RKJL71"/>
    <s v="MAZDA"/>
    <s v="NEW CX-5"/>
    <n v="2022"/>
  </r>
  <r>
    <n v="3052978"/>
    <n v="1"/>
    <m/>
    <n v="14420891"/>
    <m/>
    <s v="PHOENIX"/>
    <s v="JUDICIAL"/>
    <x v="1"/>
    <s v="0-365"/>
    <x v="0"/>
    <s v="COBRANZA"/>
    <x v="0"/>
    <s v="E"/>
    <n v="14398506"/>
    <n v="7"/>
    <s v="JORGE ANSELMO SANCHEZ VILLARROEL"/>
    <m/>
    <n v="366.13200000000001"/>
    <d v="2026-01-03T00:00:00"/>
    <m/>
    <m/>
    <m/>
    <s v="TANNER"/>
    <s v="DACIÓN"/>
    <n v="0"/>
    <n v="0"/>
    <m/>
    <m/>
    <n v="14420891"/>
    <m/>
    <m/>
    <m/>
    <m/>
    <s v="CASTIGO"/>
    <n v="998143296"/>
    <m/>
    <m/>
    <s v="jorsavi29@gmail.com"/>
    <m/>
    <m/>
    <s v="OSCAR BONILLA 9211"/>
    <s v="ANTOFAGASTA"/>
    <s v="II REGION"/>
    <s v="C-3908-2025"/>
    <s v="28º Juzgado Civil de Santiago"/>
    <s v="EMBARGADO"/>
    <s v="MANTIENE"/>
    <m/>
    <m/>
    <m/>
    <m/>
    <s v="SI"/>
    <s v="ACTIVO"/>
    <s v="TJCV48"/>
    <s v="GREAT WALL"/>
    <s v="POER 4X2 MT 2.0"/>
    <n v="2024"/>
  </r>
  <r>
    <n v="3101591"/>
    <n v="187"/>
    <m/>
    <n v="5397065"/>
    <m/>
    <s v="PHOENIX"/>
    <s v="JUDICIAL"/>
    <x v="1"/>
    <s v="0-365"/>
    <x v="0"/>
    <s v="COBRANZA"/>
    <x v="0"/>
    <m/>
    <n v="12522459"/>
    <n v="8"/>
    <s v="GLORIA ALEJANDRA MUOZ IBACACHE"/>
    <m/>
    <n v="189.39400000000001"/>
    <d v="2025-01-10T00:00:00"/>
    <m/>
    <m/>
    <m/>
    <s v="TANNER"/>
    <m/>
    <n v="0"/>
    <n v="0"/>
    <m/>
    <m/>
    <n v="5397065"/>
    <m/>
    <m/>
    <m/>
    <m/>
    <s v="CASTIGO"/>
    <n v="957255253"/>
    <m/>
    <m/>
    <s v="GLORIA.MUNOZ.I@GMAIL.COM"/>
    <m/>
    <m/>
    <s v="TIMBAL"/>
    <s v="SANTIAGO"/>
    <s v="REGION METROPOLITANA"/>
    <s v="C-680-2025"/>
    <s v="20º Juzgado Civil de Santiago"/>
    <s v="INGRESADO"/>
    <s v="MANTIENE"/>
    <m/>
    <m/>
    <m/>
    <m/>
    <s v="NO"/>
    <s v="ACTIVO"/>
    <m/>
    <s v="GREAT WALL"/>
    <s v="WINGLE 5 2.2"/>
    <n v="2022"/>
  </r>
  <r>
    <n v="3111100"/>
    <n v="126"/>
    <m/>
    <n v="16502517"/>
    <m/>
    <s v="PHOENIX"/>
    <s v="JUDICIAL"/>
    <x v="1"/>
    <s v="0-365"/>
    <x v="0"/>
    <s v="COBRANZA"/>
    <x v="0"/>
    <m/>
    <n v="17069258"/>
    <n v="6"/>
    <s v="TAMARA SCARLET SOTO VALLEJOS"/>
    <m/>
    <n v="427.88600000000002"/>
    <d v="2025-01-12T00:00:00"/>
    <m/>
    <m/>
    <m/>
    <s v="TANNER"/>
    <m/>
    <n v="0"/>
    <n v="0"/>
    <m/>
    <m/>
    <n v="16502517"/>
    <m/>
    <m/>
    <m/>
    <m/>
    <s v="CASTIGO"/>
    <m/>
    <m/>
    <m/>
    <s v="ttamy.1988@gmail.com"/>
    <m/>
    <m/>
    <s v="Av José Manuel balmaceda 5169"/>
    <s v="RENCA"/>
    <s v="REGION METROPOLITANA"/>
    <s v="C-778-2025"/>
    <s v="3º Juzgado Civil de Santiago"/>
    <s v="EMBARGADO"/>
    <s v="MANTIENE"/>
    <m/>
    <m/>
    <m/>
    <m/>
    <s v="SI"/>
    <s v="ACTIVO"/>
    <s v="TRYG76"/>
    <s v="DFM"/>
    <s v="T5 L"/>
    <n v="2024"/>
  </r>
  <r>
    <n v="3115557"/>
    <n v="95"/>
    <m/>
    <n v="10316441"/>
    <m/>
    <s v="PHOENIX"/>
    <s v="JUDICIAL"/>
    <x v="1"/>
    <s v="0-365"/>
    <x v="0"/>
    <s v="COBRANZA"/>
    <x v="0"/>
    <s v="E"/>
    <n v="18488596"/>
    <n v="4"/>
    <s v="ELENA ROMANE VIDAL GOMEZ"/>
    <m/>
    <n v="280.54000000000002"/>
    <d v="2026-01-01T00:00:00"/>
    <m/>
    <m/>
    <m/>
    <s v="TANNER"/>
    <m/>
    <n v="0"/>
    <n v="0"/>
    <m/>
    <m/>
    <n v="7816441"/>
    <m/>
    <s v="PLAN DE PAGO"/>
    <s v="PHOENIX"/>
    <m/>
    <s v="CASTIGO"/>
    <n v="56955195058"/>
    <m/>
    <m/>
    <s v="vidal.gomez.elena.93@gmail.com"/>
    <m/>
    <m/>
    <s v="SANTA LAURA 1290"/>
    <s v="MELIPILLA"/>
    <s v="REGION METROPOLITANA"/>
    <s v="C-6723-2025"/>
    <s v="3º Juzgado Civil de Santiago"/>
    <s v="NOTIFICADO"/>
    <s v="MANTIENE"/>
    <m/>
    <m/>
    <m/>
    <m/>
    <s v="SI"/>
    <s v="ACTIVO"/>
    <m/>
    <s v="SUZUKI"/>
    <s v="SWIFT 1.2 AMT GL SPORT"/>
    <n v="0"/>
  </r>
  <r>
    <n v="3120521"/>
    <n v="156"/>
    <m/>
    <n v="15352634"/>
    <m/>
    <s v="PHOENIX"/>
    <s v="JUDICIAL"/>
    <x v="1"/>
    <s v="0-365"/>
    <x v="0"/>
    <s v="COBRANZA"/>
    <x v="0"/>
    <m/>
    <n v="6332455"/>
    <n v="8"/>
    <s v="ELSA MARCIA DIAZ MORA"/>
    <m/>
    <n v="432.15"/>
    <d v="2025-01-11T00:00:00"/>
    <m/>
    <m/>
    <m/>
    <s v="TANNER"/>
    <m/>
    <n v="0"/>
    <n v="0"/>
    <m/>
    <m/>
    <n v="15352634"/>
    <m/>
    <s v="PLAN DE PAGO"/>
    <s v="PHOENIX"/>
    <m/>
    <s v="CASTIGO"/>
    <m/>
    <m/>
    <m/>
    <s v="DIAZVEGA82_@HOTMAIL.COM"/>
    <m/>
    <m/>
    <s v="PASAJE CORDILLERA CASA"/>
    <s v="ÑUBLE"/>
    <s v="XIV REGION"/>
    <s v="C-2589-2025"/>
    <s v="5º Juzgado Civil de Santiago"/>
    <s v="INGRESADO"/>
    <s v="MANTIENE"/>
    <m/>
    <m/>
    <m/>
    <m/>
    <s v="NO"/>
    <s v="ACTIVO"/>
    <m/>
    <s v="FOTON"/>
    <s v="G7 4x4"/>
    <n v="2024"/>
  </r>
  <r>
    <n v="3136967"/>
    <n v="187"/>
    <m/>
    <n v="4486091"/>
    <m/>
    <s v="PHOENIX"/>
    <s v="JUDICIAL"/>
    <x v="1"/>
    <s v="0-365"/>
    <x v="0"/>
    <s v="COBRANZA"/>
    <x v="0"/>
    <m/>
    <n v="19914674"/>
    <n v="2"/>
    <s v="MARIEL ANDREA GARCÍA GONZÁLEZ"/>
    <m/>
    <n v="115.854"/>
    <d v="2025-01-10T00:00:00"/>
    <m/>
    <m/>
    <m/>
    <s v="TANNER"/>
    <m/>
    <n v="0"/>
    <n v="0"/>
    <m/>
    <m/>
    <n v="4486091"/>
    <m/>
    <m/>
    <m/>
    <m/>
    <s v="CASTIGO"/>
    <n v="931221610"/>
    <m/>
    <m/>
    <s v="MARIELANDREAGARCIAG@GMAIL.COM"/>
    <m/>
    <m/>
    <s v="IDDA FUENTE"/>
    <m/>
    <m/>
    <s v="C-685-2025"/>
    <s v="25º JUZGADO CIVIL DE SANTIAGO"/>
    <s v="INGRESADO"/>
    <s v="MANTIENE"/>
    <m/>
    <m/>
    <m/>
    <m/>
    <s v="NO"/>
    <s v="ACTIVO"/>
    <m/>
    <s v="FORD"/>
    <s v="FIESTA"/>
    <n v="2013"/>
  </r>
  <r>
    <n v="3139873"/>
    <n v="187"/>
    <m/>
    <n v="14952440"/>
    <m/>
    <s v="PHOENIX"/>
    <s v="JUDICIAL"/>
    <x v="1"/>
    <s v="0-365"/>
    <x v="0"/>
    <s v="COBRANZA"/>
    <x v="0"/>
    <m/>
    <n v="77023777"/>
    <n v="7"/>
    <s v="AIRES CORONA Y JM LIMITADA"/>
    <m/>
    <n v="428.84899999999999"/>
    <d v="2025-01-10T00:00:00"/>
    <m/>
    <m/>
    <m/>
    <s v="TANNER"/>
    <m/>
    <n v="0"/>
    <n v="0"/>
    <m/>
    <m/>
    <n v="14952440"/>
    <m/>
    <m/>
    <m/>
    <m/>
    <s v="CASTIGO"/>
    <n v="937291872"/>
    <m/>
    <m/>
    <s v="GERENCIA@AIRESCORONA.CL"/>
    <m/>
    <m/>
    <s v="BLANCO"/>
    <s v="COLINA"/>
    <s v="REGION METROPOLITANA"/>
    <s v="C-684-2025"/>
    <s v="11º Juzgado Civil de Santiago"/>
    <s v="EMBARGADO"/>
    <s v="MANTIENE"/>
    <m/>
    <m/>
    <m/>
    <m/>
    <s v="SI"/>
    <s v="ACTIVO"/>
    <m/>
    <s v="TOYOTA"/>
    <s v="NEW RAV CUATRO 2.0"/>
    <n v="2019"/>
  </r>
  <r>
    <n v="3145390"/>
    <n v="187"/>
    <m/>
    <n v="11199444"/>
    <m/>
    <s v="PHOENIX"/>
    <s v="JUDICIAL"/>
    <x v="1"/>
    <s v="0-365"/>
    <x v="0"/>
    <s v="COBRANZA"/>
    <x v="0"/>
    <m/>
    <n v="17899339"/>
    <n v="9"/>
    <s v="ANDRÉS ALEXIS VARELA FIGUEROA"/>
    <m/>
    <n v="364.45499999999998"/>
    <d v="2025-01-10T00:00:00"/>
    <m/>
    <m/>
    <m/>
    <s v="TANNER"/>
    <m/>
    <n v="0"/>
    <n v="0"/>
    <m/>
    <m/>
    <n v="11199444"/>
    <m/>
    <m/>
    <m/>
    <m/>
    <s v="CASTIGO"/>
    <n v="968162549"/>
    <m/>
    <m/>
    <s v="Andresvarelafigueroa91@gmail.com"/>
    <m/>
    <m/>
    <s v="BARROS ARANA 1672"/>
    <s v="CONCEPCION"/>
    <s v="VIII REGION"/>
    <s v="C-687-2025"/>
    <s v="26º Juzgado Civil de Santiago"/>
    <s v="EMBARGADO"/>
    <s v="MANTIENE"/>
    <m/>
    <m/>
    <m/>
    <m/>
    <s v="SI"/>
    <s v="ACTIVO"/>
    <s v="RPWH70"/>
    <s v="RAM"/>
    <s v="VAN 1000 1.3"/>
    <n v="2022"/>
  </r>
  <r>
    <n v="3159188"/>
    <n v="156"/>
    <m/>
    <n v="11018901"/>
    <m/>
    <s v="PHOENIX"/>
    <s v="JUDICIAL"/>
    <x v="1"/>
    <s v="0-365"/>
    <x v="0"/>
    <s v="COBRANZA"/>
    <x v="0"/>
    <m/>
    <n v="17904802"/>
    <n v="7"/>
    <s v="RUBÉN ARNALDO PARRA QUINTRICON"/>
    <m/>
    <n v="259.666"/>
    <d v="2025-01-11T00:00:00"/>
    <m/>
    <m/>
    <m/>
    <s v="TANNER"/>
    <s v="DACIÓN"/>
    <n v="0"/>
    <n v="0"/>
    <m/>
    <m/>
    <n v="11018901"/>
    <m/>
    <m/>
    <m/>
    <m/>
    <s v="CASTIGO"/>
    <n v="998941845"/>
    <m/>
    <m/>
    <s v="ruben09940@gmail.com"/>
    <m/>
    <m/>
    <s v="PLAYA CARTAGENA PARCELA 26"/>
    <s v="CARTAGENA"/>
    <s v="V REGION"/>
    <s v="C-2592-2025"/>
    <s v="11º Juzgado Civil de Santiago"/>
    <s v="EMBARGADO"/>
    <s v="MANTIENE"/>
    <m/>
    <m/>
    <m/>
    <m/>
    <s v="SI"/>
    <s v="ACTIVO"/>
    <s v="TTJT93"/>
    <s v="DFM"/>
    <s v="AEOLUS Y3 AT COMFORT"/>
    <n v="2025"/>
  </r>
  <r>
    <n v="3170179"/>
    <n v="126"/>
    <m/>
    <n v="20999759"/>
    <m/>
    <s v="PHOENIX"/>
    <s v="JUDICIAL"/>
    <x v="1"/>
    <s v="0-365"/>
    <x v="0"/>
    <s v="COBRANZA"/>
    <x v="0"/>
    <m/>
    <n v="19056039"/>
    <n v="2"/>
    <s v="CARLOS IVAN VILLABLANCA JAQUE"/>
    <m/>
    <n v="562.48500000000001"/>
    <d v="2025-01-12T00:00:00"/>
    <m/>
    <m/>
    <m/>
    <s v="TANNER"/>
    <m/>
    <n v="0"/>
    <n v="0"/>
    <m/>
    <m/>
    <n v="20999759"/>
    <m/>
    <m/>
    <m/>
    <m/>
    <s v="CASTIGO"/>
    <n v="976531426"/>
    <m/>
    <m/>
    <s v="carlosvillablanca660@gmail.com"/>
    <m/>
    <m/>
    <s v="PSJE. BENJAMIN QUEZADA 1238"/>
    <s v="CONCHALI"/>
    <s v="REGION METROPOLITANA"/>
    <s v="C-3917-2025"/>
    <s v="14º Juzgado Civil de Santiago"/>
    <s v="EMBARGADO"/>
    <s v="MANTIENE"/>
    <m/>
    <m/>
    <m/>
    <m/>
    <s v="SI"/>
    <s v="ACTIVO"/>
    <s v="TLCK47"/>
    <s v="SUZUKI"/>
    <s v="NEW ALTO GL HB 1.0"/>
    <n v="2024"/>
  </r>
  <r>
    <n v="3178119"/>
    <n v="0"/>
    <m/>
    <n v="12164850"/>
    <m/>
    <s v="PHOENIX"/>
    <s v="JUDICIAL"/>
    <x v="1"/>
    <s v="0-365"/>
    <x v="0"/>
    <s v="COBRANZA"/>
    <x v="1"/>
    <s v="E"/>
    <n v="18531867"/>
    <n v="2"/>
    <s v="CONSTANZA MICHEL VIROT HERNÁNDEZ"/>
    <m/>
    <n v="353.11700000000002"/>
    <d v="2026-04-05T00:00:00"/>
    <m/>
    <m/>
    <m/>
    <s v="Dealer"/>
    <m/>
    <n v="0"/>
    <n v="0"/>
    <m/>
    <m/>
    <n v="12164850"/>
    <m/>
    <m/>
    <m/>
    <m/>
    <s v="CASTIGO"/>
    <n v="953979986"/>
    <m/>
    <m/>
    <s v="constanzavirot93@gmail.com"/>
    <m/>
    <m/>
    <s v="PRIMERA TRANSVERSAL 2247"/>
    <s v="MAIPU"/>
    <s v="REGION METROPOLITANA"/>
    <s v="C-11285-2025"/>
    <s v="30º Juzgado Civil de Santiago"/>
    <s v="EMBARGADO"/>
    <s v="MANTIENE"/>
    <m/>
    <m/>
    <m/>
    <m/>
    <s v="SI"/>
    <s v="ACTIVO"/>
    <s v="TTSW65"/>
    <s v="DONGFENG"/>
    <s v="AEOLUS GS"/>
    <n v="2025"/>
  </r>
  <r>
    <n v="3211805"/>
    <n v="95"/>
    <m/>
    <n v="11543221"/>
    <m/>
    <s v="PHOENIX"/>
    <s v="JUDICIAL"/>
    <x v="1"/>
    <s v="0-365"/>
    <x v="0"/>
    <s v="COBRANZA"/>
    <x v="0"/>
    <s v="E"/>
    <n v="19260262"/>
    <n v="9"/>
    <s v="CAMILO IGNACIO PONCE ORTIZ"/>
    <m/>
    <n v="308.13"/>
    <d v="2026-01-01T00:00:00"/>
    <m/>
    <m/>
    <m/>
    <s v="TANNER"/>
    <m/>
    <n v="0"/>
    <n v="0"/>
    <m/>
    <m/>
    <n v="11543221"/>
    <m/>
    <m/>
    <m/>
    <m/>
    <s v="CASTIGO"/>
    <n v="56927619768"/>
    <m/>
    <m/>
    <s v="poncecamilo904@gmail.com"/>
    <m/>
    <m/>
    <s v="DIAGONAL PARAGUAY 360 DEPTO 63"/>
    <s v="SANTIAGO"/>
    <s v="REGION METROPOLITANA"/>
    <s v="C-5508-2025"/>
    <s v="26º Juzgado Civil de Santiago"/>
    <s v="EMBARGADO"/>
    <s v="MANTIENE"/>
    <m/>
    <m/>
    <m/>
    <m/>
    <s v="SI"/>
    <s v="ACTIVO"/>
    <s v="LBRT10"/>
    <s v="PEUGEOT"/>
    <n v="301"/>
    <n v="2019"/>
  </r>
  <r>
    <n v="3229989"/>
    <n v="95"/>
    <m/>
    <n v="20974222"/>
    <m/>
    <s v="PHOENIX"/>
    <s v="JUDICIAL"/>
    <x v="1"/>
    <s v="0-365"/>
    <x v="0"/>
    <s v="COBRANZA"/>
    <x v="0"/>
    <s v="E"/>
    <n v="12260401"/>
    <n v="2"/>
    <s v="PATRICIO HUMBERTO ARAYA VERDUGO"/>
    <m/>
    <n v="561.79700000000003"/>
    <d v="2026-01-01T00:00:00"/>
    <m/>
    <m/>
    <m/>
    <s v="TANNER"/>
    <m/>
    <n v="0"/>
    <n v="0"/>
    <m/>
    <m/>
    <n v="20974222"/>
    <m/>
    <m/>
    <m/>
    <m/>
    <s v="CASTIGO"/>
    <n v="995023293"/>
    <m/>
    <m/>
    <s v="paraya@insisco.cl"/>
    <m/>
    <m/>
    <s v="MONEDA 1479 DEPTO 52"/>
    <s v="SANTIAGO"/>
    <s v="REGION METROPOLITANA"/>
    <s v="C-5466-2025"/>
    <s v="24º Juzgado Civil de Santiago"/>
    <s v="EMBARGADO"/>
    <s v="MANTIENE"/>
    <m/>
    <m/>
    <m/>
    <m/>
    <s v="SI"/>
    <s v="ACTIVO"/>
    <s v="TWJT68"/>
    <s v="FOTON"/>
    <s v="G7"/>
    <n v="2025"/>
  </r>
  <r>
    <n v="3246183"/>
    <n v="64"/>
    <m/>
    <n v="9836611"/>
    <m/>
    <s v="PHOENIX"/>
    <s v="JUDICIAL"/>
    <x v="1"/>
    <s v="0-365"/>
    <x v="0"/>
    <s v="COBRANZA"/>
    <x v="0"/>
    <s v="E"/>
    <n v="12325963"/>
    <n v="7"/>
    <s v="ESTEBAN ALFREDO NEIRA PEREZ"/>
    <m/>
    <n v="276.27800000000002"/>
    <d v="2026-01-02T00:00:00"/>
    <m/>
    <m/>
    <m/>
    <s v="TANNER"/>
    <m/>
    <n v="0"/>
    <n v="0"/>
    <m/>
    <m/>
    <n v="9836611"/>
    <m/>
    <m/>
    <m/>
    <m/>
    <s v="CASTIGO"/>
    <n v="954563286"/>
    <m/>
    <m/>
    <s v="estebanneira2020@gmail.com"/>
    <m/>
    <m/>
    <s v="LOS OMAGUACAS 1720 VILLA LAS AMERICAS"/>
    <s v="LOS ANGELES"/>
    <s v="VIII REGION"/>
    <s v="C-6722-2025"/>
    <s v="4º Juzgado Civil de Santiago"/>
    <s v="EMBARGADO"/>
    <s v="MANTIENE"/>
    <m/>
    <m/>
    <m/>
    <m/>
    <s v="SI"/>
    <s v="ACTIVO"/>
    <m/>
    <s v="SUZUKI"/>
    <s v="NEW ALTO GL MT"/>
    <n v="0"/>
  </r>
  <r>
    <n v="3253290"/>
    <n v="95"/>
    <m/>
    <n v="11223328"/>
    <m/>
    <s v="PHOENIX"/>
    <s v="JUDICIAL"/>
    <x v="1"/>
    <s v="0-365"/>
    <x v="0"/>
    <s v="COBRANZA"/>
    <x v="0"/>
    <s v="E"/>
    <n v="26312380"/>
    <n v="8"/>
    <s v="JERALDINE NAZARETH DEL CARMEN SERRANO HERRERA"/>
    <m/>
    <n v="301.44499999999999"/>
    <d v="2026-01-01T00:00:00"/>
    <m/>
    <m/>
    <m/>
    <s v="TANNER"/>
    <s v="DACIÓN"/>
    <n v="0"/>
    <n v="0"/>
    <m/>
    <m/>
    <n v="11223328"/>
    <m/>
    <m/>
    <m/>
    <m/>
    <s v="CASTIGO"/>
    <n v="933581178"/>
    <m/>
    <m/>
    <s v="jeraldine323@gmail.com"/>
    <m/>
    <m/>
    <s v="Aragonés 5 poniente casa 1065"/>
    <s v="PUENTE ALTO"/>
    <s v="REGION METROPOLITANA"/>
    <s v="C-5506-2025"/>
    <s v="18º Juzgado Civil de Santiago"/>
    <s v="EMBARGADO"/>
    <s v="MANTIENE"/>
    <m/>
    <m/>
    <m/>
    <m/>
    <s v="SI"/>
    <s v="ACTIVO"/>
    <s v="JYZK93"/>
    <s v="MAZDA"/>
    <s v="ALL NEW CX 5 R 2.0"/>
    <n v="2018"/>
  </r>
  <r>
    <n v="3279513"/>
    <n v="1"/>
    <m/>
    <n v="22258356"/>
    <m/>
    <s v="PHOENIX"/>
    <s v="JUDICIAL"/>
    <x v="1"/>
    <s v="0-365"/>
    <x v="0"/>
    <s v="COBRANZA"/>
    <x v="0"/>
    <s v="E"/>
    <n v="17633955"/>
    <n v="1"/>
    <s v="NATALIA JACQUELINE VILCHES RUBILLANCA"/>
    <m/>
    <n v="555.66600000000005"/>
    <d v="2026-01-03T00:00:00"/>
    <m/>
    <m/>
    <m/>
    <s v="TANNER"/>
    <s v="DACIÓN"/>
    <n v="0"/>
    <n v="0"/>
    <m/>
    <m/>
    <n v="22258356"/>
    <m/>
    <m/>
    <m/>
    <m/>
    <s v="CASTIGO"/>
    <n v="931800320"/>
    <m/>
    <m/>
    <s v="NATALIAVILCHESRUBILLANCA@GMAIL.COM"/>
    <m/>
    <m/>
    <s v="EL ALCAZAR ORIENTE 305"/>
    <s v="MAIPU"/>
    <s v="REGION METROPOLITANA"/>
    <s v="C-8328-2025"/>
    <s v="15º Juzgado Civil de Santiago"/>
    <s v="EMBARGADO"/>
    <s v="MANTIENE"/>
    <m/>
    <m/>
    <m/>
    <m/>
    <s v="SI"/>
    <s v="ACTIVO"/>
    <s v="TYZB63"/>
    <s v="OPEL"/>
    <s v="MOKKA"/>
    <n v="2025"/>
  </r>
  <r>
    <n v="3354368"/>
    <n v="0"/>
    <m/>
    <n v="26266018"/>
    <m/>
    <s v="PHOENIX"/>
    <s v="JUDICIAL"/>
    <x v="1"/>
    <s v="0-365"/>
    <x v="0"/>
    <s v="COBRANZA"/>
    <x v="1"/>
    <s v="E"/>
    <n v="11554758"/>
    <n v="5"/>
    <s v="MARIA JACQUELINE ZUÑIGA GAONA"/>
    <m/>
    <n v="660.73099999999999"/>
    <d v="2026-04-05T00:00:00"/>
    <m/>
    <m/>
    <m/>
    <s v="AMICAR"/>
    <m/>
    <n v="0"/>
    <n v="0"/>
    <m/>
    <m/>
    <n v="26266018"/>
    <m/>
    <m/>
    <m/>
    <m/>
    <s v="CASTIGO"/>
    <n v="944902413"/>
    <m/>
    <m/>
    <s v="jaquezuniga70@gmail.com"/>
    <m/>
    <m/>
    <s v="PASAJE 2 N° 35 VILLA JARDIN"/>
    <s v="COLTAUCO"/>
    <s v="VI REGION"/>
    <s v="C-9871-2025"/>
    <s v="23º Juzgado Civil de Santiago"/>
    <s v="EMBARGADO"/>
    <s v="MANTIENE"/>
    <m/>
    <m/>
    <m/>
    <m/>
    <s v="SI"/>
    <s v="ACTIVO"/>
    <m/>
    <s v="GREAT WALL MOTORS (04)"/>
    <s v="POER PLUS AT 2.0 TD 4X4 ELITE EURO 6"/>
    <n v="0"/>
  </r>
  <r>
    <n v="1307975"/>
    <n v="120"/>
    <n v="5"/>
    <n v="1363455"/>
    <m/>
    <s v="PHOENIX"/>
    <s v="JUDICIAL"/>
    <x v="3"/>
    <s v="91-120"/>
    <x v="1"/>
    <s v="COBRANZA"/>
    <x v="1"/>
    <s v="D"/>
    <n v="8560731"/>
    <n v="6"/>
    <s v="ANA PAOLA VEGA RODRÍGUEZ"/>
    <n v="1"/>
    <n v="208.16900000000001"/>
    <d v="2026-05-01T00:00:00"/>
    <n v="53"/>
    <n v="53"/>
    <n v="60"/>
    <s v="Dealer"/>
    <m/>
    <n v="33936"/>
    <n v="0"/>
    <s v="NO"/>
    <s v="29-03-2021"/>
    <n v="1074781"/>
    <s v="1,69"/>
    <m/>
    <m/>
    <m/>
    <s v="NO RECUPERADO"/>
    <n v="988030668"/>
    <m/>
    <m/>
    <s v="Vegarodriguez2370@gmail.com"/>
    <m/>
    <m/>
    <s v="Irma Johnson Molina N.201 BL.G, DEPTO 714"/>
    <s v="QUILPUE"/>
    <s v="V REGION"/>
    <s v="14º Juzgado Civil de Santiago"/>
    <s v="C-16650-2024"/>
    <s v="EMBARGADO"/>
    <s v="MANTIENE"/>
    <m/>
    <m/>
    <m/>
    <m/>
    <s v="SI"/>
    <s v="ACTIVO"/>
    <s v="PFFD99"/>
    <s v="SUZUKI"/>
    <s v="CELERIO 1.0 GLX AC BT"/>
    <n v="2021"/>
  </r>
  <r>
    <n v="1429617"/>
    <n v="61"/>
    <n v="3"/>
    <n v="1220852"/>
    <m/>
    <s v="PHOENIX"/>
    <s v="JUDICIAL"/>
    <x v="4"/>
    <s v="61-90"/>
    <x v="1"/>
    <s v="COBRANZA"/>
    <x v="1"/>
    <s v="D"/>
    <n v="15393920"/>
    <n v="9"/>
    <s v="MARCELA DEL CARMEN CARTES GONZALEZ"/>
    <n v="1"/>
    <n v="214.80500000000001"/>
    <d v="2026-05-03T00:00:00"/>
    <n v="54"/>
    <n v="54"/>
    <n v="60"/>
    <s v="AMICAR"/>
    <m/>
    <n v="10565"/>
    <n v="0"/>
    <s v="NO"/>
    <s v="25-06-2021"/>
    <n v="654980"/>
    <s v="1,57"/>
    <m/>
    <m/>
    <s v="SEMI PREMIUM"/>
    <s v="NO RECUPERADO"/>
    <n v="977091339"/>
    <m/>
    <n v="56977091339"/>
    <m/>
    <m/>
    <m/>
    <s v="MÉXICO 3246"/>
    <s v="PUENTE ALTO"/>
    <s v="REGION METROPOLITANA"/>
    <s v="C-3919-2025"/>
    <s v="12º Juzgado Civil de Santiago"/>
    <s v="EMBARGADO"/>
    <s v="MANTIENE"/>
    <m/>
    <m/>
    <m/>
    <m/>
    <s v="SI"/>
    <s v="ACTIVO"/>
    <s v="RBVC26"/>
    <s v="SUZUKI"/>
    <s v="SWIFT GL SPORT HB 1.2"/>
    <n v="2021"/>
  </r>
  <r>
    <n v="1475529"/>
    <n v="30"/>
    <n v="2"/>
    <n v="1396042"/>
    <m/>
    <s v="PHOENIX"/>
    <s v="JUDICIAL"/>
    <x v="5"/>
    <d v="2026-01-30T00:00:00"/>
    <x v="1"/>
    <s v="COBRANZA"/>
    <x v="1"/>
    <s v="C"/>
    <n v="10402523"/>
    <n v="4"/>
    <s v="MARCO ANTONIO JORQUERA SILVA"/>
    <n v="1"/>
    <n v="245.53299999999999"/>
    <d v="2026-05-04T00:00:00"/>
    <n v="54"/>
    <n v="54"/>
    <n v="60"/>
    <s v="Dealer"/>
    <m/>
    <n v="3892"/>
    <n v="0"/>
    <s v="NO"/>
    <s v="29-07-2021"/>
    <n v="494958"/>
    <s v="1,56"/>
    <m/>
    <m/>
    <s v="NO PREMIUM"/>
    <s v="NO RECUPERADO"/>
    <n v="994694425"/>
    <m/>
    <m/>
    <s v="marcojorqueracil@gmail.com"/>
    <m/>
    <m/>
    <s v="CARRETERA F30 Km 38, Maitencillo, Puchincavi"/>
    <s v="PUCHUNCAVI"/>
    <s v="V REGION"/>
    <s v="C-680-2025"/>
    <s v="16º Juzgado Civil de Santiago"/>
    <s v="NOTIFICADO"/>
    <s v="MANTIENE"/>
    <m/>
    <s v="SUSPENDER"/>
    <s v="1 CUOTA EN MORA"/>
    <d v="2026-05-05T00:00:00"/>
    <s v="SI"/>
    <s v="SUSPENDIDO"/>
    <s v="RFJL44"/>
    <s v="ZX AUTO"/>
    <s v="TERRALORD DCAB 2.5"/>
    <n v="2021"/>
  </r>
  <r>
    <n v="1477948"/>
    <n v="233"/>
    <n v="1"/>
    <n v="434569"/>
    <m/>
    <s v="PHOENIX"/>
    <s v="JUDICIAL"/>
    <x v="6"/>
    <s v="211-240"/>
    <x v="1"/>
    <s v="COBRANZA"/>
    <x v="1"/>
    <s v="E"/>
    <n v="13910860"/>
    <n v="4"/>
    <s v="SUSANA VALESKA ARIAS GAETE"/>
    <n v="1"/>
    <n v="441.33800000000002"/>
    <s v="14-09-2025"/>
    <n v="47"/>
    <n v="47"/>
    <n v="48"/>
    <s v="Dealer"/>
    <m/>
    <n v="53702"/>
    <n v="0"/>
    <s v="NO"/>
    <s v="30-07-2021"/>
    <n v="495040"/>
    <s v="1,55"/>
    <m/>
    <m/>
    <m/>
    <s v="NO RECUPERADO"/>
    <n v="989415104"/>
    <m/>
    <m/>
    <s v="SUSANA23910@GMAIL.COM"/>
    <m/>
    <m/>
    <s v="PAMPA"/>
    <s v="RENCA"/>
    <s v="REGION METROPOLITANA"/>
    <s v="C-19076-2024"/>
    <s v="20º Juzgado Civil de Santiago"/>
    <s v="EMBARGADO"/>
    <s v="MANTIENE"/>
    <m/>
    <m/>
    <m/>
    <m/>
    <s v="SI"/>
    <s v="ACTIVO"/>
    <s v="RBCR34"/>
    <s v="JMC"/>
    <s v="CARRYING PLUS 3.0 TSC"/>
    <n v="2021"/>
  </r>
  <r>
    <n v="1540238"/>
    <n v="0"/>
    <m/>
    <n v="5822119"/>
    <m/>
    <s v="PHOENIX"/>
    <s v="JUDICIAL"/>
    <x v="7"/>
    <s v="361-390"/>
    <x v="1"/>
    <s v="COBRANZA"/>
    <x v="1"/>
    <s v="E"/>
    <n v="16552562"/>
    <n v="0"/>
    <s v="GUILLERMO ANDRES BAHAMONDES LORCA"/>
    <n v="1"/>
    <n v="344.32499999999999"/>
    <m/>
    <m/>
    <n v="42"/>
    <m/>
    <s v="AMICAR"/>
    <m/>
    <n v="0"/>
    <n v="0"/>
    <s v="NO"/>
    <d v="2021-06-09T00:00:00"/>
    <n v="0"/>
    <s v="1,62"/>
    <m/>
    <m/>
    <m/>
    <s v="CASTIGO"/>
    <n v="948571269"/>
    <m/>
    <m/>
    <s v="GUILLERMOBAHAMONDESLORCA@GMAIL.COM"/>
    <m/>
    <m/>
    <s v="LOS ATACAMEÑOS 2577"/>
    <s v="RENCA"/>
    <s v="REGION METROPOLITANA"/>
    <s v="C-20327-2024"/>
    <s v="23º Juzgado Civil de Santiago"/>
    <s v="EMBARGADO"/>
    <s v="MANTIENE"/>
    <m/>
    <m/>
    <m/>
    <m/>
    <s v="SI"/>
    <s v="ACTIVO"/>
    <s v="RFYY61"/>
    <s v="RENAULT"/>
    <s v="OROCH OTTO 2.0"/>
    <n v="2022"/>
  </r>
  <r>
    <n v="1567682"/>
    <n v="212"/>
    <n v="2"/>
    <n v="3681912"/>
    <m/>
    <s v="PHOENIX"/>
    <s v="JUDICIAL"/>
    <x v="8"/>
    <s v="211-240"/>
    <x v="1"/>
    <s v="COBRANZA"/>
    <x v="1"/>
    <s v="E"/>
    <n v="17266203"/>
    <s v="K"/>
    <s v="DAVID JESUS VIDAL VIDAL"/>
    <n v="1"/>
    <n v="230.70400000000001"/>
    <d v="2025-05-10T00:00:00"/>
    <n v="47"/>
    <n v="47"/>
    <n v="49"/>
    <s v="AMICAR"/>
    <m/>
    <n v="523354"/>
    <n v="0"/>
    <s v="NO"/>
    <s v="23-09-2021"/>
    <n v="984762"/>
    <s v="1,61"/>
    <m/>
    <m/>
    <m/>
    <s v="NO RECUPERADO"/>
    <n v="959098586"/>
    <m/>
    <m/>
    <s v="vidal.david1983@gmail.com"/>
    <m/>
    <m/>
    <s v="JOSE ASUNCION SILVA ORIENTE 1965"/>
    <m/>
    <s v="REGION METROPOLITANA"/>
    <s v="C-2398-2026"/>
    <s v="1º Juzgado Civil de Santiago"/>
    <s v="NOTIFICADO"/>
    <s v="MANTIENE"/>
    <m/>
    <m/>
    <m/>
    <m/>
    <s v="SI"/>
    <s v="ACTIVO"/>
    <s v="RGVZ40"/>
    <s v="HAVAL"/>
    <s v="JOLION ELITE 1.5"/>
    <n v="2022"/>
  </r>
  <r>
    <n v="1571077"/>
    <n v="150"/>
    <n v="1"/>
    <n v="4857156"/>
    <m/>
    <s v="PHOENIX"/>
    <s v="JUDICIAL"/>
    <x v="9"/>
    <s v="121-150"/>
    <x v="1"/>
    <s v="COBRANZA"/>
    <x v="1"/>
    <s v="E"/>
    <n v="13631576"/>
    <n v="5"/>
    <s v="LUIS ALBERTO SEPULVEDA CONCHA"/>
    <n v="1"/>
    <n v="307.65600000000001"/>
    <d v="2025-06-12T00:00:00"/>
    <n v="48"/>
    <n v="48"/>
    <n v="49"/>
    <s v="AMICAR"/>
    <m/>
    <n v="403047"/>
    <n v="262300"/>
    <s v="NO"/>
    <s v="28-09-2021"/>
    <n v="5600677"/>
    <s v="1,61"/>
    <m/>
    <m/>
    <m/>
    <s v="NO RECUPERADO"/>
    <n v="1111111111"/>
    <m/>
    <m/>
    <s v="LUSEPCON@GMAIL.COM"/>
    <m/>
    <m/>
    <s v="NICASIO DE TORO 644"/>
    <s v="TEMUCO"/>
    <s v="IX REGION"/>
    <s v="C-5116-2026"/>
    <s v="25º JUZGADO CIVIL DE SANTIAGO"/>
    <s v="INGRESADO"/>
    <s v="MANTIENE"/>
    <m/>
    <m/>
    <m/>
    <m/>
    <s v="NO"/>
    <s v="ACTIVO"/>
    <s v="RHWV32"/>
    <s v="GREAT WALL"/>
    <s v="POER ELITE 2.0"/>
    <n v="2022"/>
  </r>
  <r>
    <n v="1597284"/>
    <n v="181"/>
    <n v="4"/>
    <n v="4219178"/>
    <m/>
    <s v="PHOENIX"/>
    <s v="JUDICIAL"/>
    <x v="10"/>
    <s v="181-210"/>
    <x v="1"/>
    <s v="COBRANZA"/>
    <x v="1"/>
    <s v="E"/>
    <n v="15199021"/>
    <n v="5"/>
    <s v="JONATHAN OLIVER DIAZ BURGOS"/>
    <n v="1"/>
    <n v="235.43"/>
    <d v="2025-05-11T00:00:00"/>
    <n v="45"/>
    <n v="45"/>
    <n v="49"/>
    <s v="Directo"/>
    <m/>
    <n v="255005"/>
    <n v="9568"/>
    <s v="NO"/>
    <s v="14-10-2021"/>
    <n v="1206293"/>
    <s v="1,2"/>
    <m/>
    <m/>
    <m/>
    <s v="NO RECUPERADO"/>
    <n v="931348091"/>
    <m/>
    <m/>
    <s v="JONATHAN.DIAZ@EBCO.CL"/>
    <m/>
    <m/>
    <s v="AV ALEXANDER"/>
    <s v="CONCEPCION"/>
    <m/>
    <s v="C-3902-2026"/>
    <s v="22º Juzgado Civil de Santiago"/>
    <s v="INGRESADO"/>
    <s v="MANTIENE"/>
    <m/>
    <m/>
    <m/>
    <m/>
    <s v="NO"/>
    <s v="ACTIVO"/>
    <m/>
    <s v="HAVAL"/>
    <s v="JOLION 1.5 MT 4X2 ELITE"/>
    <n v="2022"/>
  </r>
  <r>
    <n v="1636782"/>
    <n v="151"/>
    <n v="3"/>
    <n v="5504672"/>
    <m/>
    <s v="PHOENIX"/>
    <s v="JUDICIAL"/>
    <x v="9"/>
    <s v="151-180"/>
    <x v="1"/>
    <s v="COBRANZA"/>
    <x v="1"/>
    <s v="E"/>
    <n v="16796646"/>
    <n v="2"/>
    <s v="DIEGO ANTONIO MORALES GALLEGOS"/>
    <n v="1"/>
    <n v="349.66"/>
    <d v="2025-05-12T00:00:00"/>
    <n v="46"/>
    <n v="46"/>
    <n v="49"/>
    <s v="AMICAR"/>
    <m/>
    <n v="342671"/>
    <n v="0"/>
    <s v="NO"/>
    <s v="15-11-2021"/>
    <n v="1391651"/>
    <s v="1,85"/>
    <m/>
    <m/>
    <m/>
    <s v="NO RECUPERADO"/>
    <n v="40507232"/>
    <m/>
    <m/>
    <s v="DIEGOMORALESGALLEGOS111@GM.COM"/>
    <m/>
    <m/>
    <s v="TUNCA EL MEDIO CAMINO ORYAN S/N"/>
    <m/>
    <s v="VI REGION"/>
    <s v="C-17681-2025"/>
    <s v="19º Juzgado Civil de Santiago"/>
    <s v="EMBARGADO"/>
    <s v="MANTIENE"/>
    <m/>
    <m/>
    <m/>
    <m/>
    <s v="SI"/>
    <s v="ACTIVO"/>
    <s v="RHDK71"/>
    <s v="GAC"/>
    <s v="GS4 1.5T AT GE"/>
    <n v="2022"/>
  </r>
  <r>
    <n v="1645952"/>
    <n v="329"/>
    <n v="9"/>
    <n v="7872938"/>
    <m/>
    <s v="PHOENIX"/>
    <s v="JUDICIAL"/>
    <x v="11"/>
    <s v="301-330"/>
    <x v="1"/>
    <s v="COBRANZA"/>
    <x v="1"/>
    <s v="E"/>
    <n v="15189992"/>
    <n v="7"/>
    <s v="ERIK MARCELO ABURTO MORAGA"/>
    <n v="1"/>
    <n v="381.24099999999999"/>
    <d v="2025-10-06T00:00:00"/>
    <n v="40"/>
    <n v="40"/>
    <n v="49"/>
    <s v="AMICAR"/>
    <s v="DACIÓN"/>
    <n v="734554"/>
    <n v="177338"/>
    <s v="NO"/>
    <s v="19-11-2021"/>
    <n v="4343061"/>
    <s v="1,85"/>
    <m/>
    <m/>
    <m/>
    <s v="NO RECUPERADO"/>
    <n v="977573123"/>
    <m/>
    <m/>
    <s v="ERIK.SERVICIOSCAMIONGRUA@GMAIL.COM"/>
    <m/>
    <m/>
    <s v="AVENIDA FEDERICO SCHWAGER 2835"/>
    <m/>
    <s v="VIII REGION"/>
    <s v="C-4685-2025"/>
    <s v="24º Juzgado Civil de Santiago"/>
    <s v="INGRESADO"/>
    <s v="MANTIENE"/>
    <m/>
    <m/>
    <m/>
    <m/>
    <s v="NO"/>
    <s v="ACTIVO"/>
    <s v="RSWR55"/>
    <s v="GREAT WALL"/>
    <s v="POER 4X4 2.0"/>
    <n v="2022"/>
  </r>
  <r>
    <n v="1744150"/>
    <n v="0"/>
    <m/>
    <n v="521502"/>
    <m/>
    <s v="PHOENIX"/>
    <s v="JUDICIAL"/>
    <x v="3"/>
    <s v="AL DIA"/>
    <x v="1"/>
    <s v="COBRANZA"/>
    <x v="1"/>
    <s v="E"/>
    <n v="14465346"/>
    <n v="7"/>
    <s v="JHON ALEX TRIGO MATURANA"/>
    <m/>
    <m/>
    <m/>
    <m/>
    <n v="47"/>
    <m/>
    <s v="Dealer"/>
    <m/>
    <n v="0"/>
    <n v="0"/>
    <s v="NO"/>
    <s v="18-01-2022"/>
    <n v="0"/>
    <s v="2,08"/>
    <m/>
    <m/>
    <m/>
    <s v="CERRADO"/>
    <m/>
    <m/>
    <m/>
    <m/>
    <m/>
    <m/>
    <m/>
    <m/>
    <m/>
    <s v="C-20316-2024"/>
    <s v="14º Juzgado Civil de Santiago"/>
    <s v="INGRESADO"/>
    <s v="MANTIENE"/>
    <m/>
    <s v="TERMINADO"/>
    <s v="CANCELADO"/>
    <d v="2026-05-05T00:00:00"/>
    <s v="NO"/>
    <s v="CERRADO"/>
    <s v="JYWC57"/>
    <s v="FORD"/>
    <s v="EXPLORER LTD 4X4 2.3 AUT"/>
    <n v="2018"/>
  </r>
  <r>
    <n v="1769482"/>
    <n v="176"/>
    <n v="5"/>
    <n v="4635527"/>
    <m/>
    <s v="PHOENIX"/>
    <s v="JUDICIAL"/>
    <x v="10"/>
    <s v="151-180"/>
    <x v="1"/>
    <s v="COBRANZA"/>
    <x v="1"/>
    <s v="E"/>
    <n v="16986051"/>
    <n v="3"/>
    <s v="CARLOS ANDRES POLANCO DIAZ"/>
    <n v="1"/>
    <n v="336.303"/>
    <d v="2025-10-11T00:00:00"/>
    <n v="44"/>
    <n v="44"/>
    <n v="49"/>
    <s v="AMICAR"/>
    <m/>
    <n v="269038"/>
    <n v="0"/>
    <s v="NO"/>
    <s v="21-01-2022"/>
    <n v="1950553"/>
    <s v="1,99"/>
    <m/>
    <m/>
    <m/>
    <s v="NO RECUPERADO"/>
    <n v="973911099"/>
    <m/>
    <m/>
    <s v="ca.polanco17@gmail.com"/>
    <m/>
    <m/>
    <s v="GLACIAR EL MORADO 71"/>
    <s v="LOS ANDES"/>
    <s v="V REGION"/>
    <s v="C-838-2026"/>
    <s v="3º Juzgado Civil de Santiago"/>
    <s v="NOTIFICADO"/>
    <s v="MANTIENE"/>
    <m/>
    <m/>
    <m/>
    <m/>
    <s v="SI"/>
    <s v="ACTIVO"/>
    <s v="RSYR17"/>
    <s v="JAC"/>
    <s v="JS3 1.6 ADVANCE"/>
    <n v="2022"/>
  </r>
  <r>
    <n v="1793060"/>
    <n v="88"/>
    <n v="2"/>
    <n v="621128"/>
    <m/>
    <s v="PHOENIX"/>
    <s v="JUDICIAL"/>
    <x v="12"/>
    <s v="61-90"/>
    <x v="1"/>
    <s v="COBRANZA"/>
    <x v="1"/>
    <s v="E"/>
    <n v="14562732"/>
    <s v="K"/>
    <s v="ALEJANDRO ANTONIO VARGAS VERGARA"/>
    <n v="1"/>
    <n v="320.28699999999998"/>
    <d v="2026-06-02T00:00:00"/>
    <n v="46"/>
    <n v="46"/>
    <n v="48"/>
    <s v="Dealer"/>
    <m/>
    <n v="33349"/>
    <n v="0"/>
    <s v="NO"/>
    <d v="2022-11-02T00:00:00"/>
    <n v="673923"/>
    <s v="2,08"/>
    <m/>
    <m/>
    <m/>
    <s v="NO RECUPERADO"/>
    <n v="956865324"/>
    <m/>
    <m/>
    <s v="janogas.77@gmail.com"/>
    <m/>
    <m/>
    <s v="Julio Cesar 3058"/>
    <s v="PUENTE ALTO"/>
    <s v="REGION METROPOLITANA"/>
    <s v="C-8231-2025"/>
    <s v="24º Juzgado Civil de Santiago"/>
    <s v="EMBARGADO"/>
    <s v="MANTIENE"/>
    <m/>
    <m/>
    <m/>
    <m/>
    <s v="SI"/>
    <s v="ACTIVO"/>
    <s v="RSKC73"/>
    <s v="KYC"/>
    <s v="X5 1.8 PLUS CS"/>
    <n v="2022"/>
  </r>
  <r>
    <n v="1809303"/>
    <n v="197"/>
    <n v="7"/>
    <n v="2187323"/>
    <m/>
    <s v="PHOENIX"/>
    <s v="JUDICIAL"/>
    <x v="8"/>
    <s v="181-210"/>
    <x v="1"/>
    <s v="COBRANZA"/>
    <x v="1"/>
    <s v="E"/>
    <n v="10819261"/>
    <n v="5"/>
    <s v="ALEJANDRO SEGUNDO VERA SANDOVAL"/>
    <n v="1"/>
    <n v="340.18"/>
    <s v="20-10-2025"/>
    <n v="41"/>
    <n v="41"/>
    <n v="48"/>
    <s v="AMICAR"/>
    <s v="DACIÓN"/>
    <n v="184193"/>
    <n v="0"/>
    <s v="NO"/>
    <s v="21-02-2022"/>
    <n v="2565453"/>
    <s v="2,17"/>
    <m/>
    <m/>
    <m/>
    <s v="NO RECUPERADO"/>
    <n v="9746697730"/>
    <m/>
    <n v="56929841312"/>
    <m/>
    <m/>
    <m/>
    <s v="19 SUR 5743"/>
    <s v="LO ESPEJO"/>
    <s v="REGION METROPOLITANA"/>
    <s v="C-2593-2025"/>
    <s v="26º Juzgado Civil de Santiago"/>
    <s v="EMBARGADO"/>
    <s v="MANTIENE"/>
    <m/>
    <m/>
    <m/>
    <m/>
    <s v="SI"/>
    <s v="ACTIVO"/>
    <s v="RTBT93"/>
    <s v="MAHINDRA"/>
    <s v="PIK UP CRDE 2WD 2.2"/>
    <n v="2022"/>
  </r>
  <r>
    <n v="1809325"/>
    <n v="30"/>
    <n v="1"/>
    <n v="253016"/>
    <m/>
    <s v="PHOENIX"/>
    <s v="JUDICIAL"/>
    <x v="5"/>
    <d v="2026-01-30T00:00:00"/>
    <x v="1"/>
    <s v="COBRANZA"/>
    <x v="1"/>
    <s v="C"/>
    <n v="12685086"/>
    <n v="7"/>
    <s v="RODRIGO JOSHUA MICHEL MATURANA SALINAS"/>
    <n v="1"/>
    <n v="257.577"/>
    <d v="2026-05-04T00:00:00"/>
    <n v="47"/>
    <n v="47"/>
    <n v="48"/>
    <s v="AMICAR"/>
    <m/>
    <n v="5542"/>
    <n v="0"/>
    <s v="NO"/>
    <d v="2022-01-02T00:00:00"/>
    <n v="263119"/>
    <s v="1,8"/>
    <m/>
    <m/>
    <s v="NO PREMIUM"/>
    <s v="NO RECUPERADO"/>
    <n v="986363975"/>
    <m/>
    <m/>
    <s v="salinas@gmail.com"/>
    <m/>
    <m/>
    <s v="POETA ANGEL GANIVET 11078"/>
    <s v="LA PINTANA"/>
    <s v="REGION METROPOLITANA"/>
    <s v="C-5507-2025"/>
    <s v="6º JUZGADO CIVIL DE SANTIAGO"/>
    <s v="EMBARGADO"/>
    <s v="MANTIENE"/>
    <m/>
    <s v="SUSPENDER"/>
    <s v="1 CUOTA EN MORA"/>
    <d v="2026-05-05T00:00:00"/>
    <s v="SI"/>
    <s v="SUSPENDIDO"/>
    <s v="RWGX33"/>
    <s v="CHANGAN"/>
    <s v="CX70 OTTO 1.6"/>
    <n v="2022"/>
  </r>
  <r>
    <n v="1836390"/>
    <n v="361"/>
    <n v="1"/>
    <n v="4823771"/>
    <m/>
    <s v="PHOENIX"/>
    <s v="JUDICIAL"/>
    <x v="7"/>
    <s v="361-390"/>
    <x v="1"/>
    <s v="COBRANZA"/>
    <x v="1"/>
    <s v="E"/>
    <n v="17608529"/>
    <n v="0"/>
    <s v="DANIEL ROBERTO MAIRA ARIAS"/>
    <n v="1"/>
    <n v="244.58099999999999"/>
    <d v="2025-09-05T00:00:00"/>
    <n v="36"/>
    <n v="36"/>
    <n v="37"/>
    <s v="AMICAR"/>
    <m/>
    <n v="1290270"/>
    <n v="0"/>
    <s v="NO"/>
    <d v="2022-09-03T00:00:00"/>
    <n v="6200880"/>
    <s v="1,8"/>
    <m/>
    <m/>
    <m/>
    <s v="NO RECUPERADO"/>
    <n v="996418216"/>
    <m/>
    <m/>
    <s v="daniel_trd@hotmail.com"/>
    <m/>
    <m/>
    <s v="CALLE CASTRO 4165"/>
    <s v="PUENTE ALTO"/>
    <s v="REGION METROPOLITANA"/>
    <s v="C-13009-2025"/>
    <s v="11º Juzgado Civil de Santiago"/>
    <s v="EMBARGADO"/>
    <s v="MANTIENE"/>
    <m/>
    <m/>
    <m/>
    <m/>
    <s v="SI"/>
    <s v="ACTIVO"/>
    <s v="LGPG81"/>
    <s v="HAVAL"/>
    <s v="H2 ELITE 1.5"/>
    <n v="2019"/>
  </r>
  <r>
    <n v="1846277"/>
    <n v="168"/>
    <n v="5"/>
    <n v="1448802"/>
    <m/>
    <s v="PHOENIX"/>
    <s v="JUDICIAL"/>
    <x v="10"/>
    <s v="151-180"/>
    <x v="1"/>
    <s v="COBRANZA"/>
    <x v="1"/>
    <s v="E"/>
    <n v="77069582"/>
    <n v="1"/>
    <s v="CONSTRUCCIONES PTS LIMITADA"/>
    <n v="0"/>
    <n v="309.78800000000001"/>
    <s v="18-11-2025"/>
    <n v="43"/>
    <n v="43"/>
    <n v="48"/>
    <s v="Dealer"/>
    <m/>
    <n v="127045"/>
    <n v="0"/>
    <s v="NO"/>
    <s v="17-03-2022"/>
    <n v="1675985"/>
    <s v="2,27"/>
    <m/>
    <m/>
    <m/>
    <s v="NO RECUPERADO"/>
    <n v="931803203"/>
    <m/>
    <m/>
    <s v="DAVIDTORREST@GMAIL.COM"/>
    <m/>
    <m/>
    <s v="CHOSHUENCO 1399"/>
    <s v="LA FLORIDA"/>
    <s v="REGION METROPOLITANA"/>
    <s v="C-5504-2025"/>
    <s v="4º Juzgado Civil de Santiago"/>
    <s v="EMBARGADO"/>
    <s v="MANTIENE"/>
    <m/>
    <m/>
    <m/>
    <m/>
    <s v="SI"/>
    <s v="ACTIVO"/>
    <s v="PBFW24"/>
    <s v="MAXUS"/>
    <s v="T60 GL 2.8"/>
    <n v="2021"/>
  </r>
  <r>
    <n v="1854377"/>
    <n v="36"/>
    <n v="2"/>
    <n v="2826965"/>
    <m/>
    <s v="PHOENIX"/>
    <s v="JUDICIAL"/>
    <x v="4"/>
    <s v="31-60"/>
    <x v="1"/>
    <s v="COBRANZA"/>
    <x v="1"/>
    <s v="E"/>
    <n v="13422825"/>
    <n v="3"/>
    <s v="PAMELA ALEJANDRA MIRANDA GARCIA"/>
    <n v="1"/>
    <n v="236.31299999999999"/>
    <s v="30-03-2026"/>
    <n v="46"/>
    <n v="46"/>
    <n v="60"/>
    <s v="AMICAR"/>
    <m/>
    <n v="7375"/>
    <n v="0"/>
    <s v="NO"/>
    <d v="2022-02-03T00:00:00"/>
    <n v="480001"/>
    <s v="2,17"/>
    <m/>
    <m/>
    <s v="NO PREMIUM"/>
    <s v="NO RECUPERADO"/>
    <n v="961121566"/>
    <m/>
    <m/>
    <s v="pamelaalejandramiranda640@gmail.com"/>
    <m/>
    <m/>
    <s v="CARLOS VAN BUREN 823, 823"/>
    <s v="COPIAPO"/>
    <s v="III REGION"/>
    <s v="C-14439-2025"/>
    <s v="19º Juzgado Civil de Santiago"/>
    <s v="EMBARGADO"/>
    <s v="REACTIVA"/>
    <m/>
    <m/>
    <m/>
    <m/>
    <s v="SI"/>
    <s v="ACTIVO"/>
    <s v="RVRF34"/>
    <s v="CHANGAN"/>
    <s v="CS15 HB 4X2 1.5"/>
    <n v="2022"/>
  </r>
  <r>
    <n v="1858227"/>
    <n v="364"/>
    <n v="1"/>
    <n v="7146761"/>
    <m/>
    <s v="PHOENIX"/>
    <s v="JUDICIAL"/>
    <x v="7"/>
    <s v="361-390"/>
    <x v="1"/>
    <s v="COBRANZA"/>
    <x v="1"/>
    <s v="E"/>
    <n v="18254104"/>
    <n v="4"/>
    <s v="GONZALO FELIPE LLANCA SEPULVEDA"/>
    <n v="1"/>
    <n v="399.07299999999998"/>
    <d v="2025-06-05T00:00:00"/>
    <n v="36"/>
    <n v="36"/>
    <n v="37"/>
    <s v="AMICAR"/>
    <m/>
    <n v="1934470"/>
    <n v="0"/>
    <s v="NO"/>
    <d v="2022-03-03T00:00:00"/>
    <n v="9236310"/>
    <s v="2,17"/>
    <m/>
    <m/>
    <m/>
    <s v="NO RECUPERADO"/>
    <n v="9752368720"/>
    <m/>
    <m/>
    <s v="gonzalollanca93@hotmail.com"/>
    <m/>
    <m/>
    <s v="MATAQUITO 1253 POBLACION PROSP"/>
    <s v="CURICO"/>
    <s v="VII REGION"/>
    <s v="C-13002-2025"/>
    <s v="6º JUZGADO CIVIL DE SANTIAGO"/>
    <s v="EMBARGADO"/>
    <s v="MANTIENE"/>
    <m/>
    <m/>
    <m/>
    <m/>
    <s v="SI"/>
    <s v="ACTIVO"/>
    <s v="RLVC45"/>
    <s v="JAC"/>
    <s v="T8 PRO LUXURY 2.0"/>
    <n v="2022"/>
  </r>
  <r>
    <n v="1859110"/>
    <n v="284"/>
    <n v="9"/>
    <n v="2147018"/>
    <m/>
    <s v="PHOENIX"/>
    <s v="JUDICIAL"/>
    <x v="13"/>
    <s v="271-300"/>
    <x v="1"/>
    <s v="COBRANZA"/>
    <x v="1"/>
    <s v="E"/>
    <n v="9711595"/>
    <n v="8"/>
    <s v="MARÍA MARGARITA CUYUL MUÑOZ"/>
    <n v="1"/>
    <n v="266.44299999999998"/>
    <s v="25-07-2025"/>
    <n v="39"/>
    <n v="39"/>
    <n v="48"/>
    <s v="Dealer"/>
    <s v="DACIÓN"/>
    <n v="284928"/>
    <n v="119039"/>
    <s v="NO"/>
    <s v="22-03-2022"/>
    <n v="2801954"/>
    <s v="2,27"/>
    <m/>
    <m/>
    <m/>
    <s v="NO RECUPERADO"/>
    <n v="976739493"/>
    <m/>
    <m/>
    <s v="margaritacuyulmunoz@gmail.com"/>
    <m/>
    <m/>
    <s v="PJE. IGNACIO KUSCHEL 284"/>
    <s v="PUERTO MONTT"/>
    <s v="X REGION"/>
    <s v="20º Juzgado Civil de Santiago"/>
    <s v="C-15705-2024"/>
    <s v="INGRESADO"/>
    <s v="MANTIENE"/>
    <m/>
    <m/>
    <m/>
    <m/>
    <s v="NO"/>
    <s v="ACTIVO"/>
    <s v="FDDZ68"/>
    <s v="SSANGYONG"/>
    <s v="ACTYON SPORT 4X4 2.0"/>
    <n v="2013"/>
  </r>
  <r>
    <n v="1864263"/>
    <n v="242"/>
    <n v="9"/>
    <n v="4148304"/>
    <m/>
    <s v="PHOENIX"/>
    <s v="JUDICIAL"/>
    <x v="6"/>
    <s v="241-270"/>
    <x v="1"/>
    <s v="COBRANZA"/>
    <x v="1"/>
    <s v="E"/>
    <n v="17945067"/>
    <n v="4"/>
    <s v="IGNACIO JAVIER DESCHAMPS PINOCHET"/>
    <n v="1"/>
    <n v="239.00899999999999"/>
    <d v="2025-05-09T00:00:00"/>
    <n v="40"/>
    <n v="40"/>
    <n v="60"/>
    <s v="Directo"/>
    <m/>
    <n v="198026"/>
    <n v="9568"/>
    <s v="NO"/>
    <s v="17-03-2022"/>
    <n v="2358675"/>
    <s v="1,39"/>
    <m/>
    <m/>
    <m/>
    <s v="NO RECUPERADO"/>
    <n v="982713094"/>
    <m/>
    <m/>
    <s v="IDESCHAMPSP@GMAIL.COM"/>
    <m/>
    <m/>
    <s v="SANTA ELENA"/>
    <m/>
    <s v="V REGION"/>
    <s v="C-835-2026"/>
    <s v="5º Juzgado Civil de Santiago"/>
    <s v="INGRESADO"/>
    <s v="MANTIENE"/>
    <m/>
    <m/>
    <m/>
    <m/>
    <s v="NO"/>
    <s v="ACTIVO"/>
    <m/>
    <s v="OPEL"/>
    <s v="CORSA 1.2"/>
    <n v="2022"/>
  </r>
  <r>
    <n v="1866942"/>
    <n v="181"/>
    <n v="7"/>
    <n v="4444934"/>
    <m/>
    <s v="PHOENIX"/>
    <s v="JUDICIAL"/>
    <x v="10"/>
    <s v="181-210"/>
    <x v="1"/>
    <s v="COBRANZA"/>
    <x v="1"/>
    <s v="E"/>
    <n v="26128730"/>
    <n v="7"/>
    <s v="KEFNY JEAN ."/>
    <n v="1"/>
    <n v="259.52100000000002"/>
    <d v="2025-05-11T00:00:00"/>
    <n v="40"/>
    <n v="40"/>
    <n v="49"/>
    <s v="AMICAR"/>
    <s v="DACIÓN"/>
    <n v="125477"/>
    <n v="98038"/>
    <s v="NO"/>
    <s v="22-03-2022"/>
    <n v="2040162"/>
    <s v="2,27"/>
    <m/>
    <m/>
    <m/>
    <s v="NO RECUPERADO"/>
    <n v="944787845"/>
    <n v="981538813"/>
    <m/>
    <s v="kefnyjean914@gmail.com"/>
    <s v="kefnyjean914@gmail.com"/>
    <m/>
    <s v="MANUEL PLAZA 2593"/>
    <s v="COLINA"/>
    <s v="REGION METROPOLITANA"/>
    <s v="C-3907-2026"/>
    <s v="9º Juzgado Civil de Santiago"/>
    <s v="INGRESADO"/>
    <s v="MANTIENE"/>
    <m/>
    <m/>
    <m/>
    <m/>
    <s v="NO"/>
    <s v="ACTIVO"/>
    <s v="RVTD95"/>
    <s v="JAC"/>
    <s v="JS2 HB 1.5"/>
    <n v="2022"/>
  </r>
  <r>
    <n v="1867567"/>
    <n v="334"/>
    <n v="1"/>
    <n v="4685635"/>
    <m/>
    <s v="PHOENIX"/>
    <s v="JUDICIAL"/>
    <x v="11"/>
    <s v="331-360"/>
    <x v="1"/>
    <s v="COBRANZA"/>
    <x v="1"/>
    <s v="E"/>
    <n v="13313083"/>
    <n v="7"/>
    <s v="JAIME PATRICIO RUIZ CRUCES"/>
    <n v="1"/>
    <n v="278.96300000000002"/>
    <d v="2025-05-06T00:00:00"/>
    <n v="36"/>
    <n v="36"/>
    <n v="37"/>
    <s v="AMICAR"/>
    <m/>
    <n v="1214692"/>
    <n v="257183"/>
    <s v="NO"/>
    <s v="24-03-2022"/>
    <n v="6263875"/>
    <s v="2,27"/>
    <m/>
    <m/>
    <m/>
    <s v="NO RECUPERADO"/>
    <n v="976844320"/>
    <m/>
    <n v="56976844320"/>
    <s v="jruiz79@gmail.com"/>
    <m/>
    <m/>
    <s v="LOS LABOREOS, 1987"/>
    <s v="CORONEL"/>
    <s v="VIII REGION"/>
    <s v="C-14421-2025"/>
    <s v="18º Juzgado Civil de Santiago"/>
    <s v="INGRESADO"/>
    <s v="MANTIENE"/>
    <m/>
    <m/>
    <m/>
    <m/>
    <s v="NO"/>
    <s v="ACTIVO"/>
    <s v="RWHH46"/>
    <s v="CHANGAN"/>
    <s v="CX70 OTTO 1.6"/>
    <n v="2022"/>
  </r>
  <r>
    <n v="1873778"/>
    <n v="334"/>
    <n v="11"/>
    <n v="3028609"/>
    <m/>
    <s v="PHOENIX"/>
    <s v="JUDICIAL"/>
    <x v="11"/>
    <s v="331-360"/>
    <x v="1"/>
    <s v="COBRANZA"/>
    <x v="1"/>
    <s v="E"/>
    <n v="12053814"/>
    <n v="4"/>
    <s v="JUAN MOISÉS  GONZÁLEZ  SEPÚLVEDA"/>
    <n v="1"/>
    <n v="302.98"/>
    <d v="2025-05-06T00:00:00"/>
    <n v="37"/>
    <n v="37"/>
    <n v="48"/>
    <s v="Dealer"/>
    <s v="DACIÓN"/>
    <n v="448821"/>
    <n v="153716"/>
    <s v="NO"/>
    <s v="31-03-2022"/>
    <n v="3935317"/>
    <s v="1,63"/>
    <m/>
    <m/>
    <m/>
    <s v="NO RECUPERADO"/>
    <n v="944396898"/>
    <m/>
    <m/>
    <s v="CONTRUMOISESG@GMAIL.COM"/>
    <m/>
    <m/>
    <s v="BALMACEDA 377"/>
    <s v="PURRANQUE"/>
    <s v="X REGION"/>
    <s v="C-22156-2024"/>
    <s v="23º Juzgado Civil de Santiago"/>
    <s v="INGRESADO"/>
    <s v="MANTIENE"/>
    <m/>
    <m/>
    <m/>
    <m/>
    <s v="NO"/>
    <s v="ACTIVO"/>
    <s v="RTZG41"/>
    <s v="KARRY"/>
    <s v="Q22E D CAB 1.5"/>
    <n v="2022"/>
  </r>
  <r>
    <n v="1874171"/>
    <n v="0"/>
    <m/>
    <n v="4865566"/>
    <m/>
    <s v="PHOENIX"/>
    <s v="JUDICIAL"/>
    <x v="7"/>
    <s v="361-390"/>
    <x v="1"/>
    <s v="COBRANZA"/>
    <x v="1"/>
    <s v="E"/>
    <n v="14087686"/>
    <n v="0"/>
    <s v="BERNARDO ALONSO MANSILLA NANCUCHEO"/>
    <n v="1"/>
    <n v="266.815"/>
    <m/>
    <m/>
    <n v="36"/>
    <m/>
    <s v="AMICAR"/>
    <m/>
    <n v="0"/>
    <n v="0"/>
    <s v="NO"/>
    <s v="31-03-2022"/>
    <n v="0"/>
    <s v="2,27"/>
    <m/>
    <m/>
    <m/>
    <s v="CASTIGO"/>
    <n v="962357201"/>
    <m/>
    <m/>
    <s v="alonsomansillanancucheo@gmail.com"/>
    <m/>
    <m/>
    <s v="SECTOR CHACAO VIEJO 0"/>
    <s v="ANCUD"/>
    <s v="X REGION"/>
    <s v="C-12988-2025"/>
    <s v="4º Juzgado Civil de Santiago"/>
    <s v="INGRESADO"/>
    <s v="MANTIENE"/>
    <m/>
    <m/>
    <m/>
    <m/>
    <s v="NO"/>
    <s v="ACTIVO"/>
    <s v="RWFG52"/>
    <s v="CHANGAN"/>
    <s v="A500 LUXURY"/>
    <n v="2022"/>
  </r>
  <r>
    <n v="1894515"/>
    <n v="304"/>
    <n v="11"/>
    <n v="3097382"/>
    <m/>
    <s v="PHOENIX"/>
    <s v="JUDICIAL"/>
    <x v="13"/>
    <s v="301-330"/>
    <x v="1"/>
    <s v="COBRANZA"/>
    <x v="1"/>
    <s v="E"/>
    <n v="15673617"/>
    <n v="1"/>
    <s v="ERWIN EDGARDO ARACENA PACHECO"/>
    <n v="1"/>
    <n v="321.36500000000001"/>
    <d v="2025-05-07T00:00:00"/>
    <n v="37"/>
    <n v="37"/>
    <n v="48"/>
    <s v="Dealer"/>
    <s v="DACIÓN"/>
    <n v="407056"/>
    <n v="92755"/>
    <s v="NO"/>
    <s v="13-04-2022"/>
    <n v="4034826"/>
    <s v="2,27"/>
    <m/>
    <m/>
    <m/>
    <s v="NO RECUPERADO"/>
    <n v="976515541"/>
    <m/>
    <n v="56995071356"/>
    <s v="ERWIN1983@HOTMAIL.ES"/>
    <m/>
    <m/>
    <s v="PIRITA # 10515  BLOCK C-4"/>
    <s v="ANTOFAGASTA"/>
    <s v="II REGION"/>
    <s v="C-14426-2025"/>
    <s v="13º Juzgado Civil de Santiago"/>
    <s v="INGRESADO"/>
    <s v="MANTIENE"/>
    <m/>
    <m/>
    <m/>
    <m/>
    <s v="NO"/>
    <s v="ACTIVO"/>
    <s v="RSSG27"/>
    <s v="JETOUR"/>
    <s v="X70 GL 1.5"/>
    <n v="2022"/>
  </r>
  <r>
    <n v="1899059"/>
    <n v="120"/>
    <n v="5"/>
    <n v="4249568"/>
    <m/>
    <s v="PHOENIX"/>
    <s v="JUDICIAL"/>
    <x v="3"/>
    <s v="91-120"/>
    <x v="1"/>
    <s v="COBRANZA"/>
    <x v="1"/>
    <s v="E"/>
    <n v="17300642"/>
    <s v="K"/>
    <s v="CAMILO ALEJANDRO IBACACHE HERRERA"/>
    <n v="1"/>
    <n v="300.91899999999998"/>
    <d v="2026-05-01T00:00:00"/>
    <n v="43"/>
    <n v="43"/>
    <n v="49"/>
    <s v="AMICAR"/>
    <s v="DACIÓN"/>
    <n v="69445"/>
    <n v="66890"/>
    <s v="NO"/>
    <d v="2022-06-04T00:00:00"/>
    <n v="1640930"/>
    <s v="2,27"/>
    <m/>
    <m/>
    <m/>
    <s v="NO RECUPERADO"/>
    <n v="91974352"/>
    <m/>
    <m/>
    <s v="camilo.ibacache@stein.cl"/>
    <m/>
    <m/>
    <s v="AVENIDA CARLOS DIAZ 190"/>
    <s v="LOS ANDES"/>
    <s v="V REGION"/>
    <s v="C-12990-2025"/>
    <s v="2º Juzgado Civil de Santiago"/>
    <s v="INGRESADO"/>
    <s v="MANTIENE"/>
    <m/>
    <m/>
    <m/>
    <m/>
    <s v="NO"/>
    <s v="ACTIVO"/>
    <s v="RWRZ35"/>
    <s v="JAC"/>
    <s v="JS2 LUXURY"/>
    <n v="2022"/>
  </r>
  <r>
    <n v="1902230"/>
    <n v="46"/>
    <n v="2"/>
    <n v="553247"/>
    <m/>
    <s v="PHOENIX"/>
    <s v="JUDICIAL"/>
    <x v="4"/>
    <s v="31-60"/>
    <x v="1"/>
    <s v="COBRANZA"/>
    <x v="1"/>
    <s v="E"/>
    <n v="19935089"/>
    <n v="7"/>
    <s v="ÁLVARO CRISTÓBAL CABRERA NAVARRO"/>
    <n v="1"/>
    <n v="286.07799999999997"/>
    <s v="20-03-2026"/>
    <n v="46"/>
    <n v="46"/>
    <n v="48"/>
    <s v="Dealer"/>
    <m/>
    <n v="13636"/>
    <n v="9568"/>
    <s v="NO"/>
    <s v="18-04-2022"/>
    <n v="595360"/>
    <s v="2,27"/>
    <m/>
    <m/>
    <s v="NO PREMIUM"/>
    <s v="NO RECUPERADO"/>
    <n v="56962629423"/>
    <m/>
    <m/>
    <s v="contrata.romeo@gmail.com"/>
    <m/>
    <m/>
    <s v="PARQUE NORTE, 12, ÑIQUÉN / Punilla"/>
    <s v="ÑIQUEN"/>
    <s v="XVI REGION"/>
    <s v="C-685-2025"/>
    <s v="6º JUZGADO CIVIL DE SANTIAGO"/>
    <s v="INGRESADO"/>
    <s v="MANTIENE"/>
    <m/>
    <m/>
    <m/>
    <m/>
    <s v="NO"/>
    <s v="ACTIVO"/>
    <s v="PKYC40"/>
    <s v="CHANGAN"/>
    <s v="CX 70 OTTO 1.6"/>
    <n v="2021"/>
  </r>
  <r>
    <n v="1909441"/>
    <n v="151"/>
    <n v="6"/>
    <n v="2163787"/>
    <m/>
    <s v="PHOENIX"/>
    <s v="JUDICIAL"/>
    <x v="9"/>
    <s v="151-180"/>
    <x v="1"/>
    <s v="COBRANZA"/>
    <x v="1"/>
    <s v="E"/>
    <n v="12732569"/>
    <n v="3"/>
    <s v="RICARDO ALEJANDRO CHAMORRO CHAMORRO"/>
    <n v="1"/>
    <n v="389.81900000000002"/>
    <d v="2025-05-12T00:00:00"/>
    <n v="42"/>
    <n v="42"/>
    <n v="48"/>
    <s v="Dealer"/>
    <s v="DACIÓN"/>
    <n v="134794"/>
    <n v="0"/>
    <s v="NO"/>
    <s v="21-04-2022"/>
    <n v="2473708"/>
    <s v="2,27"/>
    <m/>
    <m/>
    <m/>
    <s v="NO RECUPERADO"/>
    <n v="961013946"/>
    <m/>
    <m/>
    <s v="ricardochamorroch75@gmail.com"/>
    <m/>
    <m/>
    <s v="CALLE HUALQUI 635"/>
    <s v="HUALPEN"/>
    <s v="VIII REGION"/>
    <s v="C-836-2026"/>
    <s v="10º Juzgado Civil de Santiago"/>
    <s v="EMBARGADO"/>
    <s v="MANTIENE"/>
    <m/>
    <m/>
    <m/>
    <m/>
    <s v="SI"/>
    <s v="ACTIVO"/>
    <s v="KPST98"/>
    <s v="TOYOTA"/>
    <s v="RAV 4 2.0"/>
    <n v="2018"/>
  </r>
  <r>
    <n v="1910675"/>
    <n v="84"/>
    <n v="3"/>
    <n v="1699527"/>
    <m/>
    <s v="PHOENIX"/>
    <s v="JUDICIAL"/>
    <x v="12"/>
    <s v="61-90"/>
    <x v="1"/>
    <s v="COBRANZA"/>
    <x v="1"/>
    <s v="D"/>
    <n v="6461783"/>
    <n v="4"/>
    <s v="RAÚL EUGENIO VILLAR MESÍAS"/>
    <n v="1"/>
    <n v="449.26400000000001"/>
    <d v="2026-10-02T00:00:00"/>
    <n v="44"/>
    <n v="44"/>
    <n v="48"/>
    <s v="Dealer"/>
    <m/>
    <n v="57109"/>
    <n v="0"/>
    <s v="NO"/>
    <s v="22-04-2022"/>
    <n v="1404901"/>
    <s v="2,27"/>
    <m/>
    <m/>
    <m/>
    <s v="NO RECUPERADO"/>
    <n v="961712848"/>
    <m/>
    <n v="56961712848"/>
    <s v="rosri_2@hotmail.con"/>
    <m/>
    <m/>
    <s v="LAS BELLOTAS 270 DEPTO 401"/>
    <s v="PROVIDENCIA"/>
    <s v="REGION METROPOLITANA"/>
    <s v="C-9764-2025"/>
    <s v="24º Juzgado Civil de Santiago"/>
    <s v="NOTIFICADO"/>
    <s v="MANTIENE"/>
    <m/>
    <m/>
    <m/>
    <m/>
    <s v="SI"/>
    <s v="ACTIVO"/>
    <s v="LXKZ91"/>
    <s v="VOLKSWAGEN"/>
    <s v="T CROSS 1.6"/>
    <n v="2021"/>
  </r>
  <r>
    <n v="1914502"/>
    <n v="110"/>
    <n v="4"/>
    <n v="3663932"/>
    <m/>
    <s v="PHOENIX"/>
    <s v="JUDICIAL"/>
    <x v="3"/>
    <s v="91-120"/>
    <x v="1"/>
    <s v="COBRANZA"/>
    <x v="1"/>
    <s v="E"/>
    <n v="76536445"/>
    <n v="0"/>
    <s v="GASTRONOMIA PEREZ PANDO LIMITADA"/>
    <n v="0"/>
    <n v="659.63599999999997"/>
    <s v="15-01-2026"/>
    <n v="42"/>
    <n v="42"/>
    <n v="48"/>
    <s v="Dealer"/>
    <s v="DACIÓN"/>
    <n v="127658"/>
    <n v="0"/>
    <s v="NO"/>
    <s v="26-04-2022"/>
    <n v="2766202"/>
    <s v="2,25"/>
    <m/>
    <m/>
    <m/>
    <s v="NO RECUPERADO"/>
    <n v="956553795"/>
    <m/>
    <m/>
    <s v="RODRIGO_EPH@HOTMAIL.COM"/>
    <m/>
    <m/>
    <s v="MAIPU 501"/>
    <s v="LOS ANDES"/>
    <s v="V REGION"/>
    <s v="C-15782-2025"/>
    <s v="30º Juzgado Civil de Santiago"/>
    <s v="EMBARGADO"/>
    <s v="MANTIENE"/>
    <m/>
    <m/>
    <m/>
    <m/>
    <s v="SI"/>
    <s v="ACTIVO"/>
    <s v="RXXC92"/>
    <s v="PEUGEOT"/>
    <s v="LANDTREK 4X4 1.9"/>
    <n v="2022"/>
  </r>
  <r>
    <n v="1922220"/>
    <n v="304"/>
    <n v="1"/>
    <n v="4757215"/>
    <m/>
    <s v="PHOENIX"/>
    <s v="JUDICIAL"/>
    <x v="13"/>
    <s v="301-330"/>
    <x v="1"/>
    <s v="COBRANZA"/>
    <x v="1"/>
    <s v="E"/>
    <n v="17230234"/>
    <n v="3"/>
    <s v="ESTEFANIA ANDREA FERRERA PIZARRO"/>
    <n v="1"/>
    <n v="310.76"/>
    <d v="2025-05-07T00:00:00"/>
    <n v="36"/>
    <n v="36"/>
    <n v="37"/>
    <s v="AMICAR"/>
    <m/>
    <n v="1116991"/>
    <n v="0"/>
    <s v="NO"/>
    <s v="21-04-2022"/>
    <n v="5956991"/>
    <s v="1,74"/>
    <m/>
    <m/>
    <m/>
    <s v="NO RECUPERADO"/>
    <n v="949247141"/>
    <m/>
    <m/>
    <s v="estefaniaferrera2@gmail.com"/>
    <m/>
    <m/>
    <s v="LOS CASTAÑOS 11952"/>
    <s v="EL BOSQUE"/>
    <s v="REGION METROPOLITANA"/>
    <s v="C-15769-2025"/>
    <s v="7º Juzgado Civil de Santiago"/>
    <s v="EMBARGADO"/>
    <s v="MANTIENE"/>
    <m/>
    <m/>
    <m/>
    <m/>
    <s v="SI"/>
    <s v="ACTIVO"/>
    <s v="RXKX41"/>
    <s v="CHANGAN"/>
    <s v="CX70 OTTO 1.6"/>
    <n v="2022"/>
  </r>
  <r>
    <n v="1966918"/>
    <n v="360"/>
    <n v="12"/>
    <n v="5463159"/>
    <m/>
    <s v="PHOENIX"/>
    <s v="JUDICIAL"/>
    <x v="7"/>
    <s v="331-360"/>
    <x v="1"/>
    <s v="COBRANZA"/>
    <x v="1"/>
    <s v="E"/>
    <n v="15167058"/>
    <s v="K"/>
    <s v="CRISTIAN ALBERTO  REYES  INZUNZA"/>
    <n v="1"/>
    <n v="437.35399999999998"/>
    <d v="2025-10-05T00:00:00"/>
    <n v="33"/>
    <n v="33"/>
    <n v="48"/>
    <s v="CREDINISSAN"/>
    <s v="DACIÓN"/>
    <n v="805407"/>
    <n v="204971"/>
    <s v="NO"/>
    <s v="30-05-2022"/>
    <n v="6258626"/>
    <s v="2,38"/>
    <m/>
    <m/>
    <m/>
    <s v="NO RECUPERADO"/>
    <n v="995151597"/>
    <m/>
    <m/>
    <s v="CRISTIAN.REYES.Y@GMAIL.COM"/>
    <m/>
    <m/>
    <s v="PASAJE EL NOGAL 4 VILLA ESPERANZA"/>
    <s v="CABRERO"/>
    <s v="VIII REGION"/>
    <s v="C-3910-2025"/>
    <s v="11º Juzgado Civil de Santiago"/>
    <s v="INGRESADO"/>
    <s v="MANTIENE"/>
    <m/>
    <m/>
    <m/>
    <m/>
    <s v="NO"/>
    <s v="ACTIVO"/>
    <s v="GPZV82"/>
    <s v="NISSAN"/>
    <s v="SENTRA NEW SENSE MT"/>
    <n v="2022"/>
  </r>
  <r>
    <n v="1987363"/>
    <n v="172"/>
    <n v="6"/>
    <n v="6705793"/>
    <m/>
    <s v="PHOENIX"/>
    <s v="JUDICIAL"/>
    <x v="10"/>
    <s v="151-180"/>
    <x v="1"/>
    <s v="COBRANZA"/>
    <x v="1"/>
    <s v="E"/>
    <n v="15510095"/>
    <n v="8"/>
    <s v="FELIPE ANTONIO REYES ALEGRÍA"/>
    <n v="1"/>
    <n v="836.53200000000004"/>
    <s v="14-11-2025"/>
    <n v="39"/>
    <n v="39"/>
    <n v="48"/>
    <s v="Dealer"/>
    <s v="DACIÓN"/>
    <n v="364264"/>
    <n v="0"/>
    <s v="NO"/>
    <s v="13-06-2022"/>
    <n v="5383456"/>
    <s v="2,38"/>
    <m/>
    <m/>
    <m/>
    <s v="NO RECUPERADO"/>
    <n v="931854060"/>
    <m/>
    <m/>
    <s v="FREYES_A@HOTMAIL.CL"/>
    <m/>
    <m/>
    <s v="PANGAL 0755"/>
    <s v="LA PINTANA"/>
    <s v="REGION METROPOLITANA"/>
    <s v="C-3902-2026"/>
    <s v="14º Juzgado Civil de Santiago"/>
    <s v="EMBARGADO"/>
    <s v="MANTIENE"/>
    <m/>
    <m/>
    <m/>
    <m/>
    <s v="SI"/>
    <s v="ACTIVO"/>
    <s v="RZVD76"/>
    <s v="MERCEDES BENZ"/>
    <s v="VITO TOURER 111 CDI 9 1"/>
    <n v="2022"/>
  </r>
  <r>
    <n v="2001950"/>
    <n v="304"/>
    <n v="2"/>
    <n v="4450281"/>
    <m/>
    <s v="PHOENIX"/>
    <s v="JUDICIAL"/>
    <x v="13"/>
    <s v="301-330"/>
    <x v="1"/>
    <s v="COBRANZA"/>
    <x v="1"/>
    <s v="E"/>
    <n v="13857831"/>
    <n v="3"/>
    <s v="KAREN PAZ RETAMAL COVARRUBIAS"/>
    <n v="1"/>
    <n v="301.25599999999997"/>
    <d v="2025-05-07T00:00:00"/>
    <n v="35"/>
    <n v="35"/>
    <n v="37"/>
    <s v="AMICAR"/>
    <m/>
    <n v="1010773"/>
    <n v="0"/>
    <s v="NO"/>
    <s v="14-06-2022"/>
    <n v="1613285"/>
    <s v="1,74"/>
    <m/>
    <m/>
    <m/>
    <s v="NO RECUPERADO"/>
    <n v="991266842"/>
    <m/>
    <n v="56991266842"/>
    <s v="karenretamal27@gmail.com"/>
    <m/>
    <m/>
    <s v="22 Y 23 ORIENTE 308"/>
    <s v="TALCA"/>
    <s v="VII REGION"/>
    <s v="C-15764-2025"/>
    <s v="9º Juzgado Civil de Santiago"/>
    <s v="EMBARGADO"/>
    <s v="MANTIENE"/>
    <m/>
    <m/>
    <m/>
    <m/>
    <s v="SI"/>
    <s v="ACTIVO"/>
    <s v="SBHW12"/>
    <s v="CHANGAN"/>
    <s v="NEW CS15 ELITE AT"/>
    <n v="2022"/>
  </r>
  <r>
    <n v="2003692"/>
    <n v="103"/>
    <n v="4"/>
    <n v="2205064"/>
    <m/>
    <s v="PHOENIX"/>
    <s v="JUDICIAL"/>
    <x v="3"/>
    <s v="91-120"/>
    <x v="1"/>
    <s v="COBRANZA"/>
    <x v="1"/>
    <s v="E"/>
    <n v="11527231"/>
    <n v="4"/>
    <s v="LAURA DEL CARMEN SOTO BARRÍA"/>
    <n v="1"/>
    <n v="399.39299999999997"/>
    <s v="22-01-2026"/>
    <n v="42"/>
    <n v="42"/>
    <n v="48"/>
    <s v="Dealer"/>
    <s v="DACIÓN"/>
    <n v="74264"/>
    <n v="80952"/>
    <s v="NO"/>
    <s v="21-06-2022"/>
    <n v="1752788"/>
    <s v="2,43"/>
    <m/>
    <m/>
    <m/>
    <s v="NO RECUPERADO"/>
    <n v="9989865611"/>
    <m/>
    <m/>
    <s v="laurasoto1808@gmail.com"/>
    <m/>
    <m/>
    <s v="CHINIHUE EL CRISTO, 5"/>
    <s v="EL MONTE"/>
    <s v="REGION METROPOLITANA"/>
    <s v="C-22150-2024"/>
    <s v="20º Juzgado Civil de Santiago"/>
    <s v="INGRESADO"/>
    <s v="MANTIENE"/>
    <m/>
    <m/>
    <m/>
    <m/>
    <s v="NO"/>
    <s v="ACTIVO"/>
    <s v="HYZZ51"/>
    <s v="NISSAN"/>
    <s v="PATHFINDER 4X4 3.5 AUT"/>
    <n v="2016"/>
  </r>
  <r>
    <n v="2009389"/>
    <n v="284"/>
    <n v="10"/>
    <n v="3297017"/>
    <m/>
    <s v="PHOENIX"/>
    <s v="JUDICIAL"/>
    <x v="13"/>
    <s v="271-300"/>
    <x v="1"/>
    <s v="COBRANZA"/>
    <x v="1"/>
    <s v="E"/>
    <n v="17197800"/>
    <n v="9"/>
    <s v="KATHERINE PAOLA OGALDE RIVERA"/>
    <n v="1"/>
    <n v="320.05599999999998"/>
    <s v="25-07-2025"/>
    <n v="36"/>
    <n v="36"/>
    <n v="48"/>
    <s v="Dealer"/>
    <s v="DACIÓN"/>
    <n v="381863"/>
    <n v="69623"/>
    <s v="NO"/>
    <s v="24-06-2022"/>
    <n v="3652046"/>
    <s v="2,43"/>
    <m/>
    <m/>
    <m/>
    <s v="NO RECUPERADO"/>
    <n v="932502587"/>
    <m/>
    <m/>
    <s v="ogalde.katherine@gmail.com"/>
    <m/>
    <m/>
    <s v="H DE LA CONCEP 1066 FRANCKE"/>
    <s v="PUERTO VARAS"/>
    <s v="X REGION"/>
    <s v="C-11264-2025"/>
    <s v="28º Juzgado Civil de Santiago"/>
    <s v="INGRESADO"/>
    <s v="MANTIENE"/>
    <m/>
    <m/>
    <m/>
    <m/>
    <s v="NO"/>
    <s v="ACTIVO"/>
    <s v="RVDD45"/>
    <s v="JETOUR"/>
    <s v="X70 GLX 1.5 AUT"/>
    <n v="2022"/>
  </r>
  <r>
    <n v="2013176"/>
    <n v="334"/>
    <n v="12"/>
    <n v="6903906"/>
    <m/>
    <s v="PHOENIX"/>
    <s v="JUDICIAL"/>
    <x v="11"/>
    <s v="331-360"/>
    <x v="1"/>
    <s v="COBRANZA"/>
    <x v="1"/>
    <s v="E"/>
    <n v="12229234"/>
    <n v="7"/>
    <s v="LEILA MARLENE BERRIOS CERDA"/>
    <n v="1"/>
    <n v="287.73500000000001"/>
    <d v="2025-05-06T00:00:00"/>
    <n v="34"/>
    <n v="34"/>
    <n v="49"/>
    <s v="AMICAR"/>
    <s v="DACIÓN"/>
    <n v="468220"/>
    <n v="177853"/>
    <s v="NO"/>
    <s v="23-06-2022"/>
    <n v="4098893"/>
    <s v="1,74"/>
    <m/>
    <m/>
    <m/>
    <s v="NO RECUPERADO"/>
    <n v="949956384"/>
    <m/>
    <m/>
    <s v="jaguilar72@gmail.com"/>
    <m/>
    <m/>
    <s v="INES DE SUAREZ 462"/>
    <s v="QUILPUE"/>
    <s v="V REGION"/>
    <s v="C-2589-2025"/>
    <s v="7º Juzgado Civil de Santiago"/>
    <s v="INGRESADO"/>
    <s v="MANTIENE"/>
    <m/>
    <m/>
    <m/>
    <m/>
    <s v="NO"/>
    <s v="ACTIVO"/>
    <s v="RZYJ33"/>
    <s v="CHANGAN"/>
    <s v="CX70 ELITE 1.5 AUT"/>
    <n v="2022"/>
  </r>
  <r>
    <n v="2022795"/>
    <n v="273"/>
    <n v="3"/>
    <n v="6974117"/>
    <m/>
    <s v="PHOENIX"/>
    <s v="JUDICIAL"/>
    <x v="14"/>
    <s v="271-300"/>
    <x v="1"/>
    <s v="COBRANZA"/>
    <x v="1"/>
    <s v="E"/>
    <n v="13499342"/>
    <n v="1"/>
    <s v="GUILLERMINA ARACELLI  ROMÁN  PÉREZ"/>
    <n v="1"/>
    <n v="369.964"/>
    <d v="2025-05-08T00:00:00"/>
    <n v="34"/>
    <n v="34"/>
    <n v="37"/>
    <s v="CREDINISSAN"/>
    <m/>
    <n v="1300662"/>
    <n v="0"/>
    <s v="NO"/>
    <s v="14-07-2022"/>
    <n v="2410554"/>
    <s v="2,01"/>
    <m/>
    <m/>
    <m/>
    <s v="NO RECUPERADO"/>
    <n v="957153117"/>
    <m/>
    <m/>
    <s v="araceli1978@hotmaIL.COM"/>
    <m/>
    <m/>
    <s v="LAS VERBENAS 0820"/>
    <s v="LA GRANJA"/>
    <s v="REGION METROPOLITANA"/>
    <s v="C-17476-2025"/>
    <s v="15º Juzgado Civil de Santiago"/>
    <s v="EMBARGADO"/>
    <s v="MANTIENE"/>
    <m/>
    <m/>
    <m/>
    <m/>
    <s v="SI"/>
    <s v="ACTIVO"/>
    <s v="SCLP36"/>
    <s v="NISSAN"/>
    <s v="KICKS 1.6"/>
    <n v="2022"/>
  </r>
  <r>
    <n v="2031687"/>
    <n v="66"/>
    <n v="3"/>
    <n v="4941031"/>
    <m/>
    <s v="PHOENIX"/>
    <s v="JUDICIAL"/>
    <x v="12"/>
    <s v="61-90"/>
    <x v="1"/>
    <s v="COBRANZA"/>
    <x v="1"/>
    <s v="E"/>
    <n v="8509003"/>
    <n v="8"/>
    <s v="PATRICIO EFRAIN ECHEVERRIA INOSTROZA"/>
    <n v="1"/>
    <n v="342.166"/>
    <s v="28-02-2026"/>
    <n v="42"/>
    <n v="42"/>
    <n v="60"/>
    <s v="AMICAR"/>
    <s v="DACIÓN"/>
    <n v="30485"/>
    <n v="46214"/>
    <s v="NO"/>
    <d v="2022-04-07T00:00:00"/>
    <n v="1103197"/>
    <s v="2,43"/>
    <m/>
    <m/>
    <m/>
    <s v="NO RECUPERADO"/>
    <m/>
    <m/>
    <m/>
    <s v="contrerasreveco.sol@gmail.com"/>
    <m/>
    <m/>
    <s v="SAN GUILLERMO 0153"/>
    <s v="PUENTE ALTO"/>
    <s v="REGION METROPOLITANA"/>
    <s v="C-2254-2026"/>
    <s v="16º Juzgado Civil de Santiago"/>
    <s v="INGRESADO"/>
    <s v="MANTIENE"/>
    <m/>
    <m/>
    <m/>
    <m/>
    <s v="NO"/>
    <s v="ACTIVO"/>
    <s v="SCDB41"/>
    <s v="CHANGAN"/>
    <s v="CX70 OTTO 1.6"/>
    <n v="2022"/>
  </r>
  <r>
    <n v="2061192"/>
    <n v="338"/>
    <n v="5"/>
    <n v="6053782"/>
    <m/>
    <s v="PHOENIX"/>
    <s v="JUDICIAL"/>
    <x v="7"/>
    <s v="331-360"/>
    <x v="1"/>
    <s v="COBRANZA"/>
    <x v="1"/>
    <s v="E"/>
    <n v="26193808"/>
    <n v="1"/>
    <s v="ANGELICA JULIET  ORTIZ  FRANCO"/>
    <n v="1"/>
    <n v="393.73"/>
    <d v="2025-01-06T00:00:00"/>
    <n v="32"/>
    <n v="32"/>
    <n v="37"/>
    <s v="CREDINISSAN"/>
    <s v="DACIÓN"/>
    <n v="1278723"/>
    <n v="0"/>
    <s v="NO"/>
    <s v="28-07-2022"/>
    <n v="3247373"/>
    <s v="1,9"/>
    <m/>
    <m/>
    <m/>
    <s v="NO RECUPERADO"/>
    <n v="936665640"/>
    <m/>
    <m/>
    <s v="SRTAORTIZ99@GMAIL.COM"/>
    <m/>
    <m/>
    <s v="AVENIDA MARIA ROZAS VELAZQUES 51 DEPARTAMENTO 2115"/>
    <s v="ESTACION CENTRAL"/>
    <s v="REGION METROPOLITANA"/>
    <s v="C-9881-2025"/>
    <s v="27º Juzgado Civil de Santiago"/>
    <s v="EMBARGADO"/>
    <s v="MANTIENE"/>
    <m/>
    <m/>
    <m/>
    <m/>
    <s v="SI"/>
    <s v="ACTIVO"/>
    <s v="SCTS72"/>
    <s v="NISSAN"/>
    <s v="SENTRA MT 2.0"/>
    <n v="2022"/>
  </r>
  <r>
    <n v="2066274"/>
    <n v="304"/>
    <n v="3"/>
    <n v="5912265"/>
    <m/>
    <s v="PHOENIX"/>
    <s v="JUDICIAL"/>
    <x v="13"/>
    <s v="301-330"/>
    <x v="1"/>
    <s v="COBRANZA"/>
    <x v="1"/>
    <s v="E"/>
    <n v="25830245"/>
    <n v="1"/>
    <s v="MIRELDY CAROLINA ANDRADE FLORES"/>
    <n v="1"/>
    <n v="324.48399999999998"/>
    <d v="2025-05-07T00:00:00"/>
    <n v="34"/>
    <n v="34"/>
    <n v="37"/>
    <s v="AMICAR"/>
    <m/>
    <n v="1277499"/>
    <n v="0"/>
    <s v="NO"/>
    <s v="28-07-2022"/>
    <n v="2250951"/>
    <s v="1,89"/>
    <m/>
    <m/>
    <m/>
    <s v="NO RECUPERADO"/>
    <n v="933067331"/>
    <m/>
    <m/>
    <s v="psic.andradem@gmail.com"/>
    <m/>
    <m/>
    <s v="RESBALÓN 1715 BLOCK 9 DPTO 41"/>
    <s v="CERRO NAVIA"/>
    <s v="REGION METROPOLITANA"/>
    <s v="C-15749-2025"/>
    <s v="13º Juzgado Civil de Santiago"/>
    <s v="EMBARGADO"/>
    <s v="MANTIENE"/>
    <m/>
    <m/>
    <m/>
    <m/>
    <s v="SI"/>
    <s v="ACTIVO"/>
    <s v="SCYD69"/>
    <s v="CHANGAN"/>
    <s v="CX70 OTTO 1.6"/>
    <n v="2022"/>
  </r>
  <r>
    <n v="2098963"/>
    <n v="89"/>
    <n v="4"/>
    <n v="1813445"/>
    <m/>
    <s v="PHOENIX"/>
    <s v="JUDICIAL"/>
    <x v="12"/>
    <s v="61-90"/>
    <x v="1"/>
    <s v="COBRANZA"/>
    <x v="1"/>
    <s v="E"/>
    <n v="11343555"/>
    <n v="0"/>
    <s v="CLAUDIA ALEJANDRA CASTILLO ZAPATA"/>
    <n v="1"/>
    <n v="253.024"/>
    <d v="2026-05-02T00:00:00"/>
    <n v="40"/>
    <n v="40"/>
    <n v="48"/>
    <s v="Dealer"/>
    <m/>
    <n v="38950"/>
    <n v="0"/>
    <s v="NO"/>
    <s v="17-08-2022"/>
    <n v="1051046"/>
    <s v="2,51"/>
    <m/>
    <m/>
    <m/>
    <s v="NO RECUPERADO"/>
    <n v="950034815"/>
    <m/>
    <n v="56950034815"/>
    <s v="Cccalzadoymoda@gmail.com"/>
    <m/>
    <m/>
    <s v="Luis Mayorga Gazzarri 290"/>
    <s v="BUIN"/>
    <s v="REGION METROPOLITANA"/>
    <s v="C-6720-2025"/>
    <s v="1º Juzgado Civil de Santiago"/>
    <s v="NOTIFICADO"/>
    <s v="MANTIENE"/>
    <m/>
    <m/>
    <m/>
    <m/>
    <s v="SI"/>
    <s v="ACTIVO"/>
    <s v="LFPB89"/>
    <s v="NISSAN"/>
    <s v="QASHQAI J11 2.0"/>
    <n v="2019"/>
  </r>
  <r>
    <n v="2115135"/>
    <n v="93"/>
    <n v="4"/>
    <n v="4766239"/>
    <m/>
    <s v="PHOENIX"/>
    <s v="JUDICIAL"/>
    <x v="12"/>
    <s v="91-120"/>
    <x v="1"/>
    <s v="COBRANZA"/>
    <x v="1"/>
    <s v="E"/>
    <n v="13000431"/>
    <n v="8"/>
    <s v="BORIS EDGARDO YAÑEZ NAHUELHUAIQUE"/>
    <n v="1"/>
    <n v="279.25799999999998"/>
    <d v="2026-01-02T00:00:00"/>
    <n v="40"/>
    <n v="40"/>
    <n v="60"/>
    <s v="CREDINISSAN"/>
    <s v="DACIÓN"/>
    <n v="46727"/>
    <n v="9568"/>
    <s v="NO"/>
    <s v="23-08-2022"/>
    <n v="1173327"/>
    <s v="1,56"/>
    <m/>
    <m/>
    <m/>
    <s v="NO RECUPERADO"/>
    <n v="931171452"/>
    <m/>
    <m/>
    <s v="BORISYANEZN@GMAIL.COM"/>
    <m/>
    <m/>
    <s v="PARQUE PUMALIN"/>
    <m/>
    <m/>
    <s v="C-20321-2024"/>
    <s v="3º Juzgado Civil de Santiago"/>
    <s v="INGRESADO"/>
    <s v="MANTIENE"/>
    <m/>
    <m/>
    <m/>
    <m/>
    <s v="NO"/>
    <s v="ACTIVO"/>
    <s v="LWRK61"/>
    <s v="NISSAN"/>
    <s v="XTRAIL"/>
    <n v="2021"/>
  </r>
  <r>
    <n v="2115261"/>
    <n v="306"/>
    <n v="11"/>
    <n v="4913764"/>
    <m/>
    <s v="PHOENIX"/>
    <s v="JUDICIAL"/>
    <x v="11"/>
    <s v="301-330"/>
    <x v="1"/>
    <s v="COBRANZA"/>
    <x v="1"/>
    <s v="E"/>
    <n v="25327784"/>
    <s v="K"/>
    <s v="CARLOS ENRIQUE GOICOCHEA TOCAS"/>
    <n v="1"/>
    <n v="397.15899999999999"/>
    <d v="2025-03-07T00:00:00"/>
    <n v="33"/>
    <n v="33"/>
    <n v="48"/>
    <s v="Dealer"/>
    <m/>
    <n v="563556"/>
    <n v="0"/>
    <s v="NO"/>
    <s v="24-08-2022"/>
    <n v="4932305"/>
    <s v="2,51"/>
    <m/>
    <m/>
    <m/>
    <s v="NO RECUPERADO"/>
    <n v="954884229"/>
    <m/>
    <m/>
    <s v="enrique.1997tocas@gmail.com"/>
    <m/>
    <m/>
    <s v="AVENIDA EINSTEIN 355"/>
    <s v="RECOLETA"/>
    <s v="REGION METROPOLITANA"/>
    <s v="C-19073-2024"/>
    <s v="15º Juzgado Civil de Santiago"/>
    <s v="GIRO CHEQUE"/>
    <s v="MANTIENE"/>
    <m/>
    <m/>
    <m/>
    <m/>
    <s v="SI"/>
    <s v="ACTIVO"/>
    <s v="SDYZ86"/>
    <s v="CHEVROLET"/>
    <s v="ONIX NB LT 1.0T"/>
    <n v="2022"/>
  </r>
  <r>
    <n v="2142176"/>
    <n v="211"/>
    <n v="7"/>
    <n v="2019637"/>
    <m/>
    <s v="PHOENIX"/>
    <s v="JUDICIAL"/>
    <x v="8"/>
    <s v="211-240"/>
    <x v="1"/>
    <s v="COBRANZA"/>
    <x v="1"/>
    <s v="E"/>
    <n v="17280965"/>
    <n v="0"/>
    <s v="CRISTIAN ENRIQUE VILLAGRA YAÑEZ"/>
    <n v="1"/>
    <n v="228.678"/>
    <d v="2025-06-10T00:00:00"/>
    <n v="36"/>
    <n v="36"/>
    <n v="48"/>
    <s v="Dealer"/>
    <s v="DACIÓN"/>
    <n v="160466"/>
    <n v="0"/>
    <s v="NO"/>
    <d v="2022-05-09T00:00:00"/>
    <n v="1566367"/>
    <s v="2,83"/>
    <m/>
    <m/>
    <m/>
    <s v="NO RECUPERADO"/>
    <n v="56959934118"/>
    <m/>
    <m/>
    <s v="cristian.villagra1230@gmail.com"/>
    <m/>
    <m/>
    <s v="ARTURO ALESSANDRI1161"/>
    <s v="MAIPU"/>
    <s v="REGION METROPOLITANA"/>
    <s v="C-22139-2024"/>
    <s v="4º Juzgado Civil de Santiago"/>
    <s v="EMBARGADO"/>
    <s v="MANTIENE"/>
    <m/>
    <m/>
    <m/>
    <m/>
    <s v="SI"/>
    <s v="ACTIVO"/>
    <s v="KLPB65"/>
    <s v="NISSAN"/>
    <s v="VERSA SENSE 1.6"/>
    <n v="2018"/>
  </r>
  <r>
    <n v="2168082"/>
    <n v="246"/>
    <n v="9"/>
    <n v="2947686"/>
    <m/>
    <s v="PHOENIX"/>
    <s v="JUDICIAL"/>
    <x v="14"/>
    <s v="241-270"/>
    <x v="1"/>
    <s v="COBRANZA"/>
    <x v="1"/>
    <s v="E"/>
    <n v="17672065"/>
    <n v="4"/>
    <s v="NICOLÁS ANDREE CAZAL GALLEGUILLOS"/>
    <n v="1"/>
    <n v="252.31"/>
    <d v="2025-01-09T00:00:00"/>
    <n v="34"/>
    <n v="34"/>
    <n v="48"/>
    <s v="Dealer"/>
    <s v="DACIÓN"/>
    <n v="239462"/>
    <n v="0"/>
    <s v="NO"/>
    <s v="24-09-2022"/>
    <n v="2510252"/>
    <s v="2,51"/>
    <m/>
    <m/>
    <m/>
    <s v="NO RECUPERADO"/>
    <n v="956759002"/>
    <m/>
    <m/>
    <s v="nicolascazal.g@gmail.com"/>
    <m/>
    <m/>
    <s v="RIO BIO BIO 1828"/>
    <s v="PADRE HURTADO"/>
    <s v="REGION METROPOLITANA"/>
    <s v="C-9885-2025"/>
    <s v="3º Juzgado Civil de Santiago"/>
    <s v="EMBARGADO"/>
    <s v="MANTIENE"/>
    <m/>
    <m/>
    <m/>
    <m/>
    <s v="SI"/>
    <s v="ACTIVO"/>
    <s v="HBGF28"/>
    <s v="FIAT"/>
    <s v="BRAVO 1.4"/>
    <n v="2015"/>
  </r>
  <r>
    <n v="2184639"/>
    <n v="334"/>
    <n v="12"/>
    <n v="4617609"/>
    <m/>
    <s v="PHOENIX"/>
    <s v="JUDICIAL"/>
    <x v="11"/>
    <s v="331-360"/>
    <x v="1"/>
    <s v="COBRANZA"/>
    <x v="1"/>
    <s v="E"/>
    <n v="15444358"/>
    <n v="4"/>
    <s v="ANDREA ALEJANDRA PIZARRO MIRANDA"/>
    <n v="1"/>
    <n v="226.053"/>
    <d v="2025-05-06T00:00:00"/>
    <n v="31"/>
    <n v="31"/>
    <n v="60"/>
    <s v="Dealer"/>
    <s v="DACIÓN"/>
    <n v="381094"/>
    <n v="104620"/>
    <s v="NO"/>
    <d v="2022-05-10T00:00:00"/>
    <n v="3198350"/>
    <s v="2,51"/>
    <m/>
    <m/>
    <m/>
    <s v="NO RECUPERADO"/>
    <n v="941062835"/>
    <m/>
    <m/>
    <s v="pizarroandrea36@gmail.com"/>
    <m/>
    <m/>
    <s v="ALAMEDA A-1"/>
    <s v="PIRQUE"/>
    <s v="REGION METROPOLITANA"/>
    <s v="C-14430-2025"/>
    <s v="3º Juzgado Civil de Santiago"/>
    <s v="INGRESADO"/>
    <s v="MANTIENE"/>
    <m/>
    <m/>
    <m/>
    <m/>
    <s v="NO"/>
    <s v="ACTIVO"/>
    <s v="HFWZ55"/>
    <s v="PEUGEOT"/>
    <s v="208 ALLURE HDI 1.4"/>
    <n v="2015"/>
  </r>
  <r>
    <n v="2193307"/>
    <n v="151"/>
    <n v="1"/>
    <n v="8627453"/>
    <m/>
    <s v="PHOENIX"/>
    <s v="JUDICIAL"/>
    <x v="9"/>
    <s v="151-180"/>
    <x v="1"/>
    <s v="COBRANZA"/>
    <x v="1"/>
    <s v="E"/>
    <n v="13637633"/>
    <n v="0"/>
    <s v="ALEX PATRICIO ELGUETA RODRÍGUEZ"/>
    <n v="1"/>
    <n v="413.10199999999998"/>
    <d v="2025-05-12T00:00:00"/>
    <n v="36"/>
    <n v="36"/>
    <n v="37"/>
    <s v="Dealer"/>
    <m/>
    <n v="1122469"/>
    <n v="400269"/>
    <s v="NO"/>
    <s v="13-10-2022"/>
    <n v="10322738"/>
    <n v="2"/>
    <m/>
    <m/>
    <m/>
    <s v="NO RECUPERADO"/>
    <n v="933736308"/>
    <m/>
    <m/>
    <s v="aelgueta@reciter.cl"/>
    <m/>
    <m/>
    <s v="AV. PROYECTADA 2140"/>
    <s v="IQUIQUE"/>
    <s v="I REGION"/>
    <s v="C-5085-2026"/>
    <s v="24º Juzgado Civil de Santiago"/>
    <s v="INGRESADO"/>
    <s v="MANTIENE"/>
    <m/>
    <m/>
    <m/>
    <m/>
    <s v="NO"/>
    <s v="ACTIVO"/>
    <s v="RHVP57"/>
    <s v="TOYOTA"/>
    <s v="FORTUNER 2.7 AUT"/>
    <n v="2022"/>
  </r>
  <r>
    <n v="2206586"/>
    <n v="334"/>
    <n v="12"/>
    <n v="5914451"/>
    <m/>
    <s v="PHOENIX"/>
    <s v="JUDICIAL"/>
    <x v="11"/>
    <s v="331-360"/>
    <x v="1"/>
    <s v="COBRANZA"/>
    <x v="1"/>
    <s v="E"/>
    <n v="17395256"/>
    <n v="2"/>
    <s v="JULIO CESAR COÑOPAN ESPINOZA"/>
    <n v="1"/>
    <n v="251.845"/>
    <d v="2025-05-06T00:00:00"/>
    <n v="30"/>
    <n v="30"/>
    <n v="49"/>
    <s v="AMICAR"/>
    <s v="DACIÓN"/>
    <n v="441019"/>
    <n v="0"/>
    <s v="NO"/>
    <s v="20-10-2022"/>
    <n v="3463159"/>
    <s v="1,99"/>
    <m/>
    <m/>
    <m/>
    <s v="NO RECUPERADO"/>
    <n v="991627466"/>
    <m/>
    <m/>
    <s v="jcmartespinoza@gmail.com"/>
    <m/>
    <m/>
    <s v="ALMIRANTE RIVERO NORTE 1875 BLOCK B DEPTO 203"/>
    <s v="CONCEPCION"/>
    <s v="VIII REGION"/>
    <s v="4º Juzgado Civil de Santiago"/>
    <s v="C-16644-2024"/>
    <s v="EMBARGADO"/>
    <s v="MANTIENE"/>
    <m/>
    <m/>
    <m/>
    <m/>
    <s v="SI"/>
    <s v="ACTIVO"/>
    <s v="SHYD64"/>
    <s v="CHANGAN"/>
    <s v="ALSVIN 1.4"/>
    <n v="2023"/>
  </r>
  <r>
    <n v="2230201"/>
    <n v="208"/>
    <n v="3"/>
    <n v="12205081"/>
    <m/>
    <s v="PHOENIX"/>
    <s v="JUDICIAL"/>
    <x v="8"/>
    <s v="181-210"/>
    <x v="1"/>
    <s v="COBRANZA"/>
    <x v="1"/>
    <s v="E"/>
    <n v="22215988"/>
    <n v="1"/>
    <s v="MARIA FERNANDA TUNJA SANDOYA"/>
    <n v="1"/>
    <n v="859.80799999999999"/>
    <d v="2025-09-10T00:00:00"/>
    <n v="34"/>
    <n v="34"/>
    <n v="37"/>
    <s v="Dealer"/>
    <m/>
    <n v="1760508"/>
    <n v="554421"/>
    <s v="NO"/>
    <d v="2022-08-11T00:00:00"/>
    <n v="4894353"/>
    <s v="2,61"/>
    <m/>
    <m/>
    <m/>
    <s v="NO RECUPERADO"/>
    <n v="983113468"/>
    <m/>
    <m/>
    <s v="fer_1979nino@hotmail.com"/>
    <m/>
    <m/>
    <s v="LOS ARRECIFES 4002"/>
    <s v="CALAMA"/>
    <s v="II REGION"/>
    <s v="C-3849-2026"/>
    <s v="6º JUZGADO CIVIL DE SANTIAGO"/>
    <s v="INGRESADO"/>
    <s v="MANTIENE"/>
    <m/>
    <m/>
    <m/>
    <m/>
    <s v="NO"/>
    <s v="ACTIVO"/>
    <s v="SJWH47"/>
    <s v="PEUGEOT"/>
    <s v="3008 THP 165HP 1.6 AUT"/>
    <n v="2023"/>
  </r>
  <r>
    <n v="2230686"/>
    <n v="65"/>
    <n v="3"/>
    <n v="3224638"/>
    <m/>
    <s v="PHOENIX"/>
    <s v="JUDICIAL"/>
    <x v="4"/>
    <s v="61-90"/>
    <x v="1"/>
    <s v="COBRANZA"/>
    <x v="1"/>
    <s v="E"/>
    <n v="11836566"/>
    <n v="6"/>
    <s v="SUSSY ESTER LEIVA LIRA"/>
    <n v="1"/>
    <n v="368.25"/>
    <d v="2026-01-03T00:00:00"/>
    <n v="38"/>
    <n v="38"/>
    <n v="48"/>
    <s v="AMICAR"/>
    <s v="DACIÓN"/>
    <n v="34023"/>
    <n v="0"/>
    <s v="NO"/>
    <d v="2022-03-11T00:00:00"/>
    <n v="1138773"/>
    <s v="2,49"/>
    <m/>
    <m/>
    <s v="NO PREMIUM"/>
    <s v="NO RECUPERADO"/>
    <n v="959552514"/>
    <m/>
    <m/>
    <s v="sussyleivalira02@gmail.com"/>
    <m/>
    <m/>
    <s v="PASAJE GRUMETE BRICEÑO 0259"/>
    <s v="MAIPU"/>
    <s v="REGION METROPOLITANA"/>
    <s v="C-3913-2025"/>
    <s v="3º Juzgado Civil de Santiago"/>
    <s v="EMBARGADO"/>
    <s v="MANTIENE"/>
    <m/>
    <m/>
    <m/>
    <m/>
    <s v="SI"/>
    <s v="ACTIVO"/>
    <s v="SJKZ41"/>
    <s v="SUZUKI"/>
    <s v="ERTIGA GLX 1.5 AUT"/>
    <n v="2023"/>
  </r>
  <r>
    <n v="2239603"/>
    <n v="293"/>
    <n v="10"/>
    <n v="3208338"/>
    <m/>
    <s v="PHOENIX"/>
    <s v="JUDICIAL"/>
    <x v="13"/>
    <s v="271-300"/>
    <x v="1"/>
    <s v="COBRANZA"/>
    <x v="1"/>
    <s v="E"/>
    <n v="26639190"/>
    <n v="0"/>
    <s v="CARLOS JOELBER PEREZ DELGADO"/>
    <n v="1"/>
    <n v="241.72300000000001"/>
    <s v="16-07-2025"/>
    <n v="31"/>
    <n v="31"/>
    <n v="48"/>
    <s v="Dealer"/>
    <s v="DACIÓN"/>
    <n v="354268"/>
    <n v="0"/>
    <s v="NO"/>
    <s v="15-11-2022"/>
    <n v="2771498"/>
    <s v="2,9"/>
    <m/>
    <m/>
    <m/>
    <s v="NO RECUPERADO"/>
    <n v="920386664"/>
    <m/>
    <m/>
    <s v="carlosperezmiranda10@gmail.com"/>
    <m/>
    <m/>
    <s v="SAN DIEGO 1473 DEPTO. 1611"/>
    <s v="SANTIAGO"/>
    <s v="REGION METROPOLITANA"/>
    <s v="C-5502-2025"/>
    <s v="25º JUZGADO CIVIL DE SANTIAGO"/>
    <s v="EMBARGADO"/>
    <s v="MANTIENE"/>
    <m/>
    <m/>
    <m/>
    <m/>
    <s v="SI"/>
    <s v="ACTIVO"/>
    <s v="PRGK69"/>
    <s v="HYUNDAI"/>
    <s v="ATOS AH2 HB 1.1"/>
    <n v="2021"/>
  </r>
  <r>
    <n v="2242697"/>
    <n v="334"/>
    <n v="12"/>
    <n v="12103197"/>
    <m/>
    <s v="PHOENIX"/>
    <s v="JUDICIAL"/>
    <x v="11"/>
    <s v="331-360"/>
    <x v="1"/>
    <s v="COBRANZA"/>
    <x v="1"/>
    <s v="E"/>
    <n v="76478759"/>
    <n v="5"/>
    <s v="SOLUCIONES DE INGENIERÍA CESAR CESPEDES SPA"/>
    <n v="0"/>
    <n v="626.93499999999995"/>
    <d v="2025-05-06T00:00:00"/>
    <n v="29"/>
    <n v="29"/>
    <n v="53"/>
    <s v="CREDINISSAN"/>
    <m/>
    <n v="1128307"/>
    <n v="274729"/>
    <s v="NO"/>
    <s v="16-11-2022"/>
    <n v="8926256"/>
    <s v="1,82"/>
    <m/>
    <m/>
    <m/>
    <s v="NO RECUPERADO"/>
    <n v="942987114"/>
    <m/>
    <m/>
    <s v="CESARCESPEDES@INGENIERIACYR.CL"/>
    <m/>
    <m/>
    <s v="ISABEL LA CATOLICA 4398 OFICINA 617"/>
    <s v="LAS CONDES"/>
    <s v="REGION METROPOLITANA"/>
    <s v="C-14411-2025"/>
    <s v="4º Juzgado Civil de Santiago"/>
    <s v="INGRESADO"/>
    <s v="MANTIENE"/>
    <m/>
    <m/>
    <m/>
    <m/>
    <s v="NO"/>
    <s v="ACTIVO"/>
    <m/>
    <s v="NISSAN"/>
    <s v="NAVARA LE 4X4 MT"/>
    <n v="2023"/>
  </r>
  <r>
    <n v="2246744"/>
    <n v="183"/>
    <n v="7"/>
    <n v="6979898"/>
    <m/>
    <s v="PHOENIX"/>
    <s v="JUDICIAL"/>
    <x v="10"/>
    <s v="181-210"/>
    <x v="1"/>
    <s v="COBRANZA"/>
    <x v="1"/>
    <s v="E"/>
    <n v="19613193"/>
    <n v="0"/>
    <s v="Emerson Andres Varela  Diaz"/>
    <n v="1"/>
    <n v="318.358"/>
    <d v="2025-03-11T00:00:00"/>
    <n v="34"/>
    <n v="34"/>
    <n v="49"/>
    <s v="AMICAR"/>
    <s v="DACIÓN"/>
    <n v="186231"/>
    <n v="150736"/>
    <s v="NO"/>
    <s v="18-11-2022"/>
    <n v="2565473"/>
    <s v="1,99"/>
    <m/>
    <m/>
    <m/>
    <s v="NO RECUPERADO"/>
    <n v="961458664"/>
    <m/>
    <m/>
    <s v="emerson.andres.varela.diaz@gmail.com"/>
    <m/>
    <m/>
    <s v="RAFAEL FABRES 708"/>
    <s v="QUILPUE"/>
    <s v="V REGION"/>
    <s v="C-3857-2026"/>
    <s v="15º Juzgado Civil de Santiago"/>
    <s v="INGRESADO"/>
    <s v="MANTIENE"/>
    <m/>
    <m/>
    <m/>
    <m/>
    <s v="NO"/>
    <s v="ACTIVO"/>
    <s v="SJRR60"/>
    <s v="HYUNDAI"/>
    <s v="I20 BI3 1.4"/>
    <n v="2023"/>
  </r>
  <r>
    <n v="2256689"/>
    <n v="273"/>
    <n v="6"/>
    <n v="4675518"/>
    <m/>
    <s v="PHOENIX"/>
    <s v="JUDICIAL"/>
    <x v="14"/>
    <s v="271-300"/>
    <x v="1"/>
    <s v="COBRANZA"/>
    <x v="1"/>
    <s v="E"/>
    <n v="14201742"/>
    <n v="3"/>
    <s v="CRISTIAN ANDRES GUTIERREZ MORALES"/>
    <n v="1"/>
    <n v="264.19499999999999"/>
    <d v="2025-05-08T00:00:00"/>
    <n v="31"/>
    <n v="31"/>
    <n v="37"/>
    <s v="AMICAR"/>
    <s v="DACIÓN"/>
    <n v="684967"/>
    <n v="0"/>
    <s v="NO"/>
    <s v="24-11-2022"/>
    <n v="2270137"/>
    <s v="2,49"/>
    <m/>
    <m/>
    <m/>
    <s v="NO RECUPERADO"/>
    <n v="9869649910"/>
    <m/>
    <m/>
    <s v="cristian.gutierrez.morales.81@gmail.com"/>
    <m/>
    <m/>
    <s v="URSA MAYOR 1353"/>
    <s v="RANCAGUA"/>
    <s v="VI REGION"/>
    <s v="C-17486-2025"/>
    <s v="12º Juzgado Civil de Santiago"/>
    <s v="NOTIFICADO"/>
    <s v="MANTIENE"/>
    <m/>
    <m/>
    <m/>
    <m/>
    <s v="SI"/>
    <s v="ACTIVO"/>
    <s v="SHFR34"/>
    <s v="JAC"/>
    <s v="JS2 1.5"/>
    <n v="2023"/>
  </r>
  <r>
    <n v="2280501"/>
    <n v="308"/>
    <n v="11"/>
    <n v="5003247"/>
    <m/>
    <s v="PHOENIX"/>
    <s v="JUDICIAL"/>
    <x v="11"/>
    <s v="301-330"/>
    <x v="1"/>
    <s v="COBRANZA"/>
    <x v="1"/>
    <s v="E"/>
    <n v="15484017"/>
    <n v="6"/>
    <s v="CAROLINA ELENA MUÑOZ CAMILO"/>
    <n v="1"/>
    <n v="339.476"/>
    <d v="2025-01-07T00:00:00"/>
    <n v="29"/>
    <n v="29"/>
    <n v="48"/>
    <s v="Dealer"/>
    <s v="DACIÓN"/>
    <n v="501698"/>
    <n v="0"/>
    <s v="NO"/>
    <s v="14-12-2022"/>
    <n v="4235934"/>
    <s v="2,68"/>
    <m/>
    <m/>
    <m/>
    <s v="NO RECUPERADO"/>
    <n v="998714827"/>
    <m/>
    <m/>
    <s v="CAROLA.CAMILO13@GMAIL.COM"/>
    <m/>
    <m/>
    <s v="RIO TRANCURA 9693"/>
    <s v="PUDAHUEL"/>
    <s v="REGION METROPOLITANA"/>
    <s v="C-15532-2025"/>
    <s v="24º Juzgado Civil de Santiago"/>
    <s v="EMBARGADO"/>
    <s v="MANTIENE"/>
    <m/>
    <m/>
    <m/>
    <m/>
    <s v="SI"/>
    <s v="ACTIVO"/>
    <s v="PGJD63"/>
    <s v="PEUGEOT"/>
    <s v="PARTNER L1 HDI 1.6"/>
    <n v="2020"/>
  </r>
  <r>
    <n v="2280594"/>
    <n v="204"/>
    <n v="6"/>
    <n v="4856447"/>
    <m/>
    <s v="PHOENIX"/>
    <s v="JUDICIAL"/>
    <x v="8"/>
    <s v="181-210"/>
    <x v="1"/>
    <s v="COBRANZA"/>
    <x v="1"/>
    <s v="E"/>
    <n v="16846660"/>
    <n v="9"/>
    <s v="ISAAC ALFREDO RODRIGUEZ CARVAJAL"/>
    <n v="1"/>
    <n v="303.13200000000001"/>
    <s v="13-10-2025"/>
    <n v="31"/>
    <n v="31"/>
    <n v="37"/>
    <s v="AMICAR"/>
    <s v="DACIÓN"/>
    <n v="388280"/>
    <n v="0"/>
    <s v="NO"/>
    <d v="2022-12-12T00:00:00"/>
    <n v="2207072"/>
    <s v="2,49"/>
    <m/>
    <m/>
    <m/>
    <s v="NO RECUPERADO"/>
    <n v="957335187"/>
    <m/>
    <m/>
    <s v="i.rodriguezc0703@gmail.com"/>
    <m/>
    <m/>
    <s v="LOS QUELTEHUES 2258"/>
    <s v="RANCAGUA"/>
    <s v="VI REGION"/>
    <s v="C-10191-2025"/>
    <s v="23º Juzgado Civil de Santiago"/>
    <s v="EMBARGADO"/>
    <s v="MANTIENE"/>
    <m/>
    <m/>
    <m/>
    <m/>
    <s v="SI"/>
    <s v="ACTIVO"/>
    <s v="SHYZ98"/>
    <s v="JAC"/>
    <s v="JS2 1.5"/>
    <n v="2023"/>
  </r>
  <r>
    <n v="2284509"/>
    <n v="65"/>
    <n v="3"/>
    <n v="15032132"/>
    <m/>
    <s v="PHOENIX"/>
    <s v="JUDICIAL"/>
    <x v="4"/>
    <s v="61-90"/>
    <x v="1"/>
    <s v="COBRANZA"/>
    <x v="1"/>
    <s v="E"/>
    <n v="15465536"/>
    <n v="0"/>
    <s v="HERNAN ALEJANDRO PEÑA ESTRADA"/>
    <n v="1"/>
    <s v="1.593.299"/>
    <d v="2026-01-03T00:00:00"/>
    <n v="37"/>
    <n v="37"/>
    <n v="48"/>
    <s v="Dealer"/>
    <s v="DACIÓN"/>
    <n v="149185"/>
    <n v="0"/>
    <s v="NO"/>
    <s v="17-12-2022"/>
    <n v="4929082"/>
    <s v="2,65"/>
    <m/>
    <m/>
    <s v="NO PREMIUM"/>
    <s v="NO RECUPERADO"/>
    <n v="988848373"/>
    <m/>
    <n v="56988848373"/>
    <s v="Alejandro81.pena@gmail.com"/>
    <m/>
    <m/>
    <s v="LOS TIUQUES 3976"/>
    <s v="PUENTE ALTO"/>
    <s v="REGION METROPOLITANA"/>
    <s v="C-2258-2026"/>
    <s v="13º Juzgado Civil de Santiago"/>
    <s v="EMBARGADO"/>
    <s v="MANTIENE"/>
    <m/>
    <m/>
    <m/>
    <m/>
    <s v="SI"/>
    <s v="ACTIVO"/>
    <s v="SKZJ40"/>
    <s v="CHEVROLET"/>
    <s v="SILVERADO 4X4 6.2 AUT"/>
    <n v="2023"/>
  </r>
  <r>
    <n v="2289960"/>
    <n v="0"/>
    <n v="0"/>
    <n v="6341674"/>
    <m/>
    <s v="PHOENIX"/>
    <s v="JUDICIAL"/>
    <x v="5"/>
    <s v="AL DIA"/>
    <x v="1"/>
    <s v="COBRANZA"/>
    <x v="1"/>
    <s v="D"/>
    <n v="10126468"/>
    <n v="8"/>
    <s v="VICTORINA DEL CARMEN GARAY VIVANCO"/>
    <n v="1"/>
    <n v="358.76100000000002"/>
    <d v="2026-06-05T00:00:00"/>
    <n v="39"/>
    <n v="38"/>
    <n v="60"/>
    <s v="AMICAR"/>
    <m/>
    <n v="0"/>
    <n v="0"/>
    <s v="NO"/>
    <s v="21-12-2022"/>
    <n v="0"/>
    <s v="1,99"/>
    <m/>
    <m/>
    <s v="NO PREMIUM"/>
    <s v="CONTENIDO"/>
    <n v="983120948"/>
    <m/>
    <m/>
    <s v="victorina.garayvivanco@gmail.com"/>
    <m/>
    <m/>
    <s v="VISTA HERMOSA 23"/>
    <s v="CABILDO"/>
    <s v="V REGION"/>
    <s v="C-8327-2025"/>
    <s v="18º Juzgado Civil de Santiago"/>
    <s v="NOTIFICADO"/>
    <s v="MANTIENE"/>
    <m/>
    <s v="SUSPENDER"/>
    <s v="AL DIA"/>
    <d v="2026-05-05T00:00:00"/>
    <s v="SI"/>
    <s v="SUSPENDIDO"/>
    <s v="SKDV70"/>
    <s v="CHANGAN"/>
    <s v="CS35 LUXURY 1.6"/>
    <n v="2023"/>
  </r>
  <r>
    <n v="2301351"/>
    <n v="176"/>
    <n v="6"/>
    <n v="2354610"/>
    <m/>
    <s v="PHOENIX"/>
    <s v="JUDICIAL"/>
    <x v="10"/>
    <s v="151-180"/>
    <x v="1"/>
    <s v="COBRANZA"/>
    <x v="1"/>
    <s v="E"/>
    <n v="18808920"/>
    <n v="8"/>
    <s v="PAULINA ANDREA GALVEZ ZAMBRANO"/>
    <n v="1"/>
    <n v="184.48400000000001"/>
    <d v="2025-10-11T00:00:00"/>
    <n v="33"/>
    <n v="33"/>
    <n v="48"/>
    <s v="AMICAR"/>
    <m/>
    <n v="109669"/>
    <n v="0"/>
    <s v="NO"/>
    <s v="29-12-2022"/>
    <n v="1216573"/>
    <s v="2,09"/>
    <m/>
    <m/>
    <m/>
    <s v="NO RECUPERADO"/>
    <n v="984390072"/>
    <m/>
    <n v="56949882675"/>
    <s v="tapiatrabajo1@gmail.com"/>
    <m/>
    <m/>
    <s v="PROGRESO 335 SECTOR LOMAS COLORADAS"/>
    <s v="SAN PEDRO DE LA PAZ"/>
    <s v="VIII REGION"/>
    <s v="C-13008-2025"/>
    <s v="14º Juzgado Civil de Santiago"/>
    <s v="NOTIFICADO"/>
    <s v="MANTIENE"/>
    <m/>
    <m/>
    <m/>
    <m/>
    <s v="SI"/>
    <s v="ACTIVO"/>
    <s v="SLBZ90"/>
    <s v="CHANGAN"/>
    <s v="M201 DOHC 1.2"/>
    <n v="2023"/>
  </r>
  <r>
    <n v="2305273"/>
    <n v="275"/>
    <n v="10"/>
    <n v="5954378"/>
    <m/>
    <s v="PHOENIX"/>
    <s v="JUDICIAL"/>
    <x v="14"/>
    <s v="271-300"/>
    <x v="1"/>
    <s v="COBRANZA"/>
    <x v="1"/>
    <s v="E"/>
    <n v="18379379"/>
    <n v="9"/>
    <s v="JOSE IGANCIO CARCAMO OPORTO"/>
    <n v="1"/>
    <n v="284.108"/>
    <d v="2025-03-08T00:00:00"/>
    <n v="30"/>
    <n v="30"/>
    <n v="60"/>
    <s v="AMICAR"/>
    <s v="DACIÓN"/>
    <n v="348581"/>
    <n v="0"/>
    <s v="NO"/>
    <d v="2023-03-01T00:00:00"/>
    <n v="3189661"/>
    <s v="2,49"/>
    <m/>
    <m/>
    <m/>
    <s v="NO RECUPERADO"/>
    <n v="94719526"/>
    <m/>
    <m/>
    <s v="ignaciocarcamo.79@gmail.com"/>
    <m/>
    <m/>
    <s v="PJE CARLOS ARELLANO JARA 02145 VILLA CARDENAL RAUL SILVA H"/>
    <s v="RANCAGUA"/>
    <s v="VI REGION"/>
    <s v="C-17486-2025"/>
    <s v="11º Juzgado Civil de Santiago"/>
    <s v="EMBARGADO"/>
    <s v="MANTIENE"/>
    <m/>
    <m/>
    <m/>
    <m/>
    <s v="SI"/>
    <s v="ACTIVO"/>
    <s v="SKBG22"/>
    <s v="JAC"/>
    <s v="JS2 1.5"/>
    <n v="2023"/>
  </r>
  <r>
    <n v="2310878"/>
    <n v="329"/>
    <n v="11"/>
    <n v="10088187"/>
    <m/>
    <s v="PHOENIX"/>
    <s v="JUDICIAL"/>
    <x v="11"/>
    <s v="301-330"/>
    <x v="1"/>
    <s v="COBRANZA"/>
    <x v="1"/>
    <s v="E"/>
    <n v="16782801"/>
    <n v="9"/>
    <s v="PATRICIO ESTEBAN GUTIÉRREZ VALENZUELA"/>
    <n v="1"/>
    <n v="656.33299999999997"/>
    <d v="2025-10-06T00:00:00"/>
    <n v="28"/>
    <n v="28"/>
    <n v="48"/>
    <s v="Dealer"/>
    <s v="DACIÓN"/>
    <n v="1132268"/>
    <n v="212832"/>
    <s v="NO"/>
    <d v="2023-09-01T00:00:00"/>
    <n v="8564763"/>
    <s v="2,65"/>
    <m/>
    <m/>
    <m/>
    <s v="NO RECUPERADO"/>
    <n v="940839524"/>
    <m/>
    <m/>
    <s v="valenzuela.pg@gmail.com"/>
    <m/>
    <m/>
    <s v="GACITUA 156"/>
    <s v="CHILLAN VIEJO"/>
    <s v="XVI REGION"/>
    <s v="C-13016-2025"/>
    <s v="19º Juzgado Civil de Santiago"/>
    <s v="INGRESADO"/>
    <s v="MANTIENE"/>
    <m/>
    <m/>
    <m/>
    <m/>
    <s v="NO"/>
    <s v="ACTIVO"/>
    <s v="KFXW15"/>
    <s v="JAGUAR"/>
    <s v="F PACE PRESTIGE 2.0"/>
    <n v="2018"/>
  </r>
  <r>
    <n v="2312126"/>
    <n v="276"/>
    <n v="9"/>
    <n v="8246479"/>
    <m/>
    <s v="PHOENIX"/>
    <s v="JUDICIAL"/>
    <x v="13"/>
    <s v="271-300"/>
    <x v="1"/>
    <s v="COBRANZA"/>
    <x v="1"/>
    <s v="E"/>
    <n v="16435411"/>
    <n v="3"/>
    <s v="MANUEL ALFONSO  ROJAS ROJAS"/>
    <n v="1"/>
    <n v="456.92399999999998"/>
    <d v="2025-02-08T00:00:00"/>
    <n v="28"/>
    <n v="28"/>
    <n v="37"/>
    <s v="AMICAR"/>
    <s v="DACIÓN"/>
    <n v="735524"/>
    <n v="154417"/>
    <s v="NO"/>
    <d v="2023-06-01T00:00:00"/>
    <n v="5002257"/>
    <s v="2,49"/>
    <m/>
    <m/>
    <m/>
    <s v="NO RECUPERADO"/>
    <n v="975327741"/>
    <m/>
    <m/>
    <s v="manuel_rojas_20@hotmail.com"/>
    <m/>
    <m/>
    <s v="PUERTO NATALES 6193"/>
    <s v="ANTOFAGASTA"/>
    <s v="II REGION"/>
    <s v="C-17495-2025"/>
    <s v="9º Juzgado Civil de Santiago"/>
    <s v="INGRESADO"/>
    <s v="MANTIENE"/>
    <m/>
    <m/>
    <m/>
    <m/>
    <s v="NO"/>
    <s v="ACTIVO"/>
    <s v="SLWB60"/>
    <s v="CHANGAN"/>
    <s v="CX70 OTTO 1.6"/>
    <n v="2023"/>
  </r>
  <r>
    <n v="2312128"/>
    <n v="277"/>
    <n v="10"/>
    <n v="5141075"/>
    <m/>
    <s v="PHOENIX"/>
    <s v="JUDICIAL"/>
    <x v="13"/>
    <s v="271-300"/>
    <x v="1"/>
    <s v="COBRANZA"/>
    <x v="1"/>
    <s v="E"/>
    <n v="12077178"/>
    <n v="7"/>
    <s v="NELSON FERNANDO GARRIDO GUTIERREZ"/>
    <n v="1"/>
    <n v="342.91"/>
    <d v="2025-01-08T00:00:00"/>
    <n v="29"/>
    <n v="29"/>
    <n v="48"/>
    <s v="AMICAR"/>
    <s v="DACIÓN"/>
    <n v="426786"/>
    <n v="121854"/>
    <s v="NO"/>
    <d v="2023-09-01T00:00:00"/>
    <n v="3977740"/>
    <s v="2,49"/>
    <m/>
    <m/>
    <m/>
    <s v="NO RECUPERADO"/>
    <n v="934092515"/>
    <m/>
    <m/>
    <s v="nelsongarrido@outlook.com"/>
    <m/>
    <m/>
    <s v="CALPULLI 1713"/>
    <s v="OSORNO"/>
    <s v="X REGION"/>
    <s v="C-17479-2025"/>
    <s v="6º JUZGADO CIVIL DE SANTIAGO"/>
    <s v="INGRESADO"/>
    <s v="MANTIENE"/>
    <m/>
    <m/>
    <m/>
    <m/>
    <s v="NO"/>
    <s v="ACTIVO"/>
    <s v="SKYX99"/>
    <s v="JAC"/>
    <s v="JS2 HATCHBACK 1.5"/>
    <n v="2023"/>
  </r>
  <r>
    <n v="2317511"/>
    <n v="334"/>
    <n v="12"/>
    <n v="5689074"/>
    <m/>
    <s v="PHOENIX"/>
    <s v="JUDICIAL"/>
    <x v="11"/>
    <s v="331-360"/>
    <x v="1"/>
    <s v="COBRANZA"/>
    <x v="1"/>
    <s v="E"/>
    <n v="11478052"/>
    <n v="9"/>
    <s v="MIGUEL ANGEL MIDOLO ESCOBAR"/>
    <n v="1"/>
    <n v="356.72800000000001"/>
    <d v="2025-05-06T00:00:00"/>
    <n v="27"/>
    <n v="27"/>
    <n v="48"/>
    <s v="Dealer"/>
    <s v="DACIÓN"/>
    <n v="611897"/>
    <n v="0"/>
    <s v="NO"/>
    <d v="2023-12-01T00:00:00"/>
    <n v="4892633"/>
    <s v="2,65"/>
    <m/>
    <m/>
    <m/>
    <s v="NO RECUPERADO"/>
    <m/>
    <m/>
    <m/>
    <s v="RODRIGOMARPE94@GMIAL.COM"/>
    <m/>
    <m/>
    <s v="PASAJE ALCALA 326"/>
    <s v="QUILICURA"/>
    <s v="REGION METROPOLITANA"/>
    <s v="C-14431-2025"/>
    <s v="1º Juzgado Civil de Santiago"/>
    <s v="EMBARGADO"/>
    <s v="MANTIENE"/>
    <m/>
    <m/>
    <m/>
    <m/>
    <s v="SI"/>
    <s v="ACTIVO"/>
    <s v="SFYZ15"/>
    <s v="DFLM"/>
    <s v="JOYEAR SX6 1.6"/>
    <n v="2023"/>
  </r>
  <r>
    <n v="2339568"/>
    <n v="181"/>
    <n v="7"/>
    <n v="4878739"/>
    <m/>
    <s v="PHOENIX"/>
    <s v="JUDICIAL"/>
    <x v="10"/>
    <s v="181-210"/>
    <x v="1"/>
    <s v="COBRANZA"/>
    <x v="1"/>
    <s v="E"/>
    <n v="27138496"/>
    <n v="3"/>
    <s v="GENITZARET BEATRIZ LIZCANO RANGEL"/>
    <n v="1"/>
    <n v="341.08"/>
    <d v="2025-05-11T00:00:00"/>
    <n v="31"/>
    <n v="31"/>
    <n v="48"/>
    <s v="AMICAR"/>
    <s v="DACIÓN"/>
    <n v="197060"/>
    <n v="121332"/>
    <s v="NO"/>
    <s v="21-01-2023"/>
    <n v="2705952"/>
    <s v="1,99"/>
    <m/>
    <m/>
    <m/>
    <s v="NO RECUPERADO"/>
    <n v="932152699"/>
    <m/>
    <m/>
    <s v="genylizcano@gmail.com"/>
    <m/>
    <m/>
    <s v="AVENIDA CARLOS DIAZ 190 EDIFICIO CHACABUCO 111"/>
    <s v="LOS ANDES"/>
    <s v="V REGION"/>
    <s v="C-2399-2026"/>
    <s v="8º Juzgado Civil de Santiago"/>
    <s v="INGRESADO"/>
    <s v="MANTIENE"/>
    <m/>
    <m/>
    <m/>
    <m/>
    <s v="NO"/>
    <s v="ACTIVO"/>
    <s v="SKXZ63"/>
    <s v="JAC"/>
    <s v="JS4 1.6 COMFORT"/>
    <n v="2023"/>
  </r>
  <r>
    <n v="2344791"/>
    <n v="0"/>
    <m/>
    <n v="3525536"/>
    <m/>
    <s v="PHOENIX"/>
    <s v="JUDICIAL"/>
    <x v="7"/>
    <s v="361-390"/>
    <x v="1"/>
    <s v="COBRANZA"/>
    <x v="1"/>
    <s v="E"/>
    <n v="18829441"/>
    <n v="3"/>
    <s v="PAULA PHOOLANDEVI ESPINA GARCÍA"/>
    <n v="1"/>
    <n v="407.20699999999999"/>
    <m/>
    <m/>
    <n v="26"/>
    <m/>
    <s v="Dealer"/>
    <m/>
    <n v="0"/>
    <n v="0"/>
    <s v="NO"/>
    <s v="29-01-2023"/>
    <n v="0"/>
    <s v="2,71"/>
    <m/>
    <m/>
    <m/>
    <s v="CASTIGO"/>
    <n v="964630509"/>
    <m/>
    <m/>
    <s v="paula.espina.garcia@gmail.com"/>
    <m/>
    <m/>
    <s v="PASAJE RINICO 1161 ALTO LOS ROSALES"/>
    <s v="PEÑAFLOR"/>
    <s v="REGION METROPOLITANA"/>
    <s v="C-13015-2025"/>
    <s v="20º Juzgado Civil de Santiago"/>
    <s v="INGRESADO"/>
    <s v="MANTIENE"/>
    <m/>
    <m/>
    <m/>
    <m/>
    <s v="NO"/>
    <s v="ACTIVO"/>
    <s v="KLDB22"/>
    <s v="SSANGYONG"/>
    <s v="KORANDO DOHC 2.0"/>
    <n v="2018"/>
  </r>
  <r>
    <n v="2348879"/>
    <n v="89"/>
    <n v="4"/>
    <n v="5313452"/>
    <m/>
    <s v="PHOENIX"/>
    <s v="JUDICIAL"/>
    <x v="3"/>
    <s v="61-90"/>
    <x v="1"/>
    <s v="COBRANZA"/>
    <x v="1"/>
    <s v="E"/>
    <n v="19398935"/>
    <n v="7"/>
    <s v="William Anselmo Morales Toro"/>
    <n v="1"/>
    <n v="226.684"/>
    <d v="2026-05-02T00:00:00"/>
    <n v="35"/>
    <n v="34"/>
    <n v="49"/>
    <s v="AMICAR"/>
    <s v="DACIÓN"/>
    <n v="37710"/>
    <n v="0"/>
    <s v="NO"/>
    <s v="27-01-2023"/>
    <n v="944446"/>
    <s v="1,99"/>
    <m/>
    <m/>
    <m/>
    <s v="CONTENIDO"/>
    <n v="952012970"/>
    <m/>
    <m/>
    <s v="william9714morales@gmial.com"/>
    <m/>
    <m/>
    <s v="WILLIAMS REBOLLEDO 1860"/>
    <s v="ANTOFAGASTA"/>
    <s v="II REGION"/>
    <s v="C-17486-2025"/>
    <s v="3º Juzgado Civil de Santiago"/>
    <s v="NOTIFICADO"/>
    <s v="MANTIENE"/>
    <m/>
    <m/>
    <m/>
    <m/>
    <s v="SI"/>
    <s v="ACTIVO"/>
    <s v="SKWR79"/>
    <s v="HYUNDAI"/>
    <s v="GRAND I10 HB 1.2"/>
    <n v="2023"/>
  </r>
  <r>
    <n v="2362312"/>
    <n v="120"/>
    <n v="5"/>
    <n v="2820999"/>
    <m/>
    <s v="PHOENIX"/>
    <s v="JUDICIAL"/>
    <x v="3"/>
    <s v="91-120"/>
    <x v="1"/>
    <s v="COBRANZA"/>
    <x v="1"/>
    <s v="E"/>
    <n v="15664776"/>
    <n v="4"/>
    <s v="SILVIA SOFÍA SALINAS PEÑA"/>
    <n v="1"/>
    <n v="211.25899999999999"/>
    <d v="2026-05-01T00:00:00"/>
    <n v="33"/>
    <n v="33"/>
    <n v="48"/>
    <s v="Directo"/>
    <s v="DACIÓN"/>
    <n v="58257"/>
    <n v="74687"/>
    <s v="NO"/>
    <d v="2023-07-02T00:00:00"/>
    <n v="1189239"/>
    <s v="1,49"/>
    <m/>
    <m/>
    <m/>
    <s v="NO RECUPERADO"/>
    <n v="993374255"/>
    <m/>
    <n v="56933742554"/>
    <s v="SALINAS.SOFIA@GMAIL.COM"/>
    <m/>
    <m/>
    <s v="GARCIA PICA"/>
    <s v="EL BOSQUE"/>
    <s v="REGION METROPOLITANA"/>
    <s v="C-9885-2025"/>
    <s v="5º Juzgado Civil de Santiago"/>
    <s v="INGRESADO"/>
    <s v="REACTIVA"/>
    <m/>
    <m/>
    <m/>
    <m/>
    <s v="NO"/>
    <s v="ACTIVO"/>
    <s v="KRYV63"/>
    <s v="OPEL"/>
    <s v="GRANDLAND AT 8 1.5"/>
    <n v="2018"/>
  </r>
  <r>
    <n v="2377562"/>
    <n v="202"/>
    <n v="7"/>
    <n v="9051440"/>
    <m/>
    <s v="PHOENIX"/>
    <s v="JUDICIAL"/>
    <x v="8"/>
    <s v="181-210"/>
    <x v="1"/>
    <s v="COBRANZA"/>
    <x v="1"/>
    <s v="E"/>
    <n v="13013955"/>
    <n v="8"/>
    <s v="MAURICIO ESTEBAN KESSRA ORTIZ"/>
    <n v="1"/>
    <n v="268.42"/>
    <s v="15-10-2025"/>
    <n v="30"/>
    <n v="30"/>
    <n v="60"/>
    <s v="RENEGOCIADO"/>
    <m/>
    <n v="185000"/>
    <n v="100580"/>
    <s v="NO"/>
    <s v="20-02-2023"/>
    <n v="2164520"/>
    <s v="1,56"/>
    <m/>
    <m/>
    <m/>
    <s v="NO RECUPERADO"/>
    <n v="989990451"/>
    <m/>
    <m/>
    <s v="KESSRAORTIZ@GMAIL.COM"/>
    <m/>
    <m/>
    <s v="VICTOR FARIAS"/>
    <s v="ANTOFAGASTA"/>
    <s v="II REGION"/>
    <s v="C-2457-2026"/>
    <s v="20 Juzgado civil de Santiago"/>
    <s v="INGRESADO"/>
    <s v="MANTIENE"/>
    <m/>
    <m/>
    <m/>
    <m/>
    <s v="NO"/>
    <s v="ACTIVO"/>
    <m/>
    <s v="HAVAL"/>
    <s v="H7 ELITE 2.0 AUT"/>
    <n v="2022"/>
  </r>
  <r>
    <n v="2381394"/>
    <n v="71"/>
    <n v="3"/>
    <n v="4122109"/>
    <m/>
    <s v="PHOENIX"/>
    <s v="JUDICIAL"/>
    <x v="12"/>
    <s v="61-90"/>
    <x v="1"/>
    <s v="COBRANZA"/>
    <x v="1"/>
    <s v="D"/>
    <n v="13875254"/>
    <n v="2"/>
    <s v="CARLA ORIANA MUÑOZ MIRANDA"/>
    <n v="1"/>
    <n v="378.73099999999999"/>
    <s v="23-02-2026"/>
    <n v="35"/>
    <n v="35"/>
    <n v="48"/>
    <s v="Dealer"/>
    <s v="DACIÓN"/>
    <n v="43114"/>
    <n v="0"/>
    <s v="NO"/>
    <s v="22-02-2023"/>
    <n v="1179307"/>
    <s v="2,64"/>
    <m/>
    <m/>
    <m/>
    <s v="NO RECUPERADO"/>
    <n v="969086073"/>
    <m/>
    <m/>
    <s v="CARLAMUNOZMIRANDA@GMAIL.COM"/>
    <m/>
    <m/>
    <s v="SARGENTO ALDEA 904  POBLACION BORGOÑO"/>
    <s v="COPIAPO"/>
    <s v="III REGION"/>
    <s v="C-6718-2025"/>
    <s v="27º Juzgado Civil de Santiago"/>
    <s v="EMBARGADO"/>
    <s v="MANTIENE"/>
    <m/>
    <m/>
    <m/>
    <m/>
    <s v="SI"/>
    <s v="ACTIVO"/>
    <s v="RVDD31"/>
    <s v="JETOUR"/>
    <s v="X70 GLX 1.5 AUT"/>
    <n v="2022"/>
  </r>
  <r>
    <n v="2385235"/>
    <n v="207"/>
    <n v="7"/>
    <n v="4986443"/>
    <m/>
    <s v="PHOENIX"/>
    <s v="JUDICIAL"/>
    <x v="8"/>
    <s v="181-210"/>
    <x v="1"/>
    <s v="COBRANZA"/>
    <x v="1"/>
    <s v="E"/>
    <n v="17542721"/>
    <s v="K"/>
    <s v="JULIO ALEJANDRO HIDALGO FREDES"/>
    <n v="1"/>
    <n v="341.44400000000002"/>
    <d v="2025-10-10T00:00:00"/>
    <n v="30"/>
    <n v="30"/>
    <n v="48"/>
    <s v="Dealer"/>
    <s v="DACIÓN"/>
    <n v="236606"/>
    <n v="121435"/>
    <s v="NO"/>
    <s v="24-02-2023"/>
    <n v="2748149"/>
    <s v="2,3"/>
    <m/>
    <m/>
    <m/>
    <s v="NO RECUPERADO"/>
    <n v="965179742"/>
    <m/>
    <m/>
    <s v="Julio.hidalgo.fredes@hotmail.com"/>
    <m/>
    <m/>
    <s v="CALLE ESMERALDA 533"/>
    <s v="COPIAPO"/>
    <s v="III REGION"/>
    <s v="C-3845-2026"/>
    <s v="7º Juzgado Civil de Santiago"/>
    <s v="INGRESADO"/>
    <s v="MANTIENE"/>
    <m/>
    <m/>
    <m/>
    <m/>
    <s v="NO"/>
    <s v="ACTIVO"/>
    <s v="JKCX70"/>
    <s v="NISSAN"/>
    <s v="NP300 DCAB 4WD 2.3"/>
    <n v="2017"/>
  </r>
  <r>
    <n v="2415613"/>
    <n v="273"/>
    <n v="10"/>
    <n v="6122876"/>
    <m/>
    <s v="PHOENIX"/>
    <s v="JUDICIAL"/>
    <x v="14"/>
    <s v="271-300"/>
    <x v="1"/>
    <s v="COBRANZA"/>
    <x v="1"/>
    <s v="E"/>
    <n v="25987163"/>
    <n v="8"/>
    <s v="BELKYS MAYERLING MARTÍNEZ PARRA"/>
    <n v="1"/>
    <n v="260.32"/>
    <d v="2025-05-08T00:00:00"/>
    <n v="27"/>
    <n v="27"/>
    <n v="49"/>
    <s v="AMICAR"/>
    <s v="DACIÓN"/>
    <n v="314498"/>
    <n v="9568"/>
    <s v="NO"/>
    <s v="13-03-2023"/>
    <n v="2927266"/>
    <s v="2,29"/>
    <m/>
    <m/>
    <m/>
    <s v="NO RECUPERADO"/>
    <n v="931814521"/>
    <m/>
    <m/>
    <s v="belkysmparra@gmail.com"/>
    <m/>
    <m/>
    <s v="CALLE NUEVA 141"/>
    <s v="LA FLORIDA"/>
    <s v="REGION METROPOLITANA"/>
    <s v="C-835-2026"/>
    <s v="25º JUZGADO CIVIL DE SANTIAGO"/>
    <s v="INGRESADO"/>
    <s v="MANTIENE"/>
    <m/>
    <m/>
    <m/>
    <m/>
    <s v="NO"/>
    <s v="ACTIVO"/>
    <s v="SSWR35"/>
    <s v="HYUNDAI"/>
    <s v="GRAND I-10 AI3 HB 1.2"/>
    <n v="2023"/>
  </r>
  <r>
    <n v="2422377"/>
    <n v="197"/>
    <n v="7"/>
    <n v="3998518"/>
    <m/>
    <s v="PHOENIX"/>
    <s v="JUDICIAL"/>
    <x v="8"/>
    <s v="181-210"/>
    <x v="1"/>
    <s v="COBRANZA"/>
    <x v="1"/>
    <s v="E"/>
    <n v="13447587"/>
    <n v="0"/>
    <s v="ANA MARÍA SILVA HERNÁNDEZ"/>
    <n v="1"/>
    <n v="284.13099999999997"/>
    <s v="20-10-2025"/>
    <n v="30"/>
    <n v="30"/>
    <n v="48"/>
    <s v="Dealer"/>
    <s v="DACIÓN"/>
    <n v="193235"/>
    <n v="0"/>
    <s v="NO"/>
    <s v="20-03-2023"/>
    <n v="2182152"/>
    <s v="2,73"/>
    <m/>
    <m/>
    <m/>
    <s v="NO RECUPERADO"/>
    <n v="977611566"/>
    <m/>
    <n v="56992049978"/>
    <s v="victorhuerta026@gmail.com"/>
    <m/>
    <m/>
    <s v="PASAJE LAS VERTIENTES 1047 PISO 0"/>
    <s v="RECOLETA"/>
    <s v="REGION METROPOLITANA"/>
    <s v="C-8331-2025"/>
    <s v="30º Juzgado Civil de Santiago"/>
    <s v="EMBARGADO"/>
    <s v="MANTIENE"/>
    <m/>
    <m/>
    <m/>
    <m/>
    <s v="SI"/>
    <s v="ACTIVO"/>
    <s v="KHSV89"/>
    <s v="PEUGEOT"/>
    <s v="PARTNER HDI 1.6"/>
    <n v="2018"/>
  </r>
  <r>
    <n v="2423044"/>
    <n v="65"/>
    <n v="3"/>
    <n v="8042825"/>
    <m/>
    <s v="PHOENIX"/>
    <s v="JUDICIAL"/>
    <x v="4"/>
    <s v="61-90"/>
    <x v="1"/>
    <s v="COBRANZA"/>
    <x v="1"/>
    <s v="D"/>
    <n v="17550067"/>
    <n v="7"/>
    <s v="CAMILA ANDREA ESCALONA SALGADO"/>
    <n v="1"/>
    <n v="366.60599999999999"/>
    <d v="2026-01-03T00:00:00"/>
    <n v="32"/>
    <n v="32"/>
    <n v="49"/>
    <s v="AMICAR"/>
    <s v="DACIÓN"/>
    <n v="34292"/>
    <n v="0"/>
    <s v="NO"/>
    <d v="2023-10-03T00:00:00"/>
    <n v="1134110"/>
    <s v="2,09"/>
    <m/>
    <m/>
    <s v="NO PREMIUM"/>
    <s v="NO RECUPERADO"/>
    <n v="984835811"/>
    <m/>
    <n v="56984835898"/>
    <s v="camila.escalona@gmail.com"/>
    <m/>
    <m/>
    <s v="CUADRO VERDE 020, DPTO D103"/>
    <s v="ESTACION CENTRAL"/>
    <s v="REGION METROPOLITANA"/>
    <s v="C-13001-2025"/>
    <s v="25º JUZGADO CIVIL DE SANTIAGO"/>
    <s v="EMBARGADO"/>
    <s v="MANTIENE"/>
    <m/>
    <m/>
    <m/>
    <m/>
    <s v="SI"/>
    <s v="ACTIVO"/>
    <s v="STWF82"/>
    <s v="JAC"/>
    <s v="JS4 TURBO CVT 1.5 AUT"/>
    <n v="2023"/>
  </r>
  <r>
    <n v="2430717"/>
    <n v="30"/>
    <n v="2"/>
    <n v="4543027"/>
    <m/>
    <s v="PHOENIX"/>
    <s v="JUDICIAL"/>
    <x v="4"/>
    <d v="2026-01-30T00:00:00"/>
    <x v="1"/>
    <s v="COBRANZA"/>
    <x v="1"/>
    <s v="E"/>
    <n v="17827653"/>
    <n v="0"/>
    <s v="MIGUEL ANTONIO ORTIZ RODRIGUEZ"/>
    <n v="1"/>
    <n v="199.58"/>
    <d v="2026-05-04T00:00:00"/>
    <n v="35"/>
    <n v="34"/>
    <n v="49"/>
    <s v="RENEGOCIADO"/>
    <m/>
    <n v="5821"/>
    <n v="0"/>
    <s v="NO"/>
    <s v="23-03-2023"/>
    <n v="404981"/>
    <s v="1,5"/>
    <m/>
    <m/>
    <s v="NO PREMIUM"/>
    <s v="CONTENIDO"/>
    <n v="987422446"/>
    <m/>
    <n v="56949786261"/>
    <s v="MIGUEL_BOLA8@HOTMAIL.COM"/>
    <m/>
    <m/>
    <s v="LOS JARDINES"/>
    <s v="COQUIMBO"/>
    <s v="IV REGION"/>
    <s v="C-15767-2025"/>
    <s v="14º Juzgado Civil de Santiago"/>
    <s v="EMBARGADO"/>
    <s v="MANTIENE"/>
    <m/>
    <s v="SUSPENDER"/>
    <s v="1 CUOTA MORA"/>
    <d v="2026-05-05T00:00:00"/>
    <s v="SI"/>
    <s v="SUSPENDIDO"/>
    <s v="PTSD38"/>
    <s v="NISSAN"/>
    <s v="VERSA"/>
    <n v="2021"/>
  </r>
  <r>
    <n v="2431101"/>
    <n v="124"/>
    <n v="5"/>
    <n v="5434474"/>
    <m/>
    <s v="PHOENIX"/>
    <s v="JUDICIAL"/>
    <x v="3"/>
    <s v="121-150"/>
    <x v="1"/>
    <s v="COBRANZA"/>
    <x v="1"/>
    <s v="E"/>
    <n v="11624626"/>
    <n v="0"/>
    <s v="FABIOLA ELIZABETH CHAPARRO CHAPARRO"/>
    <n v="1"/>
    <n v="234.6"/>
    <d v="2026-01-01T00:00:00"/>
    <n v="31"/>
    <n v="31"/>
    <n v="49"/>
    <s v="AMICAR"/>
    <s v="DACIÓN"/>
    <n v="69507"/>
    <n v="74170"/>
    <s v="NO"/>
    <s v="20-03-2023"/>
    <n v="1316677"/>
    <s v="2,09"/>
    <m/>
    <m/>
    <m/>
    <s v="NO RECUPERADO"/>
    <n v="9648089980"/>
    <m/>
    <m/>
    <m/>
    <m/>
    <m/>
    <s v="LOS FLETEROS 30"/>
    <s v="VALPARAISO"/>
    <s v="V REGION"/>
    <s v="C-2255-2026"/>
    <s v="16º Juzgado Civil de Santiago"/>
    <s v="INGRESADO"/>
    <s v="MANTIENE"/>
    <m/>
    <m/>
    <m/>
    <m/>
    <s v="NO"/>
    <s v="ACTIVO"/>
    <s v="STGJ76"/>
    <s v="SUZUKI"/>
    <s v="SWIFT GL HB 1.2"/>
    <n v="2023"/>
  </r>
  <r>
    <n v="2433371"/>
    <n v="246"/>
    <n v="8"/>
    <n v="3232868"/>
    <m/>
    <s v="PHOENIX"/>
    <s v="JUDICIAL"/>
    <x v="14"/>
    <s v="241-270"/>
    <x v="1"/>
    <s v="COBRANZA"/>
    <x v="1"/>
    <s v="E"/>
    <n v="76976731"/>
    <n v="2"/>
    <s v="DIMONT SPA"/>
    <n v="0"/>
    <n v="455.31200000000001"/>
    <d v="2025-01-09T00:00:00"/>
    <n v="28"/>
    <n v="28"/>
    <n v="36"/>
    <s v="Dealer"/>
    <s v="DACIÓN"/>
    <n v="467391"/>
    <n v="0"/>
    <s v="NO"/>
    <s v="27-03-2023"/>
    <n v="4109887"/>
    <s v="2,73"/>
    <m/>
    <m/>
    <m/>
    <s v="NO RECUPERADO"/>
    <n v="949619865"/>
    <m/>
    <m/>
    <s v="dimontcl@gmail.com"/>
    <m/>
    <m/>
    <s v="Avenida Nueva Koke 1102, local 3"/>
    <s v="RANCAGUA"/>
    <s v="VI REGION"/>
    <s v="C-835-2026"/>
    <s v="24º Juzgado Civil de Santiago"/>
    <s v="EMBARGADO"/>
    <s v="MANTIENE"/>
    <m/>
    <m/>
    <m/>
    <m/>
    <s v="SI"/>
    <s v="ACTIVO"/>
    <s v="STZF19"/>
    <s v="FOTON"/>
    <s v="MIDI CARGOBOX PICK UP"/>
    <n v="2023"/>
  </r>
  <r>
    <n v="2447002"/>
    <n v="72"/>
    <n v="3"/>
    <n v="6099908"/>
    <m/>
    <s v="PHOENIX"/>
    <s v="JUDICIAL"/>
    <x v="12"/>
    <s v="61-90"/>
    <x v="1"/>
    <s v="COBRANZA"/>
    <x v="1"/>
    <s v="E"/>
    <n v="13799962"/>
    <n v="5"/>
    <s v="YORDANSKA NINOSKA ROCHA ARRIAGADA"/>
    <n v="1"/>
    <n v="482.577"/>
    <s v="22-02-2026"/>
    <n v="33"/>
    <n v="33"/>
    <n v="48"/>
    <s v="Directo"/>
    <s v="DACIÓN"/>
    <n v="56540"/>
    <n v="58375"/>
    <s v="NO"/>
    <d v="2023-05-04T00:00:00"/>
    <n v="1562646"/>
    <s v="2,22"/>
    <m/>
    <m/>
    <m/>
    <s v="NO RECUPERADO"/>
    <n v="973710259"/>
    <m/>
    <n v="56973710259"/>
    <s v="transportescsilva@gmail.com"/>
    <m/>
    <m/>
    <s v="PASAJE 2  4177  LA FORESTA 2"/>
    <s v="HUALPEN"/>
    <s v="VIII REGION"/>
    <s v="C-3851-2026"/>
    <s v="8º Juzgado Civil de Santiago"/>
    <s v="INGRESADO"/>
    <s v="MANTIENE"/>
    <m/>
    <m/>
    <m/>
    <m/>
    <s v="NO"/>
    <s v="ACTIVO"/>
    <s v="JVXZ76"/>
    <s v="MERCEDES BENZ"/>
    <s v="VITO TOURER 114 CDI"/>
    <n v="2017"/>
  </r>
  <r>
    <n v="2448244"/>
    <n v="0"/>
    <m/>
    <n v="3131096"/>
    <m/>
    <s v="PHOENIX"/>
    <s v="JUDICIAL"/>
    <x v="15"/>
    <s v="361-390"/>
    <x v="1"/>
    <s v="COBRANZA"/>
    <x v="1"/>
    <s v="E"/>
    <n v="14156550"/>
    <n v="8"/>
    <s v="CRISTOPHER ALONSO LAGOS SAGREDO"/>
    <n v="1"/>
    <n v="179.41200000000001"/>
    <m/>
    <m/>
    <n v="23"/>
    <m/>
    <s v="Dealer"/>
    <m/>
    <n v="0"/>
    <n v="0"/>
    <s v="NO"/>
    <m/>
    <n v="0"/>
    <m/>
    <m/>
    <m/>
    <m/>
    <s v="CASTIGO"/>
    <m/>
    <m/>
    <m/>
    <s v="cristophersagredo67@gmail.com"/>
    <m/>
    <m/>
    <s v="Juvenal Hernández 131"/>
    <s v="MAIPU"/>
    <s v="REGION METROPOLITANA"/>
    <s v="C-13006-2025"/>
    <s v="27º Juzgado Civil de Santiago"/>
    <s v="EMBARGADO"/>
    <s v="MANTIENE"/>
    <m/>
    <m/>
    <m/>
    <m/>
    <s v="SI"/>
    <s v="ACTIVO"/>
    <s v="SRPP47"/>
    <s v="FOTON"/>
    <s v="MIDI TRUCK CAB SIMPLE 1.3"/>
    <n v="2023"/>
  </r>
  <r>
    <n v="2456670"/>
    <n v="56"/>
    <n v="2"/>
    <n v="6855683"/>
    <m/>
    <s v="PHOENIX"/>
    <s v="JUDICIAL"/>
    <x v="4"/>
    <s v="31-60"/>
    <x v="1"/>
    <s v="COBRANZA"/>
    <x v="1"/>
    <s v="E"/>
    <n v="26501219"/>
    <n v="1"/>
    <s v="YERLAIN MARIA VILLALOBOS CAMACARO"/>
    <n v="1"/>
    <n v="185.595"/>
    <d v="2026-10-03T00:00:00"/>
    <n v="33"/>
    <n v="33"/>
    <n v="72"/>
    <s v="RENEGOCIADO"/>
    <m/>
    <n v="14043"/>
    <n v="0"/>
    <s v="NO"/>
    <d v="2023-12-04T00:00:00"/>
    <n v="385233"/>
    <s v="1,69"/>
    <m/>
    <m/>
    <s v="NO PREMIUM"/>
    <s v="NO RECUPERADO"/>
    <n v="569357405"/>
    <m/>
    <m/>
    <s v="YERLAINVILLALOBOS1988@GMAIL.COM"/>
    <m/>
    <m/>
    <s v="PORVENIR"/>
    <m/>
    <m/>
    <s v="C-8327-2025"/>
    <s v="17º Juzgado Civil de Santiago"/>
    <s v="EMBARGADO"/>
    <s v="MANTIENE"/>
    <m/>
    <m/>
    <m/>
    <m/>
    <s v="SI"/>
    <s v="ACTIVO"/>
    <m/>
    <s v="SUZUKI"/>
    <s v="D ZIRE"/>
    <n v="2022"/>
  </r>
  <r>
    <n v="2470930"/>
    <n v="292"/>
    <n v="10"/>
    <n v="3998312"/>
    <m/>
    <s v="PHOENIX"/>
    <s v="JUDICIAL"/>
    <x v="13"/>
    <s v="271-300"/>
    <x v="1"/>
    <s v="COBRANZA"/>
    <x v="1"/>
    <s v="E"/>
    <n v="15018806"/>
    <n v="7"/>
    <s v="JORGE MARCELO TRIGO VEGA"/>
    <n v="1"/>
    <n v="114.206"/>
    <s v="17-07-2025"/>
    <n v="25"/>
    <n v="25"/>
    <n v="58"/>
    <s v="RENEGOCIADO"/>
    <m/>
    <n v="173810"/>
    <n v="0"/>
    <s v="NO"/>
    <s v="20-04-2023"/>
    <n v="1315870"/>
    <s v="1,6"/>
    <m/>
    <m/>
    <m/>
    <s v="NO RECUPERADO"/>
    <n v="986060351"/>
    <m/>
    <m/>
    <s v="TRIGOVEGA.JORGEM@GMAIL.COM"/>
    <m/>
    <m/>
    <s v="RIO MAULE"/>
    <s v="SIERRA GORDA"/>
    <s v="II REGION"/>
    <s v="C-8331-2025"/>
    <s v="9º Juzgado Civil de Santiago"/>
    <s v="EMBARGADO"/>
    <s v="MANTIENE"/>
    <m/>
    <m/>
    <m/>
    <m/>
    <s v="SI"/>
    <s v="ACTIVO"/>
    <m/>
    <s v="MAHINDRA"/>
    <s v="KUV 100 HATCH BACK 1.2"/>
    <n v="2020"/>
  </r>
  <r>
    <n v="2472050"/>
    <n v="93"/>
    <n v="4"/>
    <n v="2840554"/>
    <m/>
    <s v="PHOENIX"/>
    <s v="JUDICIAL"/>
    <x v="12"/>
    <s v="91-120"/>
    <x v="1"/>
    <s v="COBRANZA"/>
    <x v="1"/>
    <s v="E"/>
    <n v="11647024"/>
    <n v="1"/>
    <s v="JOHANNA LUISA CERDA ROJAS"/>
    <n v="1"/>
    <n v="224.93"/>
    <d v="2026-01-02T00:00:00"/>
    <n v="32"/>
    <n v="32"/>
    <n v="48"/>
    <s v="Dealer"/>
    <s v="DACIÓN"/>
    <n v="44085"/>
    <n v="62531"/>
    <s v="NO"/>
    <s v="21-04-2023"/>
    <n v="1006336"/>
    <s v="2,93"/>
    <m/>
    <m/>
    <m/>
    <s v="NO RECUPERADO"/>
    <n v="953876566"/>
    <m/>
    <m/>
    <s v="cerda.rojasjohanna@gmail.com"/>
    <m/>
    <m/>
    <s v="PASAJE MOSCATEL 419"/>
    <s v="PUDAHUEL"/>
    <s v="REGION METROPOLITANA"/>
    <s v="C-3879-2026"/>
    <s v="23º Juzgado Civil de Santiago"/>
    <s v="INGRESADO"/>
    <s v="MANTIENE"/>
    <m/>
    <m/>
    <m/>
    <m/>
    <s v="NO"/>
    <s v="ACTIVO"/>
    <s v="SRPP37"/>
    <s v="FOTON"/>
    <s v="MIDI TRUCK CAB SIMPLE 1.300CC"/>
    <n v="2023"/>
  </r>
  <r>
    <n v="2484335"/>
    <n v="46"/>
    <n v="2"/>
    <n v="9520270"/>
    <m/>
    <s v="PHOENIX"/>
    <s v="JUDICIAL"/>
    <x v="4"/>
    <s v="31-60"/>
    <x v="1"/>
    <s v="COBRANZA"/>
    <x v="1"/>
    <s v="E"/>
    <n v="12965916"/>
    <n v="5"/>
    <s v="JUAN CARLOS LEAL LEAL"/>
    <n v="1"/>
    <n v="294.738"/>
    <s v="20-03-2026"/>
    <n v="33"/>
    <n v="33"/>
    <n v="62"/>
    <s v="RENEGOCIADO"/>
    <m/>
    <n v="16463"/>
    <n v="0"/>
    <s v="NO"/>
    <s v="28-04-2023"/>
    <n v="605939"/>
    <s v="1,69"/>
    <m/>
    <m/>
    <s v="NO PREMIUM"/>
    <s v="NO RECUPERADO"/>
    <n v="974478774"/>
    <m/>
    <m/>
    <s v="JUANCARLOSLEAL.LEAL@GMAIL.COM"/>
    <m/>
    <m/>
    <s v="PASAJE HIGUERITAS"/>
    <m/>
    <m/>
    <s v="C-3939-2025"/>
    <s v="9º Juzgado Civil de Santiago"/>
    <s v="EMBARGADO"/>
    <s v="MANTIENE"/>
    <m/>
    <m/>
    <m/>
    <m/>
    <s v="SI"/>
    <s v="ACTIVO"/>
    <s v="RPTT90"/>
    <s v="JAC"/>
    <s v="T8 CE 4X4 2.0"/>
    <n v="2022"/>
  </r>
  <r>
    <n v="2484501"/>
    <n v="65"/>
    <n v="3"/>
    <n v="2699554"/>
    <m/>
    <s v="PHOENIX"/>
    <s v="JUDICIAL"/>
    <x v="4"/>
    <s v="61-90"/>
    <x v="1"/>
    <s v="COBRANZA"/>
    <x v="1"/>
    <s v="E"/>
    <n v="10928665"/>
    <n v="6"/>
    <s v="NELSON IVÁN SILVA TOLEDO"/>
    <n v="1"/>
    <n v="224.989"/>
    <d v="2026-01-03T00:00:00"/>
    <n v="33"/>
    <n v="33"/>
    <n v="48"/>
    <s v="Dealer"/>
    <s v="DACIÓN"/>
    <n v="22064"/>
    <n v="33664"/>
    <s v="NO"/>
    <s v="29-04-2023"/>
    <n v="730695"/>
    <s v="2,93"/>
    <m/>
    <m/>
    <s v="NO PREMIUM"/>
    <s v="NO RECUPERADO"/>
    <n v="981615097"/>
    <m/>
    <m/>
    <s v="N.silva.toledo@gmail.com"/>
    <m/>
    <m/>
    <s v="LOS CANTAROS 0880"/>
    <s v="PADRE LAS CASAS"/>
    <s v="IX REGION"/>
    <s v="C-2387-2026"/>
    <s v="24º Juzgado Civil de Santiago"/>
    <s v="INGRESADO"/>
    <s v="MANTIENE"/>
    <m/>
    <m/>
    <m/>
    <m/>
    <s v="NO"/>
    <s v="ACTIVO"/>
    <s v="KRCF31"/>
    <s v="CHEVROLET"/>
    <s v="SAIL 1.5"/>
    <n v="2018"/>
  </r>
  <r>
    <n v="2501085"/>
    <n v="82"/>
    <n v="3"/>
    <n v="4379177"/>
    <m/>
    <s v="PHOENIX"/>
    <s v="JUDICIAL"/>
    <x v="12"/>
    <s v="61-90"/>
    <x v="1"/>
    <s v="COBRANZA"/>
    <x v="1"/>
    <s v="E"/>
    <n v="14249393"/>
    <n v="4"/>
    <s v="INGRID MERCEDES GALAZ GUTIÉRREZ"/>
    <n v="1"/>
    <n v="335.18"/>
    <d v="2026-12-02T00:00:00"/>
    <n v="32"/>
    <n v="32"/>
    <n v="48"/>
    <s v="Dealer"/>
    <s v="DACIÓN"/>
    <n v="48144"/>
    <n v="0"/>
    <s v="NO"/>
    <d v="2023-11-05T00:00:00"/>
    <n v="1053684"/>
    <s v="2,49"/>
    <m/>
    <m/>
    <m/>
    <s v="NO RECUPERADO"/>
    <n v="978439062"/>
    <m/>
    <m/>
    <s v="Igalaz.mon@hotmail.com"/>
    <m/>
    <m/>
    <s v="GRAJALES  2154"/>
    <s v="SANTIAGO"/>
    <s v="REGION METROPOLITANA"/>
    <s v="C-20316-2024"/>
    <s v="11º Juzgado Civil de Santiago"/>
    <s v="EMBARGADO"/>
    <s v="MANTIENE"/>
    <m/>
    <m/>
    <m/>
    <m/>
    <s v="SI"/>
    <s v="ACTIVO"/>
    <s v="SWSF83"/>
    <s v="KYC"/>
    <s v="X5 4X2 1.6"/>
    <n v="2023"/>
  </r>
  <r>
    <n v="2502847"/>
    <n v="237"/>
    <n v="8"/>
    <n v="5951024"/>
    <m/>
    <s v="PHOENIX"/>
    <s v="JUDICIAL"/>
    <x v="6"/>
    <s v="211-240"/>
    <x v="1"/>
    <s v="COBRANZA"/>
    <x v="1"/>
    <s v="E"/>
    <n v="16462570"/>
    <n v="2"/>
    <s v="Cristian Soto Parra ."/>
    <n v="1"/>
    <n v="266.57400000000001"/>
    <d v="2025-10-09T00:00:00"/>
    <n v="27"/>
    <n v="27"/>
    <n v="60"/>
    <s v="AMICAR"/>
    <s v="DACIÓN"/>
    <n v="249123"/>
    <n v="81019"/>
    <s v="NO"/>
    <d v="2023-10-05T00:00:00"/>
    <n v="2462734"/>
    <s v="2,49"/>
    <m/>
    <m/>
    <m/>
    <s v="NO RECUPERADO"/>
    <n v="936441810"/>
    <m/>
    <m/>
    <s v="cristianeducacion@hotmail.com"/>
    <m/>
    <m/>
    <s v="LAS CONDES"/>
    <s v="LAS CONDES"/>
    <s v="REGION METROPOLITANA"/>
    <s v="C-15771-2025"/>
    <s v="17º Juzgado Civil de Santiago"/>
    <s v="INGRESADO"/>
    <s v="MANTIENE"/>
    <m/>
    <m/>
    <m/>
    <m/>
    <s v="NO"/>
    <s v="ACTIVO"/>
    <s v="STPY63"/>
    <s v="GREAT WALL"/>
    <s v="WINGLE 4P 2.2"/>
    <n v="2023"/>
  </r>
  <r>
    <n v="2508642"/>
    <n v="25"/>
    <n v="1"/>
    <n v="2669216"/>
    <m/>
    <s v="PHOENIX"/>
    <s v="JUDICIAL"/>
    <x v="5"/>
    <d v="2026-01-30T00:00:00"/>
    <x v="1"/>
    <s v="COBRANZA"/>
    <x v="1"/>
    <s v="E"/>
    <n v="12909602"/>
    <n v="0"/>
    <s v="LILY DEL ROCÍO  SÁNCHEZ  MUÑOZ"/>
    <n v="1"/>
    <n v="213.25700000000001"/>
    <d v="2026-10-04T00:00:00"/>
    <n v="33"/>
    <n v="33"/>
    <n v="47"/>
    <s v="RENEGOCIADO"/>
    <m/>
    <n v="5550"/>
    <n v="0"/>
    <s v="NO"/>
    <s v="15-05-2023"/>
    <n v="218807"/>
    <s v="1,53"/>
    <m/>
    <m/>
    <s v="NO PREMIUM"/>
    <s v="NO RECUPERADO"/>
    <n v="984103204"/>
    <m/>
    <n v="56990123724"/>
    <s v="LITOLIA75@HOTMAIL.COM"/>
    <m/>
    <m/>
    <s v="NANCAGUA"/>
    <s v="LA FLORIDA"/>
    <s v="REGION METROPOLITANA"/>
    <s v="C-682-2025"/>
    <s v="27º Juzgado Civil de Santiago"/>
    <s v="NOTIFICADO"/>
    <s v="MANTIENE"/>
    <m/>
    <s v="SUSPENDER"/>
    <s v="1 CUOTA EN MORA"/>
    <d v="2026-05-05T00:00:00"/>
    <s v="SI"/>
    <s v="SUSPENDIDO"/>
    <s v="PTVD67"/>
    <s v="NISSAN"/>
    <s v="VERSA"/>
    <n v="2021"/>
  </r>
  <r>
    <n v="2516689"/>
    <n v="47"/>
    <n v="2"/>
    <n v="3739226"/>
    <m/>
    <s v="PHOENIX"/>
    <s v="JUDICIAL"/>
    <x v="4"/>
    <s v="31-60"/>
    <x v="1"/>
    <s v="COBRANZA"/>
    <x v="1"/>
    <s v="E"/>
    <n v="76791538"/>
    <n v="1"/>
    <s v="INSUMOS DE REPOSTERIA MALÚ SPA"/>
    <n v="0"/>
    <n v="307.58600000000001"/>
    <s v="19-03-2026"/>
    <n v="33"/>
    <n v="33"/>
    <n v="48"/>
    <s v="Dealer"/>
    <s v="DACIÓN"/>
    <n v="18359"/>
    <n v="0"/>
    <s v="NO"/>
    <s v="19-05-2023"/>
    <n v="633531"/>
    <s v="2,75"/>
    <m/>
    <m/>
    <s v="NO PREMIUM"/>
    <s v="NO RECUPERADO"/>
    <n v="992428656"/>
    <m/>
    <m/>
    <s v="A@A.CL"/>
    <m/>
    <m/>
    <s v="LOS ALAMOS 545"/>
    <s v="COQUIMBO"/>
    <s v="IV REGION"/>
    <s v="C-836-2026"/>
    <s v="18º Juzgado Civil de Santiago"/>
    <s v="EMBARGADO"/>
    <s v="MANTIENE"/>
    <m/>
    <m/>
    <m/>
    <m/>
    <s v="SI"/>
    <s v="ACTIVO"/>
    <s v="PDTR56"/>
    <s v="PEUGEOT"/>
    <s v="PARTNER L1 HDI 1.6"/>
    <n v="2021"/>
  </r>
  <r>
    <n v="2521831"/>
    <n v="212"/>
    <n v="8"/>
    <n v="3332185"/>
    <m/>
    <s v="PHOENIX"/>
    <s v="JUDICIAL"/>
    <x v="8"/>
    <s v="211-240"/>
    <x v="1"/>
    <s v="COBRANZA"/>
    <x v="1"/>
    <s v="E"/>
    <n v="18680808"/>
    <n v="8"/>
    <s v="VALENTINA MICHELL AHUMADA VALDES"/>
    <n v="1"/>
    <n v="187.499"/>
    <d v="2025-05-10T00:00:00"/>
    <n v="27"/>
    <n v="27"/>
    <n v="48"/>
    <s v="Directo"/>
    <m/>
    <n v="156550"/>
    <n v="9568"/>
    <s v="NO"/>
    <d v="2023-11-05T00:00:00"/>
    <n v="1666110"/>
    <s v="1,57"/>
    <m/>
    <m/>
    <m/>
    <s v="NO RECUPERADO"/>
    <n v="987887876"/>
    <m/>
    <m/>
    <s v="VALENTINAAHUMADAVALDES@GMAIL.COM"/>
    <m/>
    <m/>
    <s v="AMERICO VESPUCIO"/>
    <s v="LOS ANDES"/>
    <s v="V REGION"/>
    <s v="C-2402-2026"/>
    <s v="2º Juzgado Civil de Santiago"/>
    <s v="INGRESADO"/>
    <s v="MANTIENE"/>
    <m/>
    <m/>
    <m/>
    <m/>
    <s v="NO"/>
    <s v="ACTIVO"/>
    <m/>
    <s v="RENAULT"/>
    <s v="KWID HB 1.0"/>
    <n v="2022"/>
  </r>
  <r>
    <n v="2523286"/>
    <n v="89"/>
    <n v="4"/>
    <n v="3724480"/>
    <m/>
    <s v="PHOENIX"/>
    <s v="JUDICIAL"/>
    <x v="12"/>
    <s v="61-90"/>
    <x v="1"/>
    <s v="COBRANZA"/>
    <x v="1"/>
    <s v="E"/>
    <n v="10631272"/>
    <n v="9"/>
    <s v="MARÍA ISABEL HENRÍQUEZ SARABIA"/>
    <n v="1"/>
    <n v="282.65600000000001"/>
    <d v="2026-05-02T00:00:00"/>
    <n v="31"/>
    <n v="31"/>
    <n v="48"/>
    <s v="Dealer"/>
    <s v="DACIÓN"/>
    <n v="52063"/>
    <n v="0"/>
    <s v="NO"/>
    <s v="23-05-2023"/>
    <n v="1182687"/>
    <s v="2,99"/>
    <m/>
    <m/>
    <m/>
    <s v="NO RECUPERADO"/>
    <n v="933827499"/>
    <m/>
    <m/>
    <s v="hhsisabel@gmail.com"/>
    <m/>
    <m/>
    <s v="JULIO MONTT SALAMANCA 61"/>
    <s v="LOS ANDES"/>
    <s v="V REGION"/>
    <s v="C-9897-2025"/>
    <s v="30º Juzgado Civil de Santiago"/>
    <s v="EMBARGADO"/>
    <s v="MANTIENE"/>
    <m/>
    <m/>
    <m/>
    <m/>
    <s v="SI"/>
    <s v="ACTIVO"/>
    <s v="SSKT12"/>
    <s v="KARRY"/>
    <s v="Q22D CB 1.5"/>
    <n v="2023"/>
  </r>
  <r>
    <n v="2543715"/>
    <n v="176"/>
    <n v="6"/>
    <n v="3933933"/>
    <m/>
    <s v="PHOENIX"/>
    <s v="JUDICIAL"/>
    <x v="10"/>
    <s v="151-180"/>
    <x v="1"/>
    <s v="COBRANZA"/>
    <x v="1"/>
    <s v="E"/>
    <n v="17903455"/>
    <n v="7"/>
    <s v="JOCELYN GABRIELA CALFULEF LEVIO"/>
    <n v="1"/>
    <n v="264.178"/>
    <d v="2025-10-11T00:00:00"/>
    <n v="28"/>
    <n v="28"/>
    <n v="48"/>
    <s v="Dealer"/>
    <s v="DACIÓN"/>
    <n v="152996"/>
    <n v="37861"/>
    <s v="NO"/>
    <d v="2023-06-06T00:00:00"/>
    <n v="1775925"/>
    <s v="2,99"/>
    <m/>
    <m/>
    <m/>
    <s v="NO RECUPERADO"/>
    <n v="998795194"/>
    <m/>
    <m/>
    <s v="Fer_masias91@hotmail.com"/>
    <m/>
    <m/>
    <s v="AVENIDA SAN JUAN 1237"/>
    <s v="MACHALI"/>
    <s v="VI REGION"/>
    <s v="C-17481-2025"/>
    <s v="1º Juzgado Civil de Santiago"/>
    <s v="INGRESADO"/>
    <s v="MANTIENE"/>
    <m/>
    <m/>
    <m/>
    <m/>
    <s v="NO"/>
    <s v="ACTIVO"/>
    <s v="GCYP11"/>
    <s v="KIA MOTORS"/>
    <s v="NEW CERATO SX 1.6"/>
    <n v="2014"/>
  </r>
  <r>
    <n v="2545735"/>
    <n v="202"/>
    <n v="7"/>
    <n v="7093850"/>
    <m/>
    <s v="PHOENIX"/>
    <s v="JUDICIAL"/>
    <x v="8"/>
    <s v="181-210"/>
    <x v="1"/>
    <s v="COBRANZA"/>
    <x v="1"/>
    <s v="E"/>
    <n v="12779922"/>
    <n v="9"/>
    <s v="CARMEN ROSA MEDINA MENESES"/>
    <n v="1"/>
    <n v="340.83100000000002"/>
    <s v="15-10-2025"/>
    <n v="27"/>
    <n v="27"/>
    <n v="37"/>
    <s v="Dealer"/>
    <s v="DACIÓN"/>
    <n v="244446"/>
    <n v="0"/>
    <s v="NO"/>
    <d v="2023-06-06T00:00:00"/>
    <n v="2630263"/>
    <s v="2,49"/>
    <m/>
    <m/>
    <m/>
    <s v="NO RECUPERADO"/>
    <n v="992665686"/>
    <m/>
    <m/>
    <s v="alonsitocm23@gmail.com"/>
    <m/>
    <m/>
    <s v="PJE. FATIMA 324"/>
    <s v="MAIPU"/>
    <s v="REGION METROPOLITANA"/>
    <s v="C-13008-2025"/>
    <s v="1º Juzgado Civil de Santiago"/>
    <s v="EMBARGADO"/>
    <s v="MANTIENE"/>
    <m/>
    <m/>
    <m/>
    <m/>
    <s v="SI"/>
    <s v="ACTIVO"/>
    <s v="SWWG50"/>
    <s v="JETOUR"/>
    <s v="X70 4X2 1.5"/>
    <n v="2023"/>
  </r>
  <r>
    <n v="2545904"/>
    <n v="61"/>
    <n v="3"/>
    <n v="4376659"/>
    <m/>
    <s v="PHOENIX"/>
    <s v="JUDICIAL"/>
    <x v="4"/>
    <s v="61-90"/>
    <x v="1"/>
    <s v="COBRANZA"/>
    <x v="1"/>
    <s v="E"/>
    <n v="13011353"/>
    <n v="2"/>
    <s v="MAURICIO ALEJANDRO DIAZ CARRIZO"/>
    <n v="1"/>
    <n v="189.035"/>
    <d v="2026-05-03T00:00:00"/>
    <n v="31"/>
    <n v="31"/>
    <n v="60"/>
    <s v="Directo"/>
    <m/>
    <n v="16317"/>
    <n v="0"/>
    <s v="NO"/>
    <d v="2023-02-06T00:00:00"/>
    <n v="583422"/>
    <s v="1,57"/>
    <m/>
    <m/>
    <s v="NO PREMIUM"/>
    <s v="NO RECUPERADO"/>
    <n v="932699130"/>
    <m/>
    <n v="56932699130"/>
    <s v="MAURICIO.75DIAZZ@GMAIL.COM"/>
    <m/>
    <m/>
    <s v="AVDA EL MIRADOR"/>
    <s v="ANTOFAGASTA"/>
    <s v="II REGION"/>
    <s v="C-17478-2025"/>
    <s v="22º Juzgado Civil de Santiago"/>
    <s v="NOTIFICADO"/>
    <s v="MANTIENE"/>
    <m/>
    <m/>
    <m/>
    <m/>
    <s v="SI"/>
    <s v="ACTIVO"/>
    <s v="PYPG36"/>
    <s v="BAIC"/>
    <s v="X35"/>
    <n v="2021"/>
  </r>
  <r>
    <n v="2550653"/>
    <n v="360"/>
    <n v="12"/>
    <n v="5460482"/>
    <m/>
    <s v="PHOENIX"/>
    <s v="JUDICIAL"/>
    <x v="7"/>
    <s v="331-360"/>
    <x v="1"/>
    <s v="COBRANZA"/>
    <x v="1"/>
    <s v="E"/>
    <n v="20138902"/>
    <s v="K"/>
    <s v="MARÍA JOSÉ RIVERA RÍOS"/>
    <n v="1"/>
    <n v="254.86099999999999"/>
    <d v="2025-10-05T00:00:00"/>
    <n v="22"/>
    <n v="22"/>
    <n v="48"/>
    <s v="Dealer"/>
    <m/>
    <n v="521405"/>
    <n v="0"/>
    <s v="NO"/>
    <d v="2023-09-06T00:00:00"/>
    <n v="3579737"/>
    <s v="1,49"/>
    <m/>
    <m/>
    <m/>
    <s v="NO RECUPERADO"/>
    <n v="978214899"/>
    <m/>
    <n v="56955724233"/>
    <s v="RIVERAMARIAJOSE239@GMAIL.COM"/>
    <m/>
    <m/>
    <s v="DIAGONAL TRAVESIA 8721 depto 204 torre 3"/>
    <s v="PUDAHUEL"/>
    <s v="REGION METROPOLITANA"/>
    <s v="C-683-2025"/>
    <s v="30º Juzgado Civil de Santiago"/>
    <s v="INCAUTADO"/>
    <s v="MANTIENE"/>
    <m/>
    <m/>
    <m/>
    <m/>
    <s v="SI"/>
    <s v="ACTIVO"/>
    <s v="LKXR77"/>
    <s v="GEELY"/>
    <s v="GS X HATCH BACK 1.8 AUT"/>
    <n v="2019"/>
  </r>
  <r>
    <n v="2558898"/>
    <n v="202"/>
    <n v="7"/>
    <n v="23586639"/>
    <m/>
    <s v="PHOENIX"/>
    <s v="JUDICIAL"/>
    <x v="8"/>
    <s v="181-210"/>
    <x v="1"/>
    <s v="COBRANZA"/>
    <x v="1"/>
    <s v="E"/>
    <n v="77176502"/>
    <n v="5"/>
    <s v="TRANSPORTES KUYEN SPA"/>
    <n v="0"/>
    <s v="1.435.906"/>
    <s v="15-10-2025"/>
    <n v="27"/>
    <n v="27"/>
    <n v="48"/>
    <s v="Directo"/>
    <m/>
    <n v="1018640"/>
    <n v="300724"/>
    <s v="NO"/>
    <s v="15-06-2023"/>
    <n v="11370706"/>
    <s v="2,35"/>
    <m/>
    <m/>
    <m/>
    <s v="NO RECUPERADO"/>
    <n v="972894790"/>
    <m/>
    <m/>
    <s v="TRANSPORTESKUYEN@GMAIL.COM"/>
    <m/>
    <m/>
    <s v="LOS LIRIOS"/>
    <s v="ANGOL"/>
    <s v="IX REGION"/>
    <s v="C-15746-2025"/>
    <s v="18º Juzgado Civil de Santiago"/>
    <s v="INGRESADO"/>
    <s v="MANTIENE"/>
    <m/>
    <m/>
    <m/>
    <m/>
    <s v="NO"/>
    <s v="ACTIVO"/>
    <s v="SXCF21"/>
    <s v="SINOTRUK"/>
    <s v="SITRAK G7"/>
    <n v="2023"/>
  </r>
  <r>
    <n v="2567747"/>
    <n v="146"/>
    <n v="5"/>
    <n v="9087248"/>
    <m/>
    <s v="PHOENIX"/>
    <s v="JUDICIAL"/>
    <x v="9"/>
    <s v="121-150"/>
    <x v="1"/>
    <s v="COBRANZA"/>
    <x v="1"/>
    <s v="E"/>
    <n v="23109537"/>
    <n v="3"/>
    <s v="BRAYAN GIAMPIER  BAZAN VIGO"/>
    <n v="1"/>
    <n v="383.30700000000002"/>
    <d v="2025-10-12T00:00:00"/>
    <n v="28"/>
    <n v="28"/>
    <n v="49"/>
    <s v="AMICAR"/>
    <s v="DACIÓN"/>
    <n v="150059"/>
    <n v="0"/>
    <s v="NO"/>
    <s v="15-06-2023"/>
    <n v="2066594"/>
    <s v="2,09"/>
    <m/>
    <m/>
    <m/>
    <s v="NO RECUPERADO"/>
    <n v="946502798"/>
    <m/>
    <m/>
    <s v="brayanvigo06@gmail.com"/>
    <m/>
    <m/>
    <s v="PASAJE SAN MARCOS 0187"/>
    <s v="RANCAGUA"/>
    <s v="VI REGION"/>
    <s v="C-15736-2025"/>
    <s v="4º Juzgado Civil de Santiago"/>
    <s v="EMBARGADO"/>
    <s v="MANTIENE"/>
    <m/>
    <m/>
    <m/>
    <m/>
    <s v="SI"/>
    <s v="ACTIVO"/>
    <s v="SSSK49"/>
    <s v="BAIC"/>
    <s v="X55 1.5T AUT"/>
    <n v="2023"/>
  </r>
  <r>
    <n v="2578418"/>
    <n v="181"/>
    <n v="7"/>
    <n v="3374696"/>
    <m/>
    <s v="PHOENIX"/>
    <s v="JUDICIAL"/>
    <x v="10"/>
    <s v="181-210"/>
    <x v="1"/>
    <s v="COBRANZA"/>
    <x v="1"/>
    <s v="E"/>
    <n v="15815436"/>
    <n v="6"/>
    <s v="MARIA ELENA LEAL REYES"/>
    <n v="1"/>
    <n v="420.387"/>
    <d v="2025-05-11T00:00:00"/>
    <n v="27"/>
    <n v="27"/>
    <n v="36"/>
    <s v="AMICAR"/>
    <s v="DACIÓN"/>
    <n v="243999"/>
    <n v="170715"/>
    <s v="NO"/>
    <s v="20-06-2023"/>
    <n v="3357423"/>
    <s v="2,35"/>
    <m/>
    <m/>
    <m/>
    <s v="NO RECUPERADO"/>
    <n v="957826487"/>
    <m/>
    <m/>
    <s v="buzaelena39@gmail.com"/>
    <m/>
    <m/>
    <s v="QUECHU RURAL SN"/>
    <s v="QUEILEN"/>
    <s v="X REGION"/>
    <s v="C-3847-2026"/>
    <s v="21º JUZGADO CIVIL DE SANTIAGO"/>
    <s v="INGRESADO"/>
    <s v="MANTIENE"/>
    <m/>
    <m/>
    <m/>
    <m/>
    <s v="NO"/>
    <s v="ACTIVO"/>
    <s v="SSKK91"/>
    <s v="JAC"/>
    <s v="T6 CE COMFORT 2.0T DIESEL MT 4X2"/>
    <n v="2023"/>
  </r>
  <r>
    <n v="2582136"/>
    <n v="304"/>
    <n v="3"/>
    <n v="7598197"/>
    <m/>
    <s v="PHOENIX"/>
    <s v="JUDICIAL"/>
    <x v="13"/>
    <s v="301-330"/>
    <x v="1"/>
    <s v="COBRANZA"/>
    <x v="1"/>
    <s v="E"/>
    <n v="12380307"/>
    <n v="8"/>
    <s v="SEGUNDO MAURICIO MELLA FAUNDEZ"/>
    <n v="1"/>
    <n v="348.58600000000001"/>
    <d v="2025-05-07T00:00:00"/>
    <n v="22"/>
    <n v="22"/>
    <n v="25"/>
    <s v="AMICAR"/>
    <s v="DACIÓN"/>
    <n v="1834241"/>
    <n v="378016"/>
    <s v="NO"/>
    <s v="30-06-2023"/>
    <n v="3258015"/>
    <s v="2,59"/>
    <m/>
    <m/>
    <m/>
    <s v="NO RECUPERADO"/>
    <n v="992160302"/>
    <m/>
    <m/>
    <s v="smauricio.mella@gmail.com"/>
    <m/>
    <m/>
    <s v="POUPIN 946"/>
    <s v="ANTOFAGASTA"/>
    <s v="II REGION"/>
    <s v="C-13024-2025"/>
    <s v="7º Juzgado Civil de Santiago"/>
    <s v="INGRESADO"/>
    <s v="MANTIENE"/>
    <m/>
    <m/>
    <m/>
    <m/>
    <s v="NO"/>
    <s v="ACTIVO"/>
    <s v="SSKZ84"/>
    <s v="HAVAL"/>
    <s v="JOLION 1.5"/>
    <n v="2023"/>
  </r>
  <r>
    <n v="2600335"/>
    <n v="212"/>
    <n v="8"/>
    <n v="6858419"/>
    <m/>
    <s v="PHOENIX"/>
    <s v="JUDICIAL"/>
    <x v="8"/>
    <s v="211-240"/>
    <x v="1"/>
    <s v="COBRANZA"/>
    <x v="1"/>
    <s v="E"/>
    <n v="16393695"/>
    <s v="K"/>
    <s v="PAMELA DENISSE MALDONADO REYES"/>
    <n v="1"/>
    <n v="297.65899999999999"/>
    <d v="2025-05-10T00:00:00"/>
    <n v="26"/>
    <n v="26"/>
    <n v="49"/>
    <s v="AMICAR"/>
    <s v="DACIÓN"/>
    <n v="230354"/>
    <n v="0"/>
    <s v="NO"/>
    <d v="2023-08-07T00:00:00"/>
    <n v="2611626"/>
    <s v="2,35"/>
    <m/>
    <m/>
    <m/>
    <s v="NO RECUPERADO"/>
    <n v="948861774"/>
    <m/>
    <m/>
    <s v="denisse.maldonado@dbschenker.com"/>
    <m/>
    <m/>
    <s v="EL CRUZEIRO 760"/>
    <s v="PUDAHUEL"/>
    <s v="REGION METROPOLITANA"/>
    <s v="C-2254-2026"/>
    <s v="1º Juzgado Civil de Santiago"/>
    <s v="EMBARGADO"/>
    <s v="MANTIENE"/>
    <m/>
    <m/>
    <m/>
    <m/>
    <s v="SI"/>
    <s v="ACTIVO"/>
    <s v="SXTR30"/>
    <s v="SUZUKI"/>
    <s v="SWIFT 4X2 1.2"/>
    <n v="2023"/>
  </r>
  <r>
    <n v="2606899"/>
    <n v="277"/>
    <n v="10"/>
    <n v="5726742"/>
    <m/>
    <s v="PHOENIX"/>
    <s v="JUDICIAL"/>
    <x v="13"/>
    <s v="271-300"/>
    <x v="1"/>
    <s v="COBRANZA"/>
    <x v="1"/>
    <s v="E"/>
    <n v="15785204"/>
    <n v="3"/>
    <s v="RUBÉN ANDRÉS SUAZO LIRA"/>
    <n v="1"/>
    <n v="319.42"/>
    <d v="2025-01-08T00:00:00"/>
    <n v="23"/>
    <n v="23"/>
    <n v="48"/>
    <s v="Dealer"/>
    <s v="DACIÓN"/>
    <n v="392522"/>
    <n v="137952"/>
    <s v="NO"/>
    <s v="18-07-2023"/>
    <n v="3724674"/>
    <s v="2,74"/>
    <m/>
    <m/>
    <m/>
    <s v="NO RECUPERADO"/>
    <n v="994700692"/>
    <m/>
    <m/>
    <s v="Yaritzapinochetpinto@hotmail.com"/>
    <m/>
    <m/>
    <s v="CONSTITUCION 24"/>
    <s v="ILLAPEL"/>
    <s v="IV REGION"/>
    <s v="C-17516-2025"/>
    <s v="30º Juzgado Civil de Santiago"/>
    <s v="INGRESADO"/>
    <s v="MANTIENE"/>
    <m/>
    <m/>
    <m/>
    <m/>
    <s v="NO"/>
    <s v="ACTIVO"/>
    <s v="RTCB85"/>
    <s v="TOYOTA"/>
    <s v="RUSH 1.5 MT"/>
    <n v="2022"/>
  </r>
  <r>
    <n v="2615972"/>
    <n v="256"/>
    <n v="1"/>
    <n v="4267690"/>
    <m/>
    <s v="PHOENIX"/>
    <s v="JUDICIAL"/>
    <x v="14"/>
    <s v="241-270"/>
    <x v="1"/>
    <s v="COBRANZA"/>
    <x v="1"/>
    <s v="E"/>
    <n v="8538349"/>
    <n v="3"/>
    <s v="RUDYARD BARTOLOME CLIFT MUÑOZ"/>
    <n v="1"/>
    <n v="219.988"/>
    <s v="22-08-2025"/>
    <n v="24"/>
    <n v="24"/>
    <n v="25"/>
    <s v="AMICAR"/>
    <m/>
    <n v="1125966"/>
    <n v="242867"/>
    <s v="NO"/>
    <s v="22-07-2023"/>
    <n v="5759833"/>
    <s v="2,89"/>
    <m/>
    <m/>
    <m/>
    <s v="NO RECUPERADO"/>
    <n v="965575341"/>
    <m/>
    <m/>
    <m/>
    <m/>
    <m/>
    <s v="VALLE DEL SOL 3342  CONDOMINIO MONTESOL III DPTO. 401"/>
    <s v="ALTO HOSPICIO"/>
    <s v="I REGION"/>
    <s v="C-17468-2025"/>
    <s v="2º Juzgado Civil de Santiago"/>
    <s v="INGRESADO"/>
    <s v="MANTIENE"/>
    <m/>
    <m/>
    <m/>
    <m/>
    <s v="NO"/>
    <s v="ACTIVO"/>
    <s v="SYJP38"/>
    <s v="RENAULT"/>
    <s v="KWID 1.0 HB ZEN2 4X2 MT"/>
    <n v="2023"/>
  </r>
  <r>
    <n v="2623734"/>
    <n v="185"/>
    <n v="7"/>
    <n v="5256992"/>
    <m/>
    <s v="PHOENIX"/>
    <s v="JUDICIAL"/>
    <x v="10"/>
    <s v="181-210"/>
    <x v="1"/>
    <s v="COBRANZA"/>
    <x v="1"/>
    <s v="E"/>
    <n v="25367626"/>
    <n v="4"/>
    <s v="JHOSEPT ALEJANDRO CARRASQUERO MONASTERIO"/>
    <n v="1"/>
    <n v="356.90499999999997"/>
    <d v="2025-01-11T00:00:00"/>
    <n v="26"/>
    <n v="26"/>
    <n v="37"/>
    <s v="Dealer"/>
    <s v="DACIÓN"/>
    <n v="217421"/>
    <n v="0"/>
    <s v="NO"/>
    <s v="27-07-2023"/>
    <n v="2715756"/>
    <s v="2,49"/>
    <m/>
    <m/>
    <m/>
    <s v="NO RECUPERADO"/>
    <n v="971485819"/>
    <m/>
    <m/>
    <s v="jhosept224@gmail.com"/>
    <m/>
    <m/>
    <s v="LOS SAUCES #544"/>
    <s v="LA FLORIDA"/>
    <s v="REGION METROPOLITANA"/>
    <s v="C-15757-2025"/>
    <s v="27º Juzgado Civil de Santiago"/>
    <s v="EMBARGADO"/>
    <s v="MANTIENE"/>
    <m/>
    <m/>
    <m/>
    <m/>
    <s v="SI"/>
    <s v="ACTIVO"/>
    <s v="SYBZ57"/>
    <s v="JETOUR"/>
    <s v="X70 GLS MT"/>
    <n v="2023"/>
  </r>
  <r>
    <n v="2631812"/>
    <n v="151"/>
    <n v="6"/>
    <n v="5323666"/>
    <m/>
    <s v="PHOENIX"/>
    <s v="JUDICIAL"/>
    <x v="9"/>
    <s v="151-180"/>
    <x v="1"/>
    <s v="COBRANZA"/>
    <x v="1"/>
    <s v="E"/>
    <n v="15033312"/>
    <n v="1"/>
    <s v="CAROLINA ANDREA ROJAS QUINZACARA"/>
    <n v="1"/>
    <n v="295.464"/>
    <d v="2025-05-12T00:00:00"/>
    <n v="27"/>
    <n v="27"/>
    <n v="37"/>
    <s v="AMICAR"/>
    <s v="DACIÓN"/>
    <n v="123322"/>
    <n v="9568"/>
    <s v="NO"/>
    <s v="27-07-2023"/>
    <n v="1905674"/>
    <s v="2,59"/>
    <m/>
    <m/>
    <m/>
    <s v="NO RECUPERADO"/>
    <n v="997897018"/>
    <m/>
    <m/>
    <s v="carolina.rojasquinzacara@easy.cl"/>
    <m/>
    <m/>
    <s v="LA CONQUISTA 1511"/>
    <s v="LA SERENA"/>
    <s v="IV REGION"/>
    <s v="C-5120-2026"/>
    <s v="21º JUZGADO CIVIL DE SANTIAGO"/>
    <s v="INGRESADO"/>
    <s v="MANTIENE"/>
    <m/>
    <m/>
    <m/>
    <m/>
    <s v="NO"/>
    <s v="ACTIVO"/>
    <s v="SLZG54"/>
    <s v="SUZUKI"/>
    <s v="SWIFT 1.2 GL"/>
    <n v="2023"/>
  </r>
  <r>
    <n v="2655575"/>
    <n v="329"/>
    <n v="11"/>
    <n v="5866185"/>
    <m/>
    <s v="PHOENIX"/>
    <s v="JUDICIAL"/>
    <x v="11"/>
    <s v="301-330"/>
    <x v="1"/>
    <s v="COBRANZA"/>
    <x v="1"/>
    <s v="E"/>
    <n v="16186899"/>
    <s v="K"/>
    <s v="JENNIFFER SOLEDAD VASQUEZ ARIAS"/>
    <n v="1"/>
    <n v="248.43799999999999"/>
    <d v="2025-10-06T00:00:00"/>
    <n v="20"/>
    <n v="20"/>
    <n v="50"/>
    <s v="RENEGOCIADO"/>
    <s v="DACIÓN"/>
    <n v="443144"/>
    <n v="112611"/>
    <s v="NO"/>
    <s v="14-08-2023"/>
    <n v="3288573"/>
    <s v="1,62"/>
    <m/>
    <m/>
    <m/>
    <s v="NO RECUPERADO"/>
    <n v="995033638"/>
    <m/>
    <m/>
    <s v="JENNYVASQUEZARI@GMAIL.COM"/>
    <m/>
    <m/>
    <s v="MANUEL BAQUEDANO"/>
    <s v="FREIRE"/>
    <s v="IX REGION"/>
    <s v="17º Juzgado Civil de Santiago"/>
    <s v="C-15707-2024"/>
    <s v="INGRESADO"/>
    <s v="MANTIENE"/>
    <m/>
    <m/>
    <m/>
    <m/>
    <s v="NO"/>
    <s v="ACTIVO"/>
    <s v="RSLK78"/>
    <s v="SUZUKI"/>
    <s v="D ZIRE"/>
    <n v="2022"/>
  </r>
  <r>
    <n v="2664103"/>
    <n v="79"/>
    <n v="3"/>
    <n v="10688854"/>
    <m/>
    <s v="PHOENIX"/>
    <s v="JUDICIAL"/>
    <x v="12"/>
    <s v="61-90"/>
    <x v="1"/>
    <s v="COBRANZA"/>
    <x v="1"/>
    <s v="D"/>
    <n v="12610679"/>
    <n v="3"/>
    <s v="GUILLERMO ANTONIO TERRAZAS ROJAS"/>
    <n v="1"/>
    <n v="343.60399999999998"/>
    <s v="15-02-2026"/>
    <n v="28"/>
    <n v="28"/>
    <n v="72"/>
    <s v="RENEGOCIADO"/>
    <m/>
    <n v="47138"/>
    <n v="87951"/>
    <s v="NO"/>
    <s v="21-08-2023"/>
    <n v="1165901"/>
    <s v="1,65"/>
    <m/>
    <m/>
    <m/>
    <s v="NO RECUPERADO"/>
    <n v="942947960"/>
    <m/>
    <m/>
    <s v="TOOCHULETA@HOTMAIL.COM"/>
    <m/>
    <m/>
    <s v="CALLE COPIAPO"/>
    <m/>
    <s v="XV REGION"/>
    <s v="C-10956-2025"/>
    <s v="3º Juzgado Civil de Santiago"/>
    <s v="INGRESADO"/>
    <s v="REACTIVA"/>
    <m/>
    <m/>
    <m/>
    <m/>
    <s v="NO"/>
    <s v="ACTIVO"/>
    <s v="SBWJ35"/>
    <s v="CHEVROLET"/>
    <s v="SPIN 1.8"/>
    <n v="2022"/>
  </r>
  <r>
    <n v="2671637"/>
    <n v="84"/>
    <n v="3"/>
    <n v="5817589"/>
    <m/>
    <s v="PHOENIX"/>
    <s v="JUDICIAL"/>
    <x v="12"/>
    <s v="61-90"/>
    <x v="1"/>
    <s v="COBRANZA"/>
    <x v="1"/>
    <s v="E"/>
    <n v="13865701"/>
    <n v="9"/>
    <s v="CARLOS ALBERTO MANRIQUEZ GARCIA"/>
    <n v="1"/>
    <n v="376.36"/>
    <d v="2026-10-02T00:00:00"/>
    <n v="28"/>
    <n v="28"/>
    <n v="48"/>
    <s v="AMICAR"/>
    <s v="DACIÓN"/>
    <n v="56693"/>
    <n v="77663"/>
    <s v="NO"/>
    <s v="22-08-2023"/>
    <n v="1263436"/>
    <s v="2,59"/>
    <m/>
    <m/>
    <m/>
    <s v="NO RECUPERADO"/>
    <n v="56999125109"/>
    <m/>
    <m/>
    <s v="carlos_manriquezf4@hotmail.com"/>
    <m/>
    <m/>
    <s v="OSCAR BONILA 26 DEPTO 1603"/>
    <s v="IQUIQUE"/>
    <s v="I REGION"/>
    <s v="C-3850-2026"/>
    <s v="12º Juzgado Civil de Santiago"/>
    <s v="INGRESADO"/>
    <s v="MANTIENE"/>
    <m/>
    <m/>
    <m/>
    <m/>
    <s v="NO"/>
    <s v="ACTIVO"/>
    <s v="SZKY81"/>
    <s v="SUZUKI"/>
    <s v="NEW BALENO 1.5 AT GLS"/>
    <n v="2024"/>
  </r>
  <r>
    <n v="2671652"/>
    <n v="61"/>
    <n v="3"/>
    <n v="9632925"/>
    <m/>
    <s v="PHOENIX"/>
    <s v="JUDICIAL"/>
    <x v="4"/>
    <s v="61-90"/>
    <x v="1"/>
    <s v="COBRANZA"/>
    <x v="1"/>
    <s v="E"/>
    <n v="13268500"/>
    <n v="2"/>
    <s v="nadia marjorie becerra roman"/>
    <n v="1"/>
    <n v="457.06400000000002"/>
    <d v="2026-05-03T00:00:00"/>
    <n v="29"/>
    <n v="29"/>
    <n v="37"/>
    <s v="AMICAR"/>
    <s v="DACIÓN"/>
    <n v="38522"/>
    <n v="0"/>
    <s v="NO"/>
    <s v="18-08-2023"/>
    <n v="1409714"/>
    <s v="2,39"/>
    <m/>
    <m/>
    <s v="PREMIUM"/>
    <s v="NO RECUPERADO"/>
    <n v="56945449451"/>
    <m/>
    <m/>
    <s v="nadbecerra@gmail.com"/>
    <m/>
    <m/>
    <s v="AV ARTURO PRAT 1670 DEPTO 251"/>
    <s v="IQUIQUE"/>
    <s v="I REGION"/>
    <s v="C-683-2025"/>
    <s v="5º Juzgado Civil de Santiago"/>
    <s v="EMBARGADO"/>
    <s v="MANTIENE"/>
    <m/>
    <m/>
    <m/>
    <m/>
    <s v="SI"/>
    <s v="ACTIVO"/>
    <s v="SZRJ58"/>
    <s v="HYUNDAI"/>
    <s v="CRETA GRAND MPI 2.0 AUT"/>
    <n v="2023"/>
  </r>
  <r>
    <n v="2678162"/>
    <n v="181"/>
    <n v="7"/>
    <n v="9165757"/>
    <m/>
    <s v="PHOENIX"/>
    <s v="JUDICIAL"/>
    <x v="10"/>
    <s v="181-210"/>
    <x v="1"/>
    <s v="COBRANZA"/>
    <x v="1"/>
    <s v="E"/>
    <n v="12477107"/>
    <n v="2"/>
    <s v="JOSÉ FRANCISCO RODRÍGUEZ GONZÁLEZ"/>
    <n v="1"/>
    <n v="539.59400000000005"/>
    <d v="2025-05-11T00:00:00"/>
    <n v="25"/>
    <n v="25"/>
    <n v="48"/>
    <s v="Dealer"/>
    <s v="DACIÓN"/>
    <n v="309168"/>
    <n v="172730"/>
    <s v="NO"/>
    <s v="29-08-2023"/>
    <n v="4259056"/>
    <s v="2,69"/>
    <m/>
    <m/>
    <m/>
    <s v="NO RECUPERADO"/>
    <n v="979680526"/>
    <m/>
    <m/>
    <s v="JOSERODRIGUEZGONZALEZ.CL@GMAIL.COM"/>
    <m/>
    <m/>
    <s v="CHACA 4170 - Ñuñoa"/>
    <s v="SANTIAGO"/>
    <s v="REGION METROPOLITANA"/>
    <s v="C-3861-2026"/>
    <s v="30º Juzgado Civil de Santiago"/>
    <s v="INGRESADO"/>
    <s v="MANTIENE"/>
    <m/>
    <m/>
    <m/>
    <m/>
    <s v="NO"/>
    <s v="ACTIVO"/>
    <s v="SZVP39"/>
    <s v="CHEVROLET"/>
    <s v="ONIX"/>
    <n v="2023"/>
  </r>
  <r>
    <n v="2678831"/>
    <n v="84"/>
    <n v="3"/>
    <n v="3303917"/>
    <m/>
    <s v="PHOENIX"/>
    <s v="JUDICIAL"/>
    <x v="12"/>
    <s v="61-90"/>
    <x v="1"/>
    <s v="COBRANZA"/>
    <x v="1"/>
    <s v="E"/>
    <n v="26423358"/>
    <n v="5"/>
    <s v="CARLOS EDUARDO  GUERRA YAÑEZ"/>
    <n v="1"/>
    <n v="203.815"/>
    <d v="2026-10-02T00:00:00"/>
    <n v="28"/>
    <n v="28"/>
    <n v="48"/>
    <s v="AMICAR"/>
    <s v="DACIÓN"/>
    <n v="33783"/>
    <n v="0"/>
    <s v="NO"/>
    <s v="28-08-2023"/>
    <n v="645228"/>
    <s v="2,09"/>
    <m/>
    <m/>
    <m/>
    <s v="NO RECUPERADO"/>
    <n v="941502259"/>
    <m/>
    <m/>
    <s v="guerrayanezcarlos@gmail.com"/>
    <m/>
    <m/>
    <s v="SAN ISIDRO 250 DEPTO 2217"/>
    <s v="SANTIAGO"/>
    <s v="REGION METROPOLITANA"/>
    <s v="C-9873-2025"/>
    <s v="26º Juzgado Civil de Santiago"/>
    <s v="EMBARGADO"/>
    <s v="MANTIENE"/>
    <m/>
    <m/>
    <m/>
    <m/>
    <s v="SI"/>
    <s v="ACTIVO"/>
    <s v="SWKW26"/>
    <s v="RENAULT"/>
    <s v="KWID 1.0 HB ZEN2 4X2 MT"/>
    <n v="2023"/>
  </r>
  <r>
    <n v="2683379"/>
    <n v="183"/>
    <n v="7"/>
    <n v="4453523"/>
    <m/>
    <s v="PHOENIX"/>
    <s v="JUDICIAL"/>
    <x v="10"/>
    <s v="181-210"/>
    <x v="1"/>
    <s v="COBRANZA"/>
    <x v="1"/>
    <s v="E"/>
    <n v="8956772"/>
    <n v="6"/>
    <s v="JUAN CARLOS OSORIO PINTO"/>
    <n v="1"/>
    <n v="253.40700000000001"/>
    <d v="2025-03-11T00:00:00"/>
    <n v="25"/>
    <n v="25"/>
    <n v="48"/>
    <s v="Directo"/>
    <s v="DACIÓN"/>
    <n v="163265"/>
    <n v="0"/>
    <s v="NO"/>
    <d v="2023-02-09T00:00:00"/>
    <n v="1937114"/>
    <s v="2,37"/>
    <m/>
    <m/>
    <m/>
    <s v="NO RECUPERADO"/>
    <n v="998860669"/>
    <m/>
    <m/>
    <s v="jcosoriop63@gmail.com"/>
    <m/>
    <m/>
    <s v="LAS ROSAS4270DPTO C 102"/>
    <s v="MAIPU"/>
    <s v="REGION METROPOLITANA"/>
    <s v="C-17461-2025"/>
    <s v="4º Juzgado Civil de Santiago"/>
    <s v="EMBARGADO"/>
    <s v="MANTIENE"/>
    <m/>
    <m/>
    <m/>
    <m/>
    <s v="SI"/>
    <s v="ACTIVO"/>
    <s v="RKKR32"/>
    <s v="BAIC"/>
    <s v="X55"/>
    <n v="2022"/>
  </r>
  <r>
    <n v="2686136"/>
    <n v="39"/>
    <n v="2"/>
    <n v="2593030"/>
    <m/>
    <s v="PHOENIX"/>
    <s v="JUDICIAL"/>
    <x v="4"/>
    <s v="31-60"/>
    <x v="1"/>
    <s v="COBRANZA"/>
    <x v="1"/>
    <s v="D"/>
    <n v="19370562"/>
    <n v="6"/>
    <s v="ANIBAL RICARDO MELLADO CARRILEO"/>
    <n v="1"/>
    <n v="175.12700000000001"/>
    <s v="27-03-2026"/>
    <n v="29"/>
    <n v="29"/>
    <n v="46"/>
    <s v="RENEGOCIADO"/>
    <m/>
    <n v="8466"/>
    <n v="0"/>
    <s v="NO"/>
    <d v="2023-01-09T00:00:00"/>
    <n v="358720"/>
    <s v="1,58"/>
    <m/>
    <m/>
    <s v="NO PREMIUM"/>
    <s v="NO RECUPERADO"/>
    <n v="979902399"/>
    <m/>
    <m/>
    <s v="ANIBALMELLADO214@GMAIL.COM"/>
    <m/>
    <m/>
    <s v="LOS OMAHUACAS"/>
    <m/>
    <m/>
    <s v="C-19072-2024"/>
    <s v="21º JUZGADO CIVIL DE SANTIAGO"/>
    <s v="EMBARGADO"/>
    <s v="REACTIVA"/>
    <m/>
    <m/>
    <m/>
    <m/>
    <s v="SI"/>
    <s v="ACTIVO"/>
    <m/>
    <s v="SUZUKI"/>
    <s v="BALENO"/>
    <n v="2021"/>
  </r>
  <r>
    <n v="2695017"/>
    <n v="155"/>
    <n v="6"/>
    <n v="3867473"/>
    <m/>
    <s v="PHOENIX"/>
    <s v="JUDICIAL"/>
    <x v="9"/>
    <s v="151-180"/>
    <x v="1"/>
    <s v="COBRANZA"/>
    <x v="1"/>
    <s v="E"/>
    <n v="13686726"/>
    <n v="1"/>
    <s v="GONZALO JOAQUIN JEREZ PALMA"/>
    <n v="1"/>
    <n v="410.84199999999998"/>
    <d v="2025-01-12T00:00:00"/>
    <n v="25"/>
    <n v="25"/>
    <n v="36"/>
    <s v="Dealer"/>
    <m/>
    <n v="177191"/>
    <n v="141256"/>
    <s v="NO"/>
    <d v="2023-11-09T00:00:00"/>
    <n v="2783499"/>
    <s v="2,69"/>
    <m/>
    <m/>
    <m/>
    <s v="NO RECUPERADO"/>
    <n v="954852977"/>
    <m/>
    <m/>
    <s v="gjerezpa@gmail.com"/>
    <m/>
    <m/>
    <s v="San Martín 733            Dpto 1003"/>
    <s v="SANTIAGO"/>
    <s v="REGION METROPOLITANA"/>
    <s v="C-5133-2026"/>
    <s v="15º Juzgado Civil de Santiago"/>
    <s v="INGRESADO"/>
    <s v="MANTIENE"/>
    <m/>
    <m/>
    <m/>
    <m/>
    <s v="NO"/>
    <s v="ACTIVO"/>
    <s v="XVV060"/>
    <s v="YAMAHA"/>
    <s v="YZF-R7"/>
    <n v="2024"/>
  </r>
  <r>
    <n v="2709871"/>
    <n v="51"/>
    <n v="2"/>
    <n v="2080237"/>
    <m/>
    <s v="PHOENIX"/>
    <s v="JUDICIAL"/>
    <x v="4"/>
    <s v="31-60"/>
    <x v="1"/>
    <s v="COBRANZA"/>
    <x v="1"/>
    <s v="E"/>
    <n v="7169657"/>
    <s v="K"/>
    <s v="MARÍA CECILIA  DÍAZ  MALDONADO"/>
    <n v="1"/>
    <n v="290.125"/>
    <s v="15-03-2026"/>
    <n v="28"/>
    <n v="28"/>
    <n v="36"/>
    <s v="CREDINISSAN"/>
    <m/>
    <n v="20354"/>
    <n v="0"/>
    <s v="NO"/>
    <s v="25-09-2023"/>
    <n v="600604"/>
    <s v="2,5"/>
    <m/>
    <m/>
    <s v="NO PREMIUM"/>
    <s v="NO RECUPERADO"/>
    <n v="998920085"/>
    <m/>
    <n v="56983001661"/>
    <s v="DIAZYMORENO@VTR.NET"/>
    <m/>
    <m/>
    <s v="EL BOLLENAR ORIENTE 1 PARCELA 20"/>
    <s v="MELIPILLA"/>
    <s v="REGION METROPOLITANA"/>
    <s v="C-17469-2025"/>
    <s v="26º Juzgado Civil de Santiago"/>
    <s v="EMBARGADO"/>
    <s v="MANTIENE"/>
    <m/>
    <m/>
    <m/>
    <m/>
    <s v="SI"/>
    <s v="ACTIVO"/>
    <m/>
    <s v="NISSAN"/>
    <s v="X-TRAIL SENSE CVT"/>
    <n v="2024"/>
  </r>
  <r>
    <n v="2710716"/>
    <n v="84"/>
    <n v="3"/>
    <n v="4977073"/>
    <m/>
    <s v="PHOENIX"/>
    <s v="JUDICIAL"/>
    <x v="12"/>
    <s v="61-90"/>
    <x v="1"/>
    <s v="COBRANZA"/>
    <x v="1"/>
    <s v="E"/>
    <n v="17393894"/>
    <n v="2"/>
    <s v="JACQUELINE ANDREA MUÑOZ PALMA"/>
    <n v="1"/>
    <n v="223.416"/>
    <d v="2026-10-02T00:00:00"/>
    <n v="27"/>
    <n v="27"/>
    <n v="37"/>
    <s v="AMICAR"/>
    <s v="DACIÓN"/>
    <n v="36072"/>
    <n v="9568"/>
    <s v="NO"/>
    <s v="22-09-2023"/>
    <n v="715888"/>
    <s v="2,39"/>
    <m/>
    <m/>
    <m/>
    <s v="NO RECUPERADO"/>
    <n v="56954924935"/>
    <m/>
    <n v="56991949113"/>
    <s v="jacquelinempalma@gmail.com"/>
    <m/>
    <m/>
    <s v="CALLE DEL MAR 1287- LOTEO PLAZA DEL MAR"/>
    <s v="CONCEPCION"/>
    <s v="VIII REGION"/>
    <s v="C-11122-2025"/>
    <s v="24º Juzgado Civil de Santiago"/>
    <s v="INGRESADO"/>
    <s v="MANTIENE"/>
    <m/>
    <m/>
    <m/>
    <m/>
    <s v="NO"/>
    <s v="ACTIVO"/>
    <s v="TBWB45"/>
    <s v="SUZUKI"/>
    <s v="SWIFT 4X2 1.2"/>
    <n v="2024"/>
  </r>
  <r>
    <n v="2724801"/>
    <n v="277"/>
    <n v="10"/>
    <n v="6101251"/>
    <m/>
    <s v="PHOENIX"/>
    <s v="JUDICIAL"/>
    <x v="13"/>
    <s v="271-300"/>
    <x v="1"/>
    <s v="COBRANZA"/>
    <x v="1"/>
    <s v="E"/>
    <n v="13749912"/>
    <n v="6"/>
    <s v="JUAN ROBERTO VALERO VALERO"/>
    <n v="1"/>
    <n v="169.80199999999999"/>
    <d v="2025-01-08T00:00:00"/>
    <n v="20"/>
    <n v="20"/>
    <n v="68"/>
    <s v="Dealer"/>
    <m/>
    <n v="205353"/>
    <n v="96662"/>
    <s v="NO"/>
    <d v="2023-05-10T00:00:00"/>
    <n v="2000035"/>
    <s v="1,25"/>
    <m/>
    <m/>
    <m/>
    <s v="NO RECUPERADO"/>
    <n v="947629904"/>
    <m/>
    <m/>
    <s v="JVALEROV@GMAIL.COM"/>
    <m/>
    <m/>
    <s v="MANUEL RODRIGUEZ"/>
    <s v="CALAMA"/>
    <s v="II REGION"/>
    <s v="C-838-2026"/>
    <s v="7º Juzgado Civil de Santiago"/>
    <s v="INGRESADO"/>
    <s v="MANTIENE"/>
    <m/>
    <m/>
    <m/>
    <m/>
    <s v="NO"/>
    <s v="ACTIVO"/>
    <m/>
    <s v="MAHINDRA"/>
    <s v="XUV500 CRDE AWD 2.2"/>
    <n v="2018"/>
  </r>
  <r>
    <n v="2741702"/>
    <n v="60"/>
    <n v="2"/>
    <n v="5876203"/>
    <m/>
    <s v="PHOENIX"/>
    <s v="JUDICIAL"/>
    <x v="4"/>
    <s v="31-60"/>
    <x v="1"/>
    <s v="COBRANZA"/>
    <x v="1"/>
    <s v="E"/>
    <n v="15292546"/>
    <n v="8"/>
    <s v="LUIS ANDRÉS BÓRQUEZ MUÑOZ"/>
    <n v="1"/>
    <n v="232.35400000000001"/>
    <d v="2026-06-03T00:00:00"/>
    <n v="27"/>
    <n v="27"/>
    <n v="60"/>
    <s v="Dealer"/>
    <s v="DACIÓN"/>
    <n v="18465"/>
    <n v="9568"/>
    <s v="NO"/>
    <s v="18-10-2023"/>
    <n v="492741"/>
    <s v="1,65"/>
    <m/>
    <m/>
    <s v="NO PREMIUM"/>
    <s v="NO RECUPERADO"/>
    <n v="976647009"/>
    <m/>
    <m/>
    <s v="BORQUEZM.LUIS@GMAIL.COM"/>
    <m/>
    <m/>
    <s v="DONALD CANTER PASAJE 17"/>
    <m/>
    <s v="XIV REGION"/>
    <s v="C-836-2026"/>
    <s v="8º Juzgado Civil de Santiago"/>
    <s v="INGRESADO"/>
    <s v="MANTIENE"/>
    <m/>
    <m/>
    <m/>
    <m/>
    <s v="NO"/>
    <s v="ACTIVO"/>
    <s v="LGHB41"/>
    <s v="MAZDA"/>
    <s v="NEW 3 1.6"/>
    <n v="2019"/>
  </r>
  <r>
    <n v="2742999"/>
    <n v="268"/>
    <n v="9"/>
    <n v="4871567"/>
    <m/>
    <s v="PHOENIX"/>
    <s v="JUDICIAL"/>
    <x v="14"/>
    <s v="241-270"/>
    <x v="1"/>
    <s v="COBRANZA"/>
    <x v="1"/>
    <s v="E"/>
    <n v="13332484"/>
    <n v="4"/>
    <s v="DANILO FROILAN SANCHEZ OROSTICA"/>
    <n v="1"/>
    <n v="188.35900000000001"/>
    <d v="2025-10-08T00:00:00"/>
    <n v="20"/>
    <n v="20"/>
    <n v="54"/>
    <s v="Dealer"/>
    <m/>
    <n v="241993"/>
    <n v="0"/>
    <s v="NO"/>
    <s v="19-10-2023"/>
    <n v="1937224"/>
    <s v="1,65"/>
    <m/>
    <m/>
    <m/>
    <s v="NO RECUPERADO"/>
    <n v="442930571"/>
    <m/>
    <n v="56944018858"/>
    <s v="CMOLINAFLORES1981@GMAIL.COM"/>
    <m/>
    <m/>
    <s v="PASAJE COIHUE"/>
    <s v="CHIGUAYANTE"/>
    <s v="VIII REGION"/>
    <s v="C-17488-2025"/>
    <s v="27º Juzgado Civil de Santiago"/>
    <s v="NOTIFICADO"/>
    <s v="MANTIENE"/>
    <m/>
    <m/>
    <m/>
    <m/>
    <s v="SI"/>
    <s v="ACTIVO"/>
    <m/>
    <s v="HYUNDAI"/>
    <s v="CRETA GS 1.6"/>
    <n v="2020"/>
  </r>
  <r>
    <n v="2748236"/>
    <n v="54"/>
    <n v="2"/>
    <n v="4262903"/>
    <m/>
    <s v="PHOENIX"/>
    <s v="JUDICIAL"/>
    <x v="4"/>
    <s v="31-60"/>
    <x v="1"/>
    <s v="COBRANZA"/>
    <x v="1"/>
    <s v="E"/>
    <n v="7550176"/>
    <n v="5"/>
    <s v="FEDERICO HUMBERTO CANAVES CANAVES"/>
    <n v="1"/>
    <n v="141.499"/>
    <d v="2026-12-03T00:00:00"/>
    <n v="27"/>
    <n v="27"/>
    <n v="69"/>
    <s v="Dealer"/>
    <m/>
    <n v="10854"/>
    <n v="30309"/>
    <s v="NO"/>
    <s v="23-10-2023"/>
    <n v="324161"/>
    <s v="1,65"/>
    <m/>
    <m/>
    <s v="NO PREMIUM"/>
    <s v="NO RECUPERADO"/>
    <n v="951100668"/>
    <m/>
    <m/>
    <s v="FCO.CANAVES1955@GMAIL.COM"/>
    <m/>
    <m/>
    <s v="PASAJE CANELO PLACILLA"/>
    <m/>
    <m/>
    <s v="C-8328-2025"/>
    <s v="12º Juzgado Civil de Santiago"/>
    <s v="INGRESADO"/>
    <s v="MANTIENE"/>
    <m/>
    <m/>
    <m/>
    <m/>
    <s v="NO"/>
    <s v="ACTIVO"/>
    <m/>
    <s v="CHANGAN"/>
    <s v="ALSVIN LUXURY"/>
    <n v="2022"/>
  </r>
  <r>
    <n v="2762947"/>
    <n v="61"/>
    <n v="2"/>
    <n v="3364798"/>
    <m/>
    <s v="PHOENIX"/>
    <s v="JUDICIAL"/>
    <x v="4"/>
    <s v="61-90"/>
    <x v="1"/>
    <s v="COBRANZA"/>
    <x v="1"/>
    <s v="E"/>
    <n v="13936544"/>
    <n v="5"/>
    <s v="LORENA DE LAS MERCEDES MOYA NORAMBUENA"/>
    <n v="1"/>
    <n v="282.19400000000002"/>
    <d v="2026-05-03T00:00:00"/>
    <n v="27"/>
    <n v="27"/>
    <n v="29"/>
    <s v="RENEGOCIADO"/>
    <m/>
    <n v="101516"/>
    <n v="9568"/>
    <s v="NO"/>
    <d v="2023-03-11T00:00:00"/>
    <n v="675472"/>
    <s v="1,58"/>
    <m/>
    <m/>
    <s v="NO PREMIUM"/>
    <s v="NO RECUPERADO"/>
    <n v="994426210"/>
    <m/>
    <m/>
    <s v="LOREMOYA@FALABELLA.CL"/>
    <m/>
    <m/>
    <s v="AV PROVIDENCIA"/>
    <s v="LO ESPEJO"/>
    <s v="REGION METROPOLITANA"/>
    <s v="C-20449-2024"/>
    <s v="21º JUZGADO CIVIL DE SANTIAGO"/>
    <s v="INGRESADO"/>
    <s v="MANTIENE"/>
    <m/>
    <m/>
    <m/>
    <m/>
    <s v="NO"/>
    <s v="ACTIVO"/>
    <s v="LSRV10"/>
    <s v="KIA"/>
    <s v="SPORTAGE"/>
    <n v="2020"/>
  </r>
  <r>
    <n v="2764809"/>
    <n v="74"/>
    <n v="3"/>
    <n v="3679683"/>
    <m/>
    <s v="PHOENIX"/>
    <s v="JUDICIAL"/>
    <x v="12"/>
    <s v="61-90"/>
    <x v="1"/>
    <s v="COBRANZA"/>
    <x v="1"/>
    <s v="E"/>
    <n v="77480172"/>
    <n v="3"/>
    <s v="FOOD SERVICE MONTENEGRO SPA"/>
    <n v="0"/>
    <n v="420.21899999999999"/>
    <s v="20-02-2026"/>
    <n v="26"/>
    <n v="26"/>
    <n v="36"/>
    <s v="Dealer"/>
    <s v="DACIÓN"/>
    <n v="50643"/>
    <n v="0"/>
    <s v="NO"/>
    <d v="2023-07-11T00:00:00"/>
    <n v="1311300"/>
    <s v="2,49"/>
    <m/>
    <m/>
    <m/>
    <s v="NO RECUPERADO"/>
    <n v="961928506"/>
    <m/>
    <m/>
    <s v="martinagutierrez30000@gmail.com"/>
    <m/>
    <m/>
    <s v="PEDRO AGUIRRE CERDA 781 SAN PEDRO"/>
    <s v="SAN PEDRO DE LA PAZ"/>
    <s v="VIII REGION"/>
    <s v="C-14425-2025"/>
    <s v="15º Juzgado Civil de Santiago"/>
    <s v="NOTIFICADO"/>
    <s v="MANTIENE"/>
    <m/>
    <m/>
    <m/>
    <m/>
    <s v="SI"/>
    <s v="ACTIVO"/>
    <s v="TCXW74"/>
    <s v="KYC"/>
    <s v="GRAN MAMUT CARGO BOX"/>
    <n v="2024"/>
  </r>
  <r>
    <n v="2766055"/>
    <n v="209"/>
    <n v="7"/>
    <n v="6404128"/>
    <m/>
    <s v="PHOENIX"/>
    <s v="JUDICIAL"/>
    <x v="8"/>
    <s v="181-210"/>
    <x v="1"/>
    <s v="COBRANZA"/>
    <x v="1"/>
    <s v="E"/>
    <n v="7692357"/>
    <n v="4"/>
    <s v="INÉS DEL CARMEN COÑOMÁN LIZAMA"/>
    <n v="1"/>
    <n v="337.53800000000001"/>
    <d v="2025-08-10T00:00:00"/>
    <n v="22"/>
    <n v="22"/>
    <n v="48"/>
    <s v="Dealer"/>
    <s v="DACIÓN"/>
    <n v="244667"/>
    <n v="0"/>
    <s v="NO"/>
    <d v="2023-07-11T00:00:00"/>
    <n v="2607433"/>
    <s v="2,49"/>
    <m/>
    <m/>
    <m/>
    <s v="NO RECUPERADO"/>
    <n v="951711706"/>
    <m/>
    <m/>
    <s v="angelgustavo1506@gmail.com"/>
    <m/>
    <m/>
    <s v="Donatello 7073"/>
    <s v="LA FLORIDA"/>
    <s v="REGION METROPOLITANA"/>
    <s v="C-4785-2025"/>
    <s v="13º Juzgado Civil de Santiago"/>
    <s v="EMBARGADO"/>
    <s v="MANTIENE"/>
    <m/>
    <m/>
    <m/>
    <m/>
    <s v="SI"/>
    <s v="ACTIVO"/>
    <s v="SYTF62"/>
    <s v="JETOUR"/>
    <s v="X70 1.5 GL MT"/>
    <n v="2024"/>
  </r>
  <r>
    <n v="2768158"/>
    <n v="58"/>
    <n v="2"/>
    <n v="8494120"/>
    <m/>
    <s v="PHOENIX"/>
    <s v="JUDICIAL"/>
    <x v="4"/>
    <s v="31-60"/>
    <x v="1"/>
    <s v="COBRANZA"/>
    <x v="1"/>
    <s v="D"/>
    <n v="7407663"/>
    <n v="7"/>
    <s v="HECTOR ENRIQUE MALDONADO SALAS"/>
    <n v="1"/>
    <n v="311.68099999999998"/>
    <d v="2026-08-03T00:00:00"/>
    <n v="27"/>
    <n v="27"/>
    <n v="49"/>
    <s v="AMICAR"/>
    <m/>
    <n v="23680"/>
    <n v="0"/>
    <s v="NO"/>
    <d v="2023-07-11T00:00:00"/>
    <n v="647042"/>
    <s v="1,59"/>
    <m/>
    <m/>
    <s v="NO PREMIUM"/>
    <s v="NO RECUPERADO"/>
    <n v="56976674435"/>
    <m/>
    <m/>
    <s v="conik.maldonado14@gmail.com"/>
    <m/>
    <m/>
    <s v="AVDA. LOS LIMONARES, PSJE. 5 CASA 145"/>
    <s v="VIÑA DEL MAR"/>
    <s v="V REGION"/>
    <s v="C-9879-2025"/>
    <s v="21º JUZGADO CIVIL DE SANTIAGO"/>
    <s v="NOTIFICADO"/>
    <s v="MANTIENE"/>
    <m/>
    <m/>
    <m/>
    <m/>
    <s v="SI"/>
    <s v="ACTIVO"/>
    <s v="SYRK85"/>
    <s v="SUZUKI"/>
    <s v="NEW FRONX GL HB 1.5"/>
    <n v="2024"/>
  </r>
  <r>
    <n v="2783446"/>
    <n v="61"/>
    <n v="3"/>
    <n v="7724996"/>
    <m/>
    <s v="PHOENIX"/>
    <s v="JUDICIAL"/>
    <x v="4"/>
    <s v="61-90"/>
    <x v="1"/>
    <s v="COBRANZA"/>
    <x v="1"/>
    <s v="E"/>
    <n v="77097597"/>
    <n v="2"/>
    <s v="DON RAMIRO SPA"/>
    <n v="0"/>
    <n v="460.29700000000003"/>
    <d v="2026-05-03T00:00:00"/>
    <n v="26"/>
    <n v="26"/>
    <n v="48"/>
    <s v="Dealer"/>
    <s v="DACIÓN"/>
    <n v="37725"/>
    <n v="80082"/>
    <s v="NO"/>
    <s v="20-11-2023"/>
    <n v="1498698"/>
    <s v="2,49"/>
    <m/>
    <m/>
    <s v="PREMIUM"/>
    <s v="NO RECUPERADO"/>
    <n v="999123782"/>
    <m/>
    <m/>
    <s v="rami.gascorivera.78@gmail.com"/>
    <m/>
    <m/>
    <s v="Pasaje Francisco Encina, 9225"/>
    <s v="LO ESPEJO"/>
    <s v="REGION METROPOLITANA"/>
    <s v="C-3912-2025"/>
    <s v="29º Juzgado Civil de Santiago"/>
    <s v="INGRESADO"/>
    <s v="MANTIENE"/>
    <m/>
    <m/>
    <m/>
    <m/>
    <s v="NO"/>
    <s v="ACTIVO"/>
    <s v="SZDL26"/>
    <s v="JETOUR"/>
    <s v="X70 PLUS 1.6 DCT"/>
    <n v="2024"/>
  </r>
  <r>
    <n v="2791811"/>
    <n v="151"/>
    <n v="6"/>
    <n v="7476330"/>
    <m/>
    <s v="PHOENIX"/>
    <s v="JUDICIAL"/>
    <x v="9"/>
    <s v="151-180"/>
    <x v="1"/>
    <s v="COBRANZA"/>
    <x v="1"/>
    <s v="E"/>
    <n v="9922401"/>
    <n v="0"/>
    <s v="NELSON EDUARDO  CASTRO  MORENO"/>
    <n v="1"/>
    <n v="400.69600000000003"/>
    <d v="2025-05-12T00:00:00"/>
    <n v="23"/>
    <n v="23"/>
    <n v="48"/>
    <s v="AMICAR"/>
    <s v="DACIÓN"/>
    <n v="159664"/>
    <n v="9568"/>
    <s v="NO"/>
    <s v="20-11-2023"/>
    <n v="2573408"/>
    <s v="2,39"/>
    <m/>
    <m/>
    <m/>
    <s v="NO RECUPERADO"/>
    <n v="997892110"/>
    <m/>
    <m/>
    <s v="nelson.castro.moreno@gmail.com"/>
    <m/>
    <m/>
    <s v="AVENIDA JOSE PEDRO ALESSANDRI 1620 DPTO 708"/>
    <s v="MACUL"/>
    <s v="REGION METROPOLITANA"/>
    <s v="C-5130-2026"/>
    <s v="20º Juzgado Civil de Santiago"/>
    <s v="INGRESADO"/>
    <s v="MANTIENE"/>
    <m/>
    <m/>
    <m/>
    <m/>
    <s v="NO"/>
    <s v="ACTIVO"/>
    <s v="TDRX47"/>
    <s v="HAVAL"/>
    <s v="JOLION ELITE 1.5 AUT"/>
    <n v="2024"/>
  </r>
  <r>
    <n v="2794654"/>
    <n v="56"/>
    <n v="2"/>
    <n v="2807606"/>
    <m/>
    <s v="PHOENIX"/>
    <s v="JUDICIAL"/>
    <x v="4"/>
    <s v="31-60"/>
    <x v="1"/>
    <s v="COBRANZA"/>
    <x v="1"/>
    <s v="E"/>
    <n v="10101870"/>
    <n v="9"/>
    <s v="VICTOR MANUEL SEPULVEDA SCHAAF"/>
    <n v="1"/>
    <n v="180.429"/>
    <d v="2026-10-03T00:00:00"/>
    <n v="26"/>
    <n v="26"/>
    <n v="44"/>
    <s v="Dealer"/>
    <m/>
    <n v="14529"/>
    <n v="0"/>
    <s v="NO"/>
    <s v="27-11-2023"/>
    <n v="375387"/>
    <s v="1,58"/>
    <m/>
    <m/>
    <s v="NO PREMIUM"/>
    <s v="NO RECUPERADO"/>
    <n v="964052761"/>
    <m/>
    <m/>
    <s v="VICTORSEPULVEDA23@GMAIL.COM"/>
    <m/>
    <m/>
    <s v="EL BELLOTO"/>
    <s v="PAPUDO"/>
    <s v="V REGION"/>
    <s v="C-19085-2024"/>
    <s v="7º Juzgado Civil de Santiago"/>
    <s v="EMBARGADO"/>
    <s v="MANTIENE"/>
    <m/>
    <m/>
    <m/>
    <m/>
    <s v="SI"/>
    <s v="ACTIVO"/>
    <m/>
    <s v="HONDA"/>
    <s v="WRV EX 1.5L CVT"/>
    <n v="2018"/>
  </r>
  <r>
    <n v="2796242"/>
    <n v="27"/>
    <n v="1"/>
    <n v="4348272"/>
    <m/>
    <s v="PHOENIX"/>
    <s v="JUDICIAL"/>
    <x v="12"/>
    <d v="2026-01-30T00:00:00"/>
    <x v="1"/>
    <s v="COBRANZA"/>
    <x v="1"/>
    <s v="E"/>
    <n v="8488266"/>
    <n v="6"/>
    <s v="JIMENA DEL CARMEN BARRIENTOS ALTAMIRANO"/>
    <n v="1"/>
    <n v="130.41"/>
    <d v="2026-08-04T00:00:00"/>
    <n v="27"/>
    <n v="25"/>
    <n v="72"/>
    <s v="Dealer"/>
    <m/>
    <n v="3542"/>
    <n v="9568"/>
    <s v="NO"/>
    <s v="28-11-2023"/>
    <n v="143520"/>
    <s v="1,53"/>
    <m/>
    <m/>
    <m/>
    <s v="BAJA90"/>
    <n v="983401561"/>
    <m/>
    <m/>
    <s v="JIMENABARRIENTOSL@GMAIL.COM"/>
    <m/>
    <m/>
    <s v="PASAJE TENGLO"/>
    <s v="PUERTO MONTT"/>
    <s v="X REGION"/>
    <s v="C-18934-2024"/>
    <s v="24º Juzgado Civil de Santiago"/>
    <s v="INGRESADO"/>
    <s v="MANTIENE"/>
    <m/>
    <s v="SUSPENDER"/>
    <s v="1 CUOTA MORA"/>
    <d v="2026-06-05T00:00:00"/>
    <s v="NO"/>
    <s v="ACTIVO"/>
    <m/>
    <s v="MAHINDRA"/>
    <s v="KUV 100 HATCH BACK 1.2"/>
    <n v="2021"/>
  </r>
  <r>
    <n v="2817318"/>
    <n v="69"/>
    <n v="3"/>
    <n v="5415478"/>
    <m/>
    <s v="PHOENIX"/>
    <s v="JUDICIAL"/>
    <x v="12"/>
    <s v="61-90"/>
    <x v="1"/>
    <s v="COBRANZA"/>
    <x v="1"/>
    <s v="D"/>
    <n v="15545976"/>
    <s v="K"/>
    <s v="PATRICIA ANDREA HENRIQUEZ BERROETA"/>
    <n v="1"/>
    <n v="215.13499999999999"/>
    <s v="25-02-2026"/>
    <n v="25"/>
    <n v="25"/>
    <n v="43"/>
    <s v="Dealer"/>
    <s v="DACIÓN"/>
    <n v="23071"/>
    <n v="0"/>
    <s v="NO"/>
    <s v="14-12-2023"/>
    <n v="668476"/>
    <s v="1,65"/>
    <m/>
    <m/>
    <m/>
    <s v="NO RECUPERADO"/>
    <n v="998466749"/>
    <m/>
    <m/>
    <s v="PATRICIABERROETA@GMAIL.COM"/>
    <m/>
    <m/>
    <s v="CALLE ESPERANZA"/>
    <s v="EL BOSQUE"/>
    <s v="REGION METROPOLITANA"/>
    <s v="C-19083-2024"/>
    <s v="19º Juzgado Civil de Santiago"/>
    <s v="EMBARGADO"/>
    <s v="MANTIENE"/>
    <m/>
    <m/>
    <m/>
    <m/>
    <s v="SI"/>
    <s v="ACTIVO"/>
    <s v="RSGF16"/>
    <s v="JAC"/>
    <s v="JS4 1.6"/>
    <n v="2022"/>
  </r>
  <r>
    <n v="2817859"/>
    <n v="156"/>
    <n v="2"/>
    <n v="1075233"/>
    <m/>
    <s v="PHOENIX"/>
    <s v="JUDICIAL"/>
    <x v="10"/>
    <s v="151-180"/>
    <x v="1"/>
    <s v="COBRANZA"/>
    <x v="1"/>
    <s v="E"/>
    <n v="8220718"/>
    <s v="K"/>
    <s v="ANTONIETA MAGALI TRIGARI ZUÑIGA"/>
    <n v="1"/>
    <n v="554.51599999999996"/>
    <s v="30-11-2025"/>
    <n v="22"/>
    <n v="22"/>
    <n v="24"/>
    <s v="AMICAR"/>
    <m/>
    <n v="135696"/>
    <n v="0"/>
    <s v="NO"/>
    <s v="13-12-2023"/>
    <n v="1244728"/>
    <s v="2,09"/>
    <m/>
    <m/>
    <m/>
    <s v="NO RECUPERADO"/>
    <n v="56966014766"/>
    <m/>
    <n v="56987220457"/>
    <s v="h.moraretamal@gmail.com"/>
    <m/>
    <m/>
    <s v="CALLE 2 2711 PISO 1 CONJ CASA BLANCA LONTUE"/>
    <s v="MOLINA"/>
    <s v="VII REGION"/>
    <s v="C-14425-2025"/>
    <s v="28º Juzgado Civil de Santiago"/>
    <s v="EMBARGADO"/>
    <s v="MANTIENE"/>
    <m/>
    <m/>
    <m/>
    <m/>
    <s v="SI"/>
    <s v="ACTIVO"/>
    <s v="SYWP19"/>
    <s v="CHANGAN"/>
    <s v="X7 PLUS ELITE AT"/>
    <n v="2024"/>
  </r>
  <r>
    <n v="2818536"/>
    <n v="151"/>
    <n v="6"/>
    <n v="3680778"/>
    <m/>
    <s v="PHOENIX"/>
    <s v="JUDICIAL"/>
    <x v="9"/>
    <s v="151-180"/>
    <x v="1"/>
    <s v="COBRANZA"/>
    <x v="1"/>
    <s v="E"/>
    <n v="12007015"/>
    <n v="0"/>
    <s v="MARIELA ALEJANDRA BUSTAMANTE FLORES"/>
    <n v="1"/>
    <n v="173.517"/>
    <d v="2025-05-12T00:00:00"/>
    <n v="22"/>
    <n v="22"/>
    <n v="48"/>
    <s v="Dealer"/>
    <m/>
    <n v="76386"/>
    <n v="0"/>
    <s v="NO"/>
    <s v="15-12-2023"/>
    <n v="1117488"/>
    <s v="1,57"/>
    <m/>
    <m/>
    <m/>
    <s v="NO RECUPERADO"/>
    <n v="944311897"/>
    <m/>
    <m/>
    <s v="MANIBEPA@HOTMAIL.COM"/>
    <m/>
    <m/>
    <s v="6 12 SUR"/>
    <s v="TALCA"/>
    <s v="VII REGION"/>
    <s v="C-20330-2024"/>
    <s v="7º Juzgado Civil de Santiago"/>
    <s v="EMBARGADO"/>
    <s v="MANTIENE"/>
    <m/>
    <m/>
    <m/>
    <m/>
    <s v="SI"/>
    <s v="ACTIVO"/>
    <m/>
    <s v="HYUNDAI"/>
    <s v="TUCSON TL 2.0"/>
    <n v="2020"/>
  </r>
  <r>
    <n v="2822126"/>
    <n v="105"/>
    <n v="4"/>
    <n v="2915633"/>
    <m/>
    <s v="PHOENIX"/>
    <s v="JUDICIAL"/>
    <x v="3"/>
    <s v="91-120"/>
    <x v="1"/>
    <s v="COBRANZA"/>
    <x v="1"/>
    <s v="E"/>
    <n v="17484621"/>
    <n v="9"/>
    <s v="PRISCILLA FERNANDA  SALDÍAS  BARROS"/>
    <n v="1"/>
    <n v="170.887"/>
    <s v="20-01-2026"/>
    <n v="24"/>
    <n v="24"/>
    <n v="43"/>
    <s v="CREDINISSAN"/>
    <m/>
    <n v="40165"/>
    <n v="0"/>
    <s v="NO"/>
    <s v="19-12-2023"/>
    <n v="723713"/>
    <s v="1,1"/>
    <m/>
    <m/>
    <m/>
    <s v="NO RECUPERADO"/>
    <n v="965591404"/>
    <m/>
    <n v="56973216954"/>
    <s v="PRISCILASALDIAS2@GMAIL.COM"/>
    <m/>
    <m/>
    <s v="GRAL KORNER 237 DEPTO 403A"/>
    <s v="EL BOSQUE"/>
    <s v="REGION METROPOLITANA"/>
    <s v="C-4787-2025 "/>
    <s v="15º Juzgado Civil de Santiago"/>
    <s v="NOTIFICADO"/>
    <s v="MANTIENE"/>
    <m/>
    <m/>
    <m/>
    <m/>
    <s v="SI"/>
    <s v="ACTIVO"/>
    <m/>
    <s v="NISSAN"/>
    <s v="NEW QASHQAI ADVANCE CVT"/>
    <n v="2021"/>
  </r>
  <r>
    <n v="2830526"/>
    <n v="93"/>
    <n v="4"/>
    <n v="3540290"/>
    <m/>
    <s v="PHOENIX"/>
    <s v="JUDICIAL"/>
    <x v="12"/>
    <s v="91-120"/>
    <x v="1"/>
    <s v="COBRANZA"/>
    <x v="1"/>
    <s v="E"/>
    <n v="16581640"/>
    <n v="4"/>
    <s v="DIXON HERNANDO GONZÁLEZ PUGA"/>
    <n v="1"/>
    <n v="346.80700000000002"/>
    <d v="2026-01-02T00:00:00"/>
    <n v="24"/>
    <n v="24"/>
    <n v="36"/>
    <s v="Dealer"/>
    <s v="DACIÓN"/>
    <n v="59765"/>
    <n v="0"/>
    <s v="NO"/>
    <s v="27-12-2023"/>
    <n v="1446993"/>
    <s v="2,58"/>
    <m/>
    <m/>
    <m/>
    <s v="NO RECUPERADO"/>
    <n v="954977288"/>
    <m/>
    <n v="56963337194"/>
    <s v="dixon.g.puga@gmail.com"/>
    <m/>
    <m/>
    <s v="SANTO DOMINGO 504 DEPTO 91"/>
    <s v="SANTIAGO"/>
    <s v="REGION METROPOLITANA"/>
    <s v="C-2596-2025"/>
    <s v="23º Juzgado Civil de Santiago"/>
    <s v="EMBARGADO"/>
    <s v="MANTIENE"/>
    <m/>
    <m/>
    <m/>
    <m/>
    <s v="SI"/>
    <s v="ACTIVO"/>
    <s v="JYWX56"/>
    <s v="KIA MOTORS"/>
    <s v="RIO 5"/>
    <n v="2018"/>
  </r>
  <r>
    <n v="2832579"/>
    <n v="61"/>
    <n v="3"/>
    <n v="14053879"/>
    <m/>
    <s v="PHOENIX"/>
    <s v="JUDICIAL"/>
    <x v="4"/>
    <s v="61-90"/>
    <x v="1"/>
    <s v="COBRANZA"/>
    <x v="1"/>
    <s v="E"/>
    <n v="8327642"/>
    <n v="8"/>
    <s v="JORGE ABRAHAM MEDINA VASQUEZ"/>
    <n v="1"/>
    <n v="509.61799999999999"/>
    <d v="2026-05-03T00:00:00"/>
    <n v="24"/>
    <n v="24"/>
    <n v="49"/>
    <s v="AMICAR"/>
    <s v="DACIÓN"/>
    <n v="41276"/>
    <n v="87125"/>
    <s v="NO"/>
    <s v="22-12-2023"/>
    <n v="1657255"/>
    <s v="1,79"/>
    <m/>
    <m/>
    <s v="NO PREMIUM"/>
    <s v="NO RECUPERADO"/>
    <n v="934462237"/>
    <m/>
    <m/>
    <s v="cokymv637@gmail.com"/>
    <m/>
    <m/>
    <s v="AV. ARTURO PRAT 3783 DEPTO. 402 TORRE A EDIFICIO CARRARA"/>
    <s v="IQUIQUE"/>
    <s v="I REGION"/>
    <s v="C-2400-2026"/>
    <s v="12º Juzgado Civil de Santiago"/>
    <s v="INGRESADO"/>
    <s v="MANTIENE"/>
    <m/>
    <m/>
    <m/>
    <m/>
    <s v="NO"/>
    <s v="ACTIVO"/>
    <s v="TCZT54"/>
    <s v="HYUNDAI"/>
    <s v="TUCSON N4X4 2.0 AT 4WD"/>
    <n v="2024"/>
  </r>
  <r>
    <n v="2842579"/>
    <n v="304"/>
    <n v="11"/>
    <n v="7335229"/>
    <m/>
    <s v="PHOENIX"/>
    <s v="JUDICIAL"/>
    <x v="13"/>
    <s v="301-330"/>
    <x v="1"/>
    <s v="COBRANZA"/>
    <x v="1"/>
    <s v="E"/>
    <n v="9276235"/>
    <n v="1"/>
    <s v="GABRIEL LEONARDO FUENTES NAMBRARD"/>
    <n v="1"/>
    <n v="234.876"/>
    <d v="2025-05-07T00:00:00"/>
    <n v="16"/>
    <n v="16"/>
    <n v="60"/>
    <s v="RENEGOCIADO"/>
    <m/>
    <n v="338786"/>
    <n v="91000"/>
    <s v="NO"/>
    <d v="2024-08-01T00:00:00"/>
    <n v="3013422"/>
    <s v="1,63"/>
    <m/>
    <m/>
    <m/>
    <s v="NO RECUPERADO"/>
    <n v="958253101"/>
    <m/>
    <m/>
    <s v="GABNAMBRARD@GMAIL.COM"/>
    <m/>
    <m/>
    <s v="CALLEJON CENDO SN"/>
    <m/>
    <m/>
    <s v="C-14428-2025"/>
    <s v="22º Juzgado Civil de Santiago"/>
    <s v="INGRESADO"/>
    <s v="MANTIENE"/>
    <m/>
    <m/>
    <m/>
    <m/>
    <s v="NO"/>
    <s v="ACTIVO"/>
    <m/>
    <s v="PEUGEOT"/>
    <s v="PARTNER HDI 1.6"/>
    <n v="2016"/>
  </r>
  <r>
    <n v="2843070"/>
    <n v="30"/>
    <n v="2"/>
    <n v="6022825"/>
    <m/>
    <s v="PHOENIX"/>
    <s v="JUDICIAL"/>
    <x v="4"/>
    <d v="2026-01-30T00:00:00"/>
    <x v="1"/>
    <s v="COBRANZA"/>
    <x v="1"/>
    <s v="E"/>
    <n v="19015450"/>
    <n v="5"/>
    <s v="IVANY ANDREA ALVAREZ   VARGAS"/>
    <n v="1"/>
    <n v="304.28100000000001"/>
    <d v="2026-05-04T00:00:00"/>
    <n v="25"/>
    <n v="24"/>
    <n v="37"/>
    <s v="AMICAR"/>
    <m/>
    <n v="8389"/>
    <n v="9568"/>
    <s v="NO"/>
    <d v="2024-08-01T00:00:00"/>
    <n v="626519"/>
    <s v="2,39"/>
    <m/>
    <m/>
    <s v="NO PREMIUM"/>
    <s v="CONTENIDO"/>
    <n v="56997070776"/>
    <m/>
    <m/>
    <m/>
    <m/>
    <m/>
    <s v="ARTURO PRAT  2804, DEPTO 43 B"/>
    <s v="VALPARAISO"/>
    <s v="V REGION"/>
    <s v="C-9879-2025"/>
    <s v="15º Juzgado Civil de Santiago"/>
    <s v="INGRESADO"/>
    <s v="MANTIENE"/>
    <m/>
    <s v="SUSPENDER"/>
    <s v="1 CUOTA MORA"/>
    <d v="2026-05-05T00:00:00"/>
    <s v="NO"/>
    <s v="SUSPENDIDO"/>
    <s v="SYRT57"/>
    <s v="CHANGAN"/>
    <s v="NEW CS15 LUXURY MT"/>
    <n v="2024"/>
  </r>
  <r>
    <n v="2851863"/>
    <n v="238"/>
    <n v="8"/>
    <n v="9491268"/>
    <m/>
    <s v="PHOENIX"/>
    <s v="JUDICIAL"/>
    <x v="6"/>
    <s v="211-240"/>
    <x v="1"/>
    <s v="COBRANZA"/>
    <x v="1"/>
    <s v="E"/>
    <n v="19867320"/>
    <s v="K"/>
    <s v="Raul Ignacio Gaston Alvarez Cerda"/>
    <n v="1"/>
    <n v="369.245"/>
    <d v="2025-09-09T00:00:00"/>
    <n v="17"/>
    <n v="17"/>
    <n v="49"/>
    <s v="AMICAR"/>
    <s v="DACIÓN"/>
    <n v="337888"/>
    <n v="155740"/>
    <s v="NO"/>
    <d v="2024-10-01T00:00:00"/>
    <n v="3447588"/>
    <s v="2,57"/>
    <m/>
    <m/>
    <m/>
    <s v="NO RECUPERADO"/>
    <n v="56966977022"/>
    <m/>
    <m/>
    <s v="raul.ignacio.ac@gmail.com"/>
    <m/>
    <m/>
    <s v="SALAR DE LA LUNA 591"/>
    <s v="CALAMA"/>
    <s v="II REGION"/>
    <s v="C-833-2026"/>
    <s v="26º Juzgado Civil de Santiago"/>
    <s v="INGRESADO"/>
    <s v="MANTIENE"/>
    <m/>
    <m/>
    <m/>
    <m/>
    <s v="NO"/>
    <s v="ACTIVO"/>
    <s v="TBBW19"/>
    <s v="SUZUKI"/>
    <s v="NEW BALENO GLS 1.5"/>
    <n v="2024"/>
  </r>
  <r>
    <n v="2861527"/>
    <n v="0"/>
    <n v="0"/>
    <n v="8864460"/>
    <m/>
    <s v="PHOENIX"/>
    <s v="JUDICIAL"/>
    <x v="5"/>
    <s v="AL DIA"/>
    <x v="1"/>
    <s v="COBRANZA"/>
    <x v="1"/>
    <s v="D"/>
    <n v="15770754"/>
    <s v="K"/>
    <s v="CARLA CRISTINA FUENTES CASTILLO"/>
    <n v="1"/>
    <n v="271.44799999999998"/>
    <s v="15-05-2026"/>
    <n v="26"/>
    <n v="25"/>
    <n v="72"/>
    <s v="RENEGOCIADO"/>
    <m/>
    <n v="0"/>
    <n v="0"/>
    <s v="NO"/>
    <s v="22-01-2024"/>
    <n v="0"/>
    <s v="1,63"/>
    <m/>
    <m/>
    <s v="NO PREMIUM"/>
    <s v="CONTENIDO"/>
    <n v="965863601"/>
    <m/>
    <m/>
    <s v="CARLAFUENTESC@HOTMAIL.COM"/>
    <m/>
    <m/>
    <s v="HERNÁN CORTÉS"/>
    <s v="SANTIAGO"/>
    <s v="REGION METROPOLITANA"/>
    <s v="C-2598-2025"/>
    <s v="10º Juzgado Civil de Santiago"/>
    <s v="EMBARGADO"/>
    <s v="MANTIENE"/>
    <m/>
    <s v="SUSPENDER"/>
    <s v="1 CUOTA EN MORA"/>
    <d v="2026-05-05T00:00:00"/>
    <s v="SI"/>
    <s v="SUSPENDIDO"/>
    <m/>
    <s v="HYUNDAI"/>
    <s v="SANTA FE"/>
    <n v="2021"/>
  </r>
  <r>
    <n v="2869439"/>
    <n v="254"/>
    <n v="9"/>
    <n v="11635227"/>
    <m/>
    <s v="PHOENIX"/>
    <s v="JUDICIAL"/>
    <x v="14"/>
    <s v="241-270"/>
    <x v="1"/>
    <s v="COBRANZA"/>
    <x v="1"/>
    <s v="E"/>
    <n v="17250462"/>
    <n v="0"/>
    <s v="PABLO  CÉSAR LÓPEZ RIQUELME"/>
    <n v="1"/>
    <n v="361.99"/>
    <s v="24-08-2025"/>
    <n v="17"/>
    <n v="17"/>
    <n v="60"/>
    <s v="RENEGOCIADO"/>
    <m/>
    <n v="376968"/>
    <n v="0"/>
    <s v="NO"/>
    <s v="25-01-2024"/>
    <n v="3634878"/>
    <s v="1,4"/>
    <m/>
    <m/>
    <m/>
    <s v="NO RECUPERADO"/>
    <n v="959827161"/>
    <m/>
    <n v="56959827161"/>
    <s v="PABLOLOPEZR1610@GMAIL.COM"/>
    <m/>
    <m/>
    <s v="AMADO NERVO"/>
    <s v="SANTIAGO"/>
    <s v="REGION METROPOLITANA"/>
    <s v="C-19066-2024"/>
    <s v="4º Juzgado Civil de Santiago"/>
    <s v="INCAUTADO"/>
    <s v="MANTIENE"/>
    <m/>
    <m/>
    <m/>
    <m/>
    <s v="SI"/>
    <s v="ACTIVO"/>
    <m/>
    <s v="MAZDA"/>
    <s v="CX5 4X4 OTTO 2.0 AT"/>
    <n v="2022"/>
  </r>
  <r>
    <n v="2870165"/>
    <n v="162"/>
    <n v="6"/>
    <n v="3605588"/>
    <m/>
    <s v="PHOENIX"/>
    <s v="JUDICIAL"/>
    <x v="10"/>
    <s v="151-180"/>
    <x v="1"/>
    <s v="COBRANZA"/>
    <x v="1"/>
    <s v="E"/>
    <n v="25636967"/>
    <n v="2"/>
    <s v="JUAN CARLOS GOTA ROJAS"/>
    <n v="1"/>
    <n v="161.41300000000001"/>
    <s v="24-11-2025"/>
    <n v="20"/>
    <n v="20"/>
    <n v="48"/>
    <s v="RENEGOCIADO"/>
    <m/>
    <n v="81944"/>
    <n v="44142"/>
    <s v="NO"/>
    <s v="29-01-2024"/>
    <n v="1094564"/>
    <s v="1,63"/>
    <m/>
    <m/>
    <m/>
    <s v="NO RECUPERADO"/>
    <n v="936276557"/>
    <m/>
    <n v="56982751993"/>
    <s v="JUANGOTAFHC@GMAIL.COM"/>
    <m/>
    <m/>
    <s v="LOS PEHUENCHES"/>
    <m/>
    <m/>
    <s v="C-19086-2024"/>
    <s v="7º Juzgado Civil de Santiago"/>
    <s v="INGRESADO"/>
    <s v="MANTIENE"/>
    <m/>
    <m/>
    <m/>
    <m/>
    <s v="NO"/>
    <s v="ACTIVO"/>
    <m/>
    <s v="MAHINDRA"/>
    <s v="XUV 500  4X4"/>
    <n v="2020"/>
  </r>
  <r>
    <n v="2870557"/>
    <n v="89"/>
    <n v="4"/>
    <n v="3191264"/>
    <m/>
    <s v="PHOENIX"/>
    <s v="JUDICIAL"/>
    <x v="12"/>
    <s v="61-90"/>
    <x v="1"/>
    <s v="COBRANZA"/>
    <x v="1"/>
    <s v="E"/>
    <n v="16856352"/>
    <n v="3"/>
    <s v="MILENA JOHANA VERGARA VERGARA"/>
    <n v="1"/>
    <n v="274.39699999999999"/>
    <d v="2026-05-02T00:00:00"/>
    <n v="23"/>
    <n v="23"/>
    <n v="36"/>
    <s v="RENEGOCIADO"/>
    <m/>
    <n v="43923"/>
    <n v="0"/>
    <s v="NO"/>
    <s v="26-01-2024"/>
    <n v="1141511"/>
    <s v="1,63"/>
    <m/>
    <m/>
    <m/>
    <s v="NO RECUPERADO"/>
    <n v="957731634"/>
    <m/>
    <n v="56957731634"/>
    <s v="MILENAVERGARA@GMAIL.COM"/>
    <m/>
    <m/>
    <s v="EL BELLOTO"/>
    <s v="MELIPILLA"/>
    <s v="REGION METROPOLITANA"/>
    <s v="C-4711-2025"/>
    <s v="2º Juzgado Civil de Santiago"/>
    <s v="NOTIFICADO"/>
    <s v="MANTIENE"/>
    <m/>
    <m/>
    <m/>
    <m/>
    <s v="SI"/>
    <s v="ACTIVO"/>
    <m/>
    <s v="MAZDA"/>
    <s v="ALL NEW CX 30  2.0 AUT"/>
    <n v="2021"/>
  </r>
  <r>
    <n v="2893403"/>
    <n v="54"/>
    <n v="2"/>
    <n v="5770645"/>
    <m/>
    <s v="PHOENIX"/>
    <s v="JUDICIAL"/>
    <x v="4"/>
    <s v="31-60"/>
    <x v="1"/>
    <s v="COBRANZA"/>
    <x v="1"/>
    <s v="E"/>
    <n v="10357961"/>
    <n v="9"/>
    <s v="LUZ MARCELA LOPEZ BEAS"/>
    <n v="1"/>
    <n v="314.91800000000001"/>
    <d v="2026-12-03T00:00:00"/>
    <n v="23"/>
    <n v="23"/>
    <n v="45"/>
    <s v="RENEGOCIADO"/>
    <m/>
    <n v="20794"/>
    <n v="0"/>
    <s v="NO"/>
    <s v="16-02-2024"/>
    <n v="650630"/>
    <s v="1,65"/>
    <m/>
    <m/>
    <s v="NO PREMIUM"/>
    <s v="NO RECUPERADO"/>
    <n v="968024835"/>
    <m/>
    <m/>
    <s v="CARLOSVERA4132@GMAIL.COM"/>
    <m/>
    <m/>
    <s v="CALLE CENTRAL"/>
    <m/>
    <m/>
    <s v="7º Juzgado Civil de Santiago"/>
    <s v="C-16659-2024"/>
    <s v="EMBARGADO"/>
    <s v="MANTIENE"/>
    <m/>
    <m/>
    <m/>
    <m/>
    <s v="SI"/>
    <s v="ACTIVO"/>
    <m/>
    <s v="GREAT WALL"/>
    <s v="POER 2.0 TD 4X4"/>
    <n v="2022"/>
  </r>
  <r>
    <n v="2894905"/>
    <n v="164"/>
    <n v="6"/>
    <n v="4979032"/>
    <m/>
    <s v="PHOENIX"/>
    <s v="JUDICIAL"/>
    <x v="10"/>
    <s v="151-180"/>
    <x v="1"/>
    <s v="COBRANZA"/>
    <x v="1"/>
    <s v="E"/>
    <n v="8725171"/>
    <n v="3"/>
    <s v="BERNARDO ALFONSO SAGARDÍA JARA"/>
    <n v="1"/>
    <n v="258.90199999999999"/>
    <s v="22-11-2025"/>
    <n v="20"/>
    <n v="20"/>
    <n v="48"/>
    <s v="Dealer"/>
    <s v="DACIÓN"/>
    <n v="131289"/>
    <n v="97861"/>
    <s v="NO"/>
    <s v="20-02-2024"/>
    <n v="1782562"/>
    <s v="2,8"/>
    <m/>
    <m/>
    <m/>
    <s v="NO RECUPERADO"/>
    <n v="956198777"/>
    <m/>
    <m/>
    <s v="balfonsosagra@outlook.com"/>
    <m/>
    <m/>
    <s v="IGNACIO CARRERA PINTO 0489"/>
    <s v="RANCAGUA"/>
    <s v="VI REGION"/>
    <s v="C-3848-2026"/>
    <s v="6º JUZGADO CIVIL DE SANTIAGO"/>
    <s v="INGRESADO"/>
    <s v="MANTIENE"/>
    <m/>
    <m/>
    <m/>
    <m/>
    <s v="NO"/>
    <s v="ACTIVO"/>
    <s v="TGSR99"/>
    <s v="FOTON"/>
    <s v="MIDI 1.2 C/S E6"/>
    <n v="2024"/>
  </r>
  <r>
    <n v="2901203"/>
    <n v="30"/>
    <n v="2"/>
    <n v="6100981"/>
    <m/>
    <s v="PHOENIX"/>
    <s v="JUDICIAL"/>
    <x v="4"/>
    <d v="2026-01-30T00:00:00"/>
    <x v="1"/>
    <s v="COBRANZA"/>
    <x v="1"/>
    <s v="E"/>
    <n v="19940769"/>
    <n v="4"/>
    <s v="IGNACIO ALEJANDRO NAVARRETE DIAZ"/>
    <n v="1"/>
    <n v="325.48099999999999"/>
    <d v="2026-05-04T00:00:00"/>
    <n v="24"/>
    <n v="23"/>
    <n v="48"/>
    <s v="AMICAR"/>
    <m/>
    <n v="8705"/>
    <n v="0"/>
    <s v="NO"/>
    <s v="23-02-2024"/>
    <n v="659667"/>
    <s v="2,35"/>
    <m/>
    <m/>
    <s v="NO PREMIUM"/>
    <s v="CONTENIDO"/>
    <n v="56999226265"/>
    <m/>
    <m/>
    <s v="ignaciond11@gmail.com"/>
    <m/>
    <m/>
    <s v="CALLE LOS ALCALDES 0527"/>
    <s v="RANCAGUA"/>
    <s v="VI REGION"/>
    <s v="C-15759-2025"/>
    <s v="14º Juzgado Civil de Santiago"/>
    <s v="EMBARGADO"/>
    <s v="MANTIENE"/>
    <m/>
    <s v="SUSPENDER"/>
    <s v="1 CUOTA MORA"/>
    <d v="2026-05-05T00:00:00"/>
    <s v="SI"/>
    <s v="SUSPENDIDO"/>
    <s v="TCKC41"/>
    <s v="SUZUKI"/>
    <s v="SWIFT GL 1.2"/>
    <n v="2024"/>
  </r>
  <r>
    <n v="2908514"/>
    <n v="324"/>
    <n v="11"/>
    <n v="9147487"/>
    <m/>
    <s v="PHOENIX"/>
    <s v="JUDICIAL"/>
    <x v="11"/>
    <s v="301-330"/>
    <x v="1"/>
    <s v="COBRANZA"/>
    <x v="1"/>
    <s v="E"/>
    <n v="20910306"/>
    <n v="0"/>
    <s v="TANIA MARISEL NAHUEL MILLALEN"/>
    <n v="1"/>
    <n v="393.678"/>
    <s v="15-06-2025"/>
    <n v="14"/>
    <n v="14"/>
    <n v="48"/>
    <s v="AMICAR"/>
    <s v="DACIÓN"/>
    <n v="624528"/>
    <n v="0"/>
    <s v="NO"/>
    <s v="28-02-2024"/>
    <n v="4954986"/>
    <s v="2,35"/>
    <m/>
    <m/>
    <m/>
    <s v="NO RECUPERADO"/>
    <n v="930981316"/>
    <m/>
    <m/>
    <s v="tania.maricel2016@hotmail.com"/>
    <m/>
    <m/>
    <s v="AMERICANA INDIGENA 2138"/>
    <s v="CERRILLOS"/>
    <s v="REGION METROPOLITANA"/>
    <s v="C-14430-2025"/>
    <s v="27º Juzgado Civil de Santiago"/>
    <s v="NOTIFICADO"/>
    <s v="MANTIENE"/>
    <m/>
    <m/>
    <m/>
    <m/>
    <s v="SI"/>
    <s v="ACTIVO"/>
    <s v="TCKC94"/>
    <s v="HAVAL"/>
    <s v="JOLION 1.5T MT 4X2 ACTIVE"/>
    <n v="2024"/>
  </r>
  <r>
    <n v="2914167"/>
    <n v="51"/>
    <n v="2"/>
    <n v="2895717"/>
    <m/>
    <s v="PHOENIX"/>
    <s v="JUDICIAL"/>
    <x v="4"/>
    <s v="31-60"/>
    <x v="1"/>
    <s v="COBRANZA"/>
    <x v="1"/>
    <s v="D"/>
    <n v="10585244"/>
    <n v="4"/>
    <s v="CLAUDIA ORIETTA FREDES BARRERA"/>
    <n v="1"/>
    <n v="173.18299999999999"/>
    <s v="15-03-2026"/>
    <n v="23"/>
    <n v="23"/>
    <n v="31"/>
    <s v="RENEGOCIADO"/>
    <m/>
    <n v="11960"/>
    <n v="0"/>
    <s v="NO"/>
    <d v="2024-01-03T00:00:00"/>
    <n v="358326"/>
    <s v="1,63"/>
    <m/>
    <m/>
    <s v="NO PREMIUM"/>
    <s v="NO RECUPERADO"/>
    <n v="979543501"/>
    <m/>
    <m/>
    <s v="FERNANDA@GMAIL.COM"/>
    <m/>
    <m/>
    <s v="LA SINFONIA"/>
    <m/>
    <m/>
    <s v="C-5515-2025"/>
    <s v="7º Juzgado Civil de Santiago"/>
    <s v="EMBARGADO"/>
    <s v="MANTIENE"/>
    <m/>
    <m/>
    <m/>
    <m/>
    <s v="SI"/>
    <s v="ACTIVO"/>
    <m/>
    <s v="SUZUKI"/>
    <s v="BALENO"/>
    <n v="2021"/>
  </r>
  <r>
    <n v="2916362"/>
    <n v="30"/>
    <n v="2"/>
    <n v="1705525"/>
    <m/>
    <s v="PHOENIX"/>
    <s v="JUDICIAL"/>
    <x v="4"/>
    <d v="2026-01-30T00:00:00"/>
    <x v="1"/>
    <s v="COBRANZA"/>
    <x v="1"/>
    <s v="E"/>
    <n v="17194972"/>
    <n v="6"/>
    <s v="DANISA JOHANNA VILCHES ROJAS"/>
    <n v="1"/>
    <n v="137.238"/>
    <d v="2026-05-04T00:00:00"/>
    <n v="23"/>
    <n v="22"/>
    <n v="36"/>
    <s v="RENEGOCIADO"/>
    <m/>
    <n v="4154"/>
    <n v="0"/>
    <s v="NO"/>
    <d v="2024-06-03T00:00:00"/>
    <n v="278630"/>
    <s v="1,63"/>
    <m/>
    <m/>
    <s v="NO PREMIUM"/>
    <s v="CONTENIDO"/>
    <n v="963913477"/>
    <m/>
    <m/>
    <s v="DANISAAPR@GMAIL.COM"/>
    <m/>
    <m/>
    <s v="JOSE VICENTE BLANCO"/>
    <m/>
    <m/>
    <s v="C-11272-2025"/>
    <s v="18º Juzgado Civil de Santiago"/>
    <s v="EMBARGADO"/>
    <s v="MANTIENE"/>
    <m/>
    <s v="SUSPENDER"/>
    <s v="1 CUOTA MORA"/>
    <d v="2026-05-05T00:00:00"/>
    <s v="SI"/>
    <s v="SUSPENDIDO"/>
    <m/>
    <s v="GREAT WALL"/>
    <s v="C30.1.5"/>
    <n v="2021"/>
  </r>
  <r>
    <n v="2926004"/>
    <n v="334"/>
    <n v="12"/>
    <n v="13513514"/>
    <m/>
    <s v="PHOENIX"/>
    <s v="JUDICIAL"/>
    <x v="11"/>
    <s v="331-360"/>
    <x v="1"/>
    <s v="COBRANZA"/>
    <x v="1"/>
    <s v="E"/>
    <n v="18770850"/>
    <n v="8"/>
    <s v="ALEXIS EMANUEL VILLENA CASTILLO"/>
    <n v="1"/>
    <n v="402.55200000000002"/>
    <d v="2025-05-06T00:00:00"/>
    <n v="14"/>
    <n v="14"/>
    <n v="37"/>
    <s v="Directo"/>
    <m/>
    <n v="675954"/>
    <n v="138888"/>
    <s v="NO"/>
    <d v="2024-08-03T00:00:00"/>
    <n v="5645466"/>
    <s v="1,34"/>
    <m/>
    <m/>
    <m/>
    <s v="NO RECUPERADO"/>
    <n v="946952676"/>
    <m/>
    <m/>
    <s v="ALEXISVILLENA27@GMAIL.COM"/>
    <m/>
    <m/>
    <s v="PARQUE CORDILLERA"/>
    <m/>
    <m/>
    <s v="C-22137-2024"/>
    <s v="17º Juzgado Civil de Santiago"/>
    <s v="INGRESADO"/>
    <s v="MANTIENE"/>
    <m/>
    <m/>
    <m/>
    <m/>
    <s v="NO"/>
    <s v="ACTIVO"/>
    <m/>
    <s v="HYUNDAI"/>
    <s v="TUCSON NX4 MPI 2.0"/>
    <n v="2024"/>
  </r>
  <r>
    <n v="2926586"/>
    <n v="89"/>
    <n v="4"/>
    <n v="1743128"/>
    <m/>
    <s v="PHOENIX"/>
    <s v="JUDICIAL"/>
    <x v="12"/>
    <s v="61-90"/>
    <x v="1"/>
    <s v="COBRANZA"/>
    <x v="1"/>
    <s v="D"/>
    <n v="26071337"/>
    <s v="K"/>
    <s v="WADSON CELESTIN"/>
    <n v="1"/>
    <n v="98.891999999999996"/>
    <d v="2026-05-02T00:00:00"/>
    <n v="21"/>
    <n v="21"/>
    <n v="42"/>
    <s v="RENEGOCIADO"/>
    <m/>
    <n v="17213"/>
    <n v="20159"/>
    <s v="NO"/>
    <s v="14-03-2024"/>
    <n v="432940"/>
    <s v="1,65"/>
    <m/>
    <m/>
    <m/>
    <s v="NO RECUPERADO"/>
    <n v="979981042"/>
    <m/>
    <m/>
    <s v="CELESTINWADSON08@GMAIL.COM"/>
    <m/>
    <m/>
    <s v="PASAJE PADRE HURTADO"/>
    <m/>
    <m/>
    <s v="C-19075-2024"/>
    <s v="10º Juzgado Civil de Santiago"/>
    <s v="INGRESADO"/>
    <s v="MANTIENE"/>
    <m/>
    <m/>
    <m/>
    <m/>
    <s v="NO"/>
    <s v="ACTIVO"/>
    <m/>
    <s v="HYUNDAI"/>
    <s v="GRAND I10 BA GLS 1.2"/>
    <n v="2017"/>
  </r>
  <r>
    <n v="2936686"/>
    <n v="51"/>
    <n v="2"/>
    <n v="6947530"/>
    <m/>
    <s v="PHOENIX"/>
    <s v="JUDICIAL"/>
    <x v="4"/>
    <s v="31-60"/>
    <x v="1"/>
    <s v="COBRANZA"/>
    <x v="1"/>
    <s v="E"/>
    <n v="13134455"/>
    <n v="4"/>
    <s v="JOHANA ELIZABETH FUENTES VEJAR"/>
    <n v="1"/>
    <n v="257.48700000000002"/>
    <s v="15-03-2026"/>
    <n v="22"/>
    <n v="22"/>
    <n v="58"/>
    <s v="RENEGOCIADO"/>
    <m/>
    <n v="15459"/>
    <n v="0"/>
    <s v="NO"/>
    <s v="20-03-2024"/>
    <n v="530433"/>
    <s v="1,65"/>
    <m/>
    <m/>
    <s v="NO PREMIUM"/>
    <s v="NO RECUPERADO"/>
    <n v="952334907"/>
    <m/>
    <m/>
    <s v="JOBY.FUENTES@GMAIL.COM"/>
    <m/>
    <m/>
    <s v="LAS MERLUZAS POBLACION LOS LOBOS VIEJOS"/>
    <s v="TALCAHUANO"/>
    <s v="VIII REGION"/>
    <s v="C-13016-2025"/>
    <s v="29º Juzgado Civil de Santiago"/>
    <s v="EMBARGADO"/>
    <s v="MANTIENE"/>
    <m/>
    <m/>
    <m/>
    <m/>
    <s v="SI"/>
    <s v="ACTIVO"/>
    <m/>
    <s v="JEEP"/>
    <s v="COMPASS SPORT"/>
    <n v="2018"/>
  </r>
  <r>
    <n v="2938323"/>
    <n v="171"/>
    <n v="6"/>
    <n v="7212124"/>
    <m/>
    <s v="PHOENIX"/>
    <s v="JUDICIAL"/>
    <x v="10"/>
    <s v="151-180"/>
    <x v="1"/>
    <s v="COBRANZA"/>
    <x v="1"/>
    <s v="E"/>
    <n v="9264972"/>
    <n v="5"/>
    <s v="EDITH JAEL REINOSO MARIN"/>
    <n v="1"/>
    <n v="342.74200000000002"/>
    <s v="15-11-2025"/>
    <n v="18"/>
    <n v="18"/>
    <n v="48"/>
    <s v="AMICAR"/>
    <s v="DACIÓN"/>
    <n v="162939"/>
    <n v="121806"/>
    <s v="NO"/>
    <s v="21-03-2024"/>
    <n v="2341197"/>
    <s v="2,46"/>
    <m/>
    <m/>
    <m/>
    <s v="NO RECUPERADO"/>
    <n v="951349679"/>
    <m/>
    <m/>
    <s v="edithrein@yahoo.es"/>
    <m/>
    <m/>
    <s v="CHILOE 735"/>
    <s v="VALLENAR"/>
    <s v="III REGION"/>
    <s v="C-3844-2026"/>
    <s v="7º Juzgado Civil de Santiago"/>
    <s v="INGRESADO"/>
    <s v="MANTIENE"/>
    <m/>
    <m/>
    <m/>
    <m/>
    <s v="NO"/>
    <s v="ACTIVO"/>
    <s v="TJDD39"/>
    <s v="CHANGAN"/>
    <s v="MD301 PLUS CARGO BOX AC ESP"/>
    <n v="2024"/>
  </r>
  <r>
    <n v="2944646"/>
    <n v="162"/>
    <n v="6"/>
    <n v="10435299"/>
    <m/>
    <s v="PHOENIX"/>
    <s v="JUDICIAL"/>
    <x v="10"/>
    <s v="151-180"/>
    <x v="1"/>
    <s v="COBRANZA"/>
    <x v="1"/>
    <s v="E"/>
    <n v="8067163"/>
    <n v="6"/>
    <s v="JEANNETTE MIREYA PALMA POBLETE"/>
    <n v="1"/>
    <n v="443.81299999999999"/>
    <s v="24-11-2025"/>
    <n v="18"/>
    <n v="18"/>
    <n v="48"/>
    <s v="RENEGOCIADO"/>
    <m/>
    <n v="191275"/>
    <n v="0"/>
    <s v="NO"/>
    <s v="27-03-2024"/>
    <n v="2854153"/>
    <s v="1,65"/>
    <m/>
    <m/>
    <m/>
    <s v="NO RECUPERADO"/>
    <n v="955624143"/>
    <m/>
    <n v="56955624143"/>
    <s v="F.SOTOPALMA1993@GMAIL.COM"/>
    <m/>
    <m/>
    <s v="YAEZ PINZON"/>
    <s v="LA CISTERNA"/>
    <s v="REGION METROPOLITANA"/>
    <s v="14º Juzgado Civil de Santiago"/>
    <s v="C-15708-2024"/>
    <s v="INCAUTADO"/>
    <s v="MANTIENE"/>
    <m/>
    <m/>
    <m/>
    <m/>
    <s v="SI"/>
    <s v="ACTIVO"/>
    <s v="KBDD25"/>
    <s v="MERCEDES BENZ"/>
    <s v="CLA 220"/>
    <n v="2018"/>
  </r>
  <r>
    <n v="2949060"/>
    <n v="67"/>
    <n v="3"/>
    <n v="3008812"/>
    <m/>
    <s v="PHOENIX"/>
    <s v="JUDICIAL"/>
    <x v="12"/>
    <s v="61-90"/>
    <x v="1"/>
    <s v="COBRANZA"/>
    <x v="1"/>
    <s v="E"/>
    <n v="6756651"/>
    <n v="3"/>
    <s v="LUZVENIA DEL CARMEN FIGUEROA REPOL"/>
    <n v="1"/>
    <n v="227.73099999999999"/>
    <s v="27-02-2026"/>
    <n v="21"/>
    <n v="21"/>
    <n v="36"/>
    <s v="Dealer"/>
    <m/>
    <n v="24970"/>
    <n v="9568"/>
    <s v="NO"/>
    <d v="2024-01-04T00:00:00"/>
    <n v="717731"/>
    <s v="1,63"/>
    <m/>
    <m/>
    <m/>
    <s v="NO RECUPERADO"/>
    <n v="997201902"/>
    <m/>
    <m/>
    <s v="HJARAMILLOF@HOTMAIL.COM"/>
    <m/>
    <m/>
    <s v="ANGACHILLA"/>
    <m/>
    <s v="XIV REGION"/>
    <s v="C-837-2026"/>
    <s v="6º JUZGADO CIVIL DE SANTIAGO"/>
    <s v="INGRESADO"/>
    <s v="MANTIENE"/>
    <m/>
    <m/>
    <m/>
    <m/>
    <s v="NO"/>
    <s v="ACTIVO"/>
    <m/>
    <s v="MAXUS"/>
    <s v="T60  DCAB 4X4 2.8"/>
    <n v="2021"/>
  </r>
  <r>
    <n v="2949267"/>
    <n v="41"/>
    <n v="2"/>
    <n v="5511174"/>
    <m/>
    <s v="PHOENIX"/>
    <s v="JUDICIAL"/>
    <x v="4"/>
    <s v="31-60"/>
    <x v="1"/>
    <s v="COBRANZA"/>
    <x v="1"/>
    <s v="D"/>
    <n v="13531589"/>
    <n v="3"/>
    <s v="HERNAN ALEXIS LIQUITAY CORTES"/>
    <n v="1"/>
    <n v="213.089"/>
    <s v="25-03-2026"/>
    <n v="22"/>
    <n v="22"/>
    <n v="56"/>
    <s v="RENEGOCIADO"/>
    <m/>
    <n v="9288"/>
    <n v="0"/>
    <s v="NO"/>
    <d v="2024-01-04T00:00:00"/>
    <n v="435466"/>
    <s v="1,65"/>
    <m/>
    <m/>
    <s v="NO PREMIUM"/>
    <s v="NO RECUPERADO"/>
    <n v="987836130"/>
    <m/>
    <m/>
    <s v="H.LIQUITAY@HOTMAIL.COM"/>
    <m/>
    <m/>
    <s v="CORNELIO GUZMAN"/>
    <s v="VALLENAR"/>
    <s v="III REGION"/>
    <s v="C-3903-2025"/>
    <s v="13º Juzgado Civil de Santiago"/>
    <s v="EMBARGADO"/>
    <s v="MANTIENE"/>
    <m/>
    <m/>
    <m/>
    <m/>
    <s v="SI"/>
    <s v="ACTIVO"/>
    <m/>
    <s v="KIA"/>
    <s v="CERATO EX 1.6"/>
    <n v="2015"/>
  </r>
  <r>
    <n v="2949458"/>
    <n v="74"/>
    <n v="3"/>
    <n v="2997213"/>
    <m/>
    <s v="PHOENIX"/>
    <s v="JUDICIAL"/>
    <x v="12"/>
    <s v="61-90"/>
    <x v="1"/>
    <s v="COBRANZA"/>
    <x v="1"/>
    <s v="E"/>
    <n v="12175985"/>
    <n v="3"/>
    <s v="PAUL DENIS FRANCISCO  CABEZAS  LÓPEZ"/>
    <n v="1"/>
    <n v="300.18400000000003"/>
    <s v="20-02-2026"/>
    <n v="21"/>
    <n v="21"/>
    <n v="32"/>
    <s v="RENEGOCIADO"/>
    <m/>
    <n v="38822"/>
    <n v="0"/>
    <s v="NO"/>
    <d v="2024-02-04T00:00:00"/>
    <n v="939374"/>
    <s v="1,65"/>
    <m/>
    <m/>
    <m/>
    <s v="NO RECUPERADO"/>
    <n v="986885233"/>
    <m/>
    <m/>
    <s v="PAULK1972K@GMAIL.COM"/>
    <m/>
    <m/>
    <s v="PASAJE TRES PINOS 0368"/>
    <s v="PUENTE ALTO"/>
    <s v="REGION METROPOLITANA"/>
    <s v="C-2590-2025"/>
    <s v="5º Juzgado Civil de Santiago"/>
    <s v="EMBARGADO"/>
    <s v="MANTIENE"/>
    <m/>
    <m/>
    <m/>
    <m/>
    <s v="SI"/>
    <s v="ACTIVO"/>
    <m/>
    <s v="NISSAN"/>
    <s v="X-TRAIL SENSE CVT"/>
    <n v="2021"/>
  </r>
  <r>
    <n v="2951103"/>
    <n v="174"/>
    <n v="6"/>
    <n v="5700547"/>
    <m/>
    <s v="PHOENIX"/>
    <s v="JUDICIAL"/>
    <x v="10"/>
    <s v="151-180"/>
    <x v="1"/>
    <s v="COBRANZA"/>
    <x v="1"/>
    <s v="E"/>
    <n v="16374408"/>
    <n v="2"/>
    <s v="PEDRO ANTONIO MOLINEZ CONTRERAS"/>
    <n v="1"/>
    <n v="251.703"/>
    <d v="2025-12-11T00:00:00"/>
    <n v="18"/>
    <n v="18"/>
    <n v="45"/>
    <s v="Directo"/>
    <m/>
    <n v="123384"/>
    <n v="77834"/>
    <s v="NO"/>
    <s v="25-03-2024"/>
    <n v="1711436"/>
    <s v="1,3"/>
    <m/>
    <m/>
    <m/>
    <s v="NO RECUPERADO"/>
    <n v="956194118"/>
    <m/>
    <m/>
    <s v="PMOLINEZ@KOANDINA.COM"/>
    <m/>
    <m/>
    <s v="PASAJE VOLCAN APAGADO"/>
    <m/>
    <m/>
    <s v="C-5131-2026"/>
    <s v="10º Juzgado Civil de Santiago"/>
    <s v="NOTIFICADO"/>
    <s v="MANTIENE"/>
    <m/>
    <m/>
    <m/>
    <m/>
    <s v="SI"/>
    <s v="ACTIVO"/>
    <m/>
    <s v="JETOUR"/>
    <s v="X 70 1.5"/>
    <n v="2024"/>
  </r>
  <r>
    <n v="2957208"/>
    <n v="246"/>
    <n v="9"/>
    <n v="8030596"/>
    <m/>
    <s v="PHOENIX"/>
    <s v="JUDICIAL"/>
    <x v="14"/>
    <s v="241-270"/>
    <x v="1"/>
    <s v="COBRANZA"/>
    <x v="1"/>
    <s v="E"/>
    <n v="19634659"/>
    <n v="7"/>
    <s v="PAULINA ANDREA BALLADARES ESTOLAZA"/>
    <n v="1"/>
    <n v="351.31400000000002"/>
    <d v="2025-01-09T00:00:00"/>
    <n v="14"/>
    <n v="14"/>
    <n v="48"/>
    <s v="Dealer"/>
    <s v="DACIÓN"/>
    <n v="326805"/>
    <n v="0"/>
    <s v="NO"/>
    <d v="2024-09-04T00:00:00"/>
    <n v="3488631"/>
    <s v="2,46"/>
    <m/>
    <m/>
    <m/>
    <s v="NO RECUPERADO"/>
    <n v="946709261"/>
    <m/>
    <m/>
    <s v="pballadares@copec.cl"/>
    <m/>
    <m/>
    <s v="ESTACION DE LOS VIENTOS 289"/>
    <s v="ANTOFAGASTA"/>
    <s v="II REGION"/>
    <s v="C-840-2026"/>
    <s v="19º Juzgado Civil de Santiago"/>
    <s v="EMBARGADO"/>
    <s v="MANTIENE"/>
    <m/>
    <m/>
    <m/>
    <m/>
    <s v="SI"/>
    <s v="ACTIVO"/>
    <s v="TJXV53"/>
    <s v="DFM"/>
    <s v="AEOLUS GS CROSS"/>
    <n v="2024"/>
  </r>
  <r>
    <n v="2958755"/>
    <n v="212"/>
    <n v="8"/>
    <n v="8681348"/>
    <m/>
    <s v="PHOENIX"/>
    <s v="JUDICIAL"/>
    <x v="8"/>
    <s v="211-240"/>
    <x v="1"/>
    <s v="COBRANZA"/>
    <x v="1"/>
    <s v="E"/>
    <n v="16454072"/>
    <n v="3"/>
    <s v="CRISTIAN EDUARDO OVANDO SEPÚLVEDA"/>
    <n v="1"/>
    <n v="326.96899999999999"/>
    <d v="2025-05-10T00:00:00"/>
    <n v="16"/>
    <n v="16"/>
    <n v="49"/>
    <s v="AMICAR"/>
    <s v="DACIÓN"/>
    <n v="229124"/>
    <n v="117301"/>
    <s v="NO"/>
    <d v="2024-09-04T00:00:00"/>
    <n v="2962177"/>
    <s v="2,46"/>
    <m/>
    <m/>
    <m/>
    <s v="NO RECUPERADO"/>
    <n v="56946729744"/>
    <n v="946729744"/>
    <m/>
    <s v="vgomez@gamil.com"/>
    <m/>
    <m/>
    <s v="CALLE RIO MAULLIN PASAJE 7 N 1770"/>
    <s v="TALCA"/>
    <s v="VII REGION"/>
    <s v="C-3843-2026"/>
    <s v="25º JUZGADO CIVIL DE SANTIAGO"/>
    <s v="INGRESADO"/>
    <s v="MANTIENE"/>
    <m/>
    <m/>
    <m/>
    <m/>
    <s v="NO"/>
    <s v="ACTIVO"/>
    <s v="TJST63"/>
    <s v="JAC"/>
    <s v="JS4 MT 1.6"/>
    <n v="2024"/>
  </r>
  <r>
    <n v="2961244"/>
    <n v="89"/>
    <n v="4"/>
    <n v="5004489"/>
    <m/>
    <s v="PHOENIX"/>
    <s v="JUDICIAL"/>
    <x v="12"/>
    <s v="61-90"/>
    <x v="1"/>
    <s v="COBRANZA"/>
    <x v="1"/>
    <s v="E"/>
    <n v="16639466"/>
    <s v="K"/>
    <s v="ALICE CRISTIN ESPARZA MONJE"/>
    <n v="1"/>
    <n v="244.39599999999999"/>
    <d v="2026-05-02T00:00:00"/>
    <n v="20"/>
    <n v="20"/>
    <n v="48"/>
    <s v="AMICAR"/>
    <s v="DACIÓN"/>
    <n v="42143"/>
    <n v="58819"/>
    <s v="NO"/>
    <d v="2024-11-04T00:00:00"/>
    <n v="1078546"/>
    <s v="2,3"/>
    <m/>
    <m/>
    <m/>
    <s v="NO RECUPERADO"/>
    <n v="56974544771"/>
    <m/>
    <m/>
    <s v="alice.niss@gmail.com"/>
    <m/>
    <m/>
    <s v="ANAKENA 3511"/>
    <s v="PUENTE ALTO"/>
    <s v="REGION METROPOLITANA"/>
    <s v="C-5123-2026"/>
    <s v="7º Juzgado Civil de Santiago"/>
    <s v="INGRESADO"/>
    <s v="MANTIENE"/>
    <m/>
    <m/>
    <m/>
    <m/>
    <s v="NO"/>
    <s v="ACTIVO"/>
    <s v="TKCK83"/>
    <s v="SUZUKI"/>
    <s v="SWIFT GL 1.2"/>
    <n v="2024"/>
  </r>
  <r>
    <n v="2965293"/>
    <n v="56"/>
    <n v="2"/>
    <n v="8671422"/>
    <m/>
    <s v="PHOENIX"/>
    <s v="JUDICIAL"/>
    <x v="4"/>
    <s v="31-60"/>
    <x v="1"/>
    <s v="COBRANZA"/>
    <x v="1"/>
    <s v="E"/>
    <n v="9721000"/>
    <n v="4"/>
    <s v="ELENA TERCIRA RIVAS JIMÉNEZ"/>
    <n v="1"/>
    <n v="359.58800000000002"/>
    <d v="2026-10-03T00:00:00"/>
    <n v="21"/>
    <n v="21"/>
    <n v="52"/>
    <s v="RENEGOCIADO"/>
    <m/>
    <n v="22880"/>
    <n v="0"/>
    <s v="NO"/>
    <s v="15-04-2024"/>
    <n v="742056"/>
    <s v="1,65"/>
    <m/>
    <m/>
    <s v="NO PREMIUM"/>
    <s v="NO RECUPERADO"/>
    <n v="930966391"/>
    <m/>
    <n v="56974632080"/>
    <s v="NATYYPRIVAS@GMAIL.COM"/>
    <m/>
    <m/>
    <s v="LAS DALIAS"/>
    <m/>
    <m/>
    <s v="C-22164-2024"/>
    <s v="30º Juzgado Civil de Santiago"/>
    <s v="EMBARGADO"/>
    <s v="MANTIENE"/>
    <m/>
    <m/>
    <m/>
    <m/>
    <s v="SI"/>
    <s v="ACTIVO"/>
    <m/>
    <s v="HYUNDAI"/>
    <s v="NEW H1 GLS  2.5"/>
    <n v="2017"/>
  </r>
  <r>
    <n v="2966597"/>
    <n v="84"/>
    <n v="3"/>
    <n v="2905293"/>
    <m/>
    <s v="PHOENIX"/>
    <s v="JUDICIAL"/>
    <x v="12"/>
    <s v="61-90"/>
    <x v="1"/>
    <s v="COBRANZA"/>
    <x v="1"/>
    <s v="D"/>
    <n v="17415873"/>
    <n v="8"/>
    <s v="NICOL VANESSA RIVERA SANHUEZA"/>
    <n v="1"/>
    <n v="130.74199999999999"/>
    <d v="2026-10-02T00:00:00"/>
    <n v="20"/>
    <n v="20"/>
    <n v="46"/>
    <s v="RENEGOCIADO"/>
    <m/>
    <n v="19767"/>
    <n v="0"/>
    <s v="NO"/>
    <s v="17-04-2024"/>
    <n v="411993"/>
    <s v="1,2"/>
    <m/>
    <m/>
    <m/>
    <s v="NO RECUPERADO"/>
    <n v="932346178"/>
    <m/>
    <m/>
    <s v="NICOLE.V.RIVERAS31@GMAIL.COM"/>
    <m/>
    <m/>
    <s v="DIRIGENTE HECTOR CORDOVA BARRAZA"/>
    <s v="LA GRANJA"/>
    <s v="REGION METROPOLITANA"/>
    <s v="C-6729-2025"/>
    <s v="10º Juzgado Civil de Santiago"/>
    <s v="EMBARGADO"/>
    <s v="MANTIENE"/>
    <m/>
    <m/>
    <m/>
    <m/>
    <s v="SI"/>
    <s v="ACTIVO"/>
    <m/>
    <s v="HYUNDAI"/>
    <s v="VERNA"/>
    <n v="2021"/>
  </r>
  <r>
    <n v="2982296"/>
    <n v="275"/>
    <n v="10"/>
    <n v="11055466"/>
    <m/>
    <s v="PHOENIX"/>
    <s v="JUDICIAL"/>
    <x v="14"/>
    <s v="271-300"/>
    <x v="1"/>
    <s v="COBRANZA"/>
    <x v="1"/>
    <s v="E"/>
    <n v="7445898"/>
    <s v="K"/>
    <s v="TERESA DE JESÚS CAVADA VERGARA"/>
    <n v="1"/>
    <n v="397.75799999999998"/>
    <d v="2025-03-08T00:00:00"/>
    <n v="14"/>
    <n v="14"/>
    <n v="37"/>
    <s v="Dealer"/>
    <s v="DACIÓN"/>
    <n v="423567"/>
    <n v="0"/>
    <s v="NO"/>
    <s v="30-04-2024"/>
    <n v="4401147"/>
    <s v="2,3"/>
    <m/>
    <m/>
    <m/>
    <s v="NO RECUPERADO"/>
    <n v="56957515004"/>
    <m/>
    <m/>
    <s v="Perezcontrerask@gmail.com"/>
    <m/>
    <m/>
    <s v="Pasaje la barcasa 2256"/>
    <s v="SAN RAMON"/>
    <s v="REGION METROPOLITANA"/>
    <s v="C-17502-2025"/>
    <s v="7º Juzgado Civil de Santiago"/>
    <s v="EMBARGADO"/>
    <s v="MANTIENE"/>
    <m/>
    <m/>
    <m/>
    <m/>
    <s v="SI"/>
    <s v="ACTIVO"/>
    <s v="TKXS18"/>
    <s v="JETOUR"/>
    <s v="X70 PLUS 1.5 AT"/>
    <n v="2024"/>
  </r>
  <r>
    <n v="2993173"/>
    <n v="175"/>
    <n v="6"/>
    <n v="4482749"/>
    <m/>
    <s v="PHOENIX"/>
    <s v="JUDICIAL"/>
    <x v="10"/>
    <s v="151-180"/>
    <x v="1"/>
    <s v="COBRANZA"/>
    <x v="1"/>
    <s v="E"/>
    <n v="13217975"/>
    <n v="1"/>
    <s v="FERNANDO RAÚL FERNÁNDEZ ZAVALA"/>
    <n v="1"/>
    <n v="304.43299999999999"/>
    <d v="2025-11-11T00:00:00"/>
    <n v="17"/>
    <n v="17"/>
    <n v="36"/>
    <s v="Dealer"/>
    <s v="DACIÓN"/>
    <n v="164939"/>
    <n v="0"/>
    <s v="NO"/>
    <d v="2024-10-05T00:00:00"/>
    <n v="1991537"/>
    <s v="2,69"/>
    <m/>
    <m/>
    <m/>
    <s v="NO RECUPERADO"/>
    <n v="930659170"/>
    <m/>
    <m/>
    <s v="EMPRESASFERNANDEZZAVALA@HOTMAIL.COM"/>
    <m/>
    <m/>
    <s v="PUNTA ARENAS # 5938 POBL O HIGGINS"/>
    <s v="ANTOFAGASTA"/>
    <s v="II REGION"/>
    <s v="C-3853-2026"/>
    <s v="3º Juzgado Civil de Santiago"/>
    <s v="NOTIFICADO"/>
    <s v="MANTIENE"/>
    <m/>
    <m/>
    <m/>
    <m/>
    <s v="SI"/>
    <s v="ACTIVO"/>
    <s v="TJVV12"/>
    <s v="KYC"/>
    <s v="T3"/>
    <n v="2024"/>
  </r>
  <r>
    <n v="2999473"/>
    <n v="261"/>
    <n v="9"/>
    <n v="5722126"/>
    <m/>
    <s v="PHOENIX"/>
    <s v="JUDICIAL"/>
    <x v="14"/>
    <s v="241-270"/>
    <x v="1"/>
    <s v="COBRANZA"/>
    <x v="1"/>
    <s v="E"/>
    <n v="18114847"/>
    <n v="0"/>
    <s v="FRANCISCO ANDRÉS CARMONA SEPÚLVEDA"/>
    <n v="1"/>
    <n v="244.42599999999999"/>
    <s v="17-08-2025"/>
    <n v="14"/>
    <n v="14"/>
    <n v="48"/>
    <s v="Dealer"/>
    <s v="DACIÓN"/>
    <n v="276487"/>
    <n v="93727"/>
    <s v="NO"/>
    <s v="15-05-2024"/>
    <n v="2570048"/>
    <s v="2,3"/>
    <m/>
    <m/>
    <m/>
    <s v="NO RECUPERADO"/>
    <n v="973631813"/>
    <m/>
    <m/>
    <s v="psicologo.fcarmonas@gmail.com"/>
    <m/>
    <m/>
    <s v="DOCTOR JOHOW 630 DEPARTAMENTO 506"/>
    <s v="ÑUÑOA"/>
    <s v="REGION METROPOLITANA"/>
    <s v="C-17480-2025"/>
    <s v="5º Juzgado Civil de Santiago"/>
    <s v="INGRESADO"/>
    <s v="MANTIENE"/>
    <m/>
    <m/>
    <m/>
    <m/>
    <s v="NO"/>
    <s v="ACTIVO"/>
    <s v="KJHB74"/>
    <s v="SUZUKI"/>
    <s v="Baleno 1.4 GL HB MT"/>
    <n v="2018"/>
  </r>
  <r>
    <n v="3008575"/>
    <n v="193"/>
    <n v="7"/>
    <n v="5216887"/>
    <m/>
    <s v="PHOENIX"/>
    <s v="JUDICIAL"/>
    <x v="8"/>
    <s v="181-210"/>
    <x v="1"/>
    <s v="COBRANZA"/>
    <x v="1"/>
    <s v="E"/>
    <n v="15524527"/>
    <n v="1"/>
    <s v="GABRIEL ANTONIO BRAVO MARDONES"/>
    <n v="1"/>
    <n v="328.04599999999999"/>
    <s v="24-10-2025"/>
    <n v="16"/>
    <n v="16"/>
    <n v="36"/>
    <s v="Dealer"/>
    <m/>
    <n v="179789"/>
    <n v="0"/>
    <s v="NO"/>
    <s v="23-05-2024"/>
    <n v="2476111"/>
    <s v="2,29"/>
    <m/>
    <m/>
    <m/>
    <s v="NO RECUPERADO"/>
    <n v="986406518"/>
    <m/>
    <m/>
    <s v="bravo.gabriel223@gmail.com"/>
    <m/>
    <m/>
    <s v="LA PUNTA S/N POBL P JOSEFINOS"/>
    <s v="MOSTAZAL"/>
    <s v="VI REGION"/>
    <s v="C-17485-2025"/>
    <s v="8º Juzgado Civil de Santiago"/>
    <s v="EMBARGADO"/>
    <s v="MANTIENE"/>
    <m/>
    <m/>
    <m/>
    <m/>
    <s v="SI"/>
    <s v="ACTIVO"/>
    <s v="TFXV66"/>
    <s v="DONGFENG"/>
    <s v="DF 212 Plus Doble Cabina 1.6"/>
    <n v="2024"/>
  </r>
  <r>
    <n v="3008599"/>
    <n v="42"/>
    <n v="2"/>
    <n v="3470750"/>
    <m/>
    <s v="PHOENIX"/>
    <s v="JUDICIAL"/>
    <x v="4"/>
    <s v="31-60"/>
    <x v="1"/>
    <s v="COBRANZA"/>
    <x v="1"/>
    <s v="E"/>
    <n v="11885288"/>
    <n v="5"/>
    <s v="MARCO ANTONIO PEREIRA ROJAS"/>
    <n v="1"/>
    <n v="173.77699999999999"/>
    <s v="24-03-2026"/>
    <n v="21"/>
    <n v="21"/>
    <n v="48"/>
    <s v="Dealer"/>
    <s v="DACIÓN"/>
    <n v="8580"/>
    <n v="9568"/>
    <s v="NO"/>
    <s v="23-05-2024"/>
    <n v="365702"/>
    <s v="2,29"/>
    <m/>
    <m/>
    <s v="PREMIUM"/>
    <s v="NO RECUPERADO"/>
    <n v="987992662"/>
    <m/>
    <m/>
    <s v="MARCO.PERERIRA.R@GMAIL.COM"/>
    <m/>
    <m/>
    <s v="PASAJE LOS CIPRECES 12818"/>
    <s v="EL BOSQUE"/>
    <s v="REGION METROPOLITANA"/>
    <s v="C-9886-2025"/>
    <s v="12º Juzgado Civil de Santiago"/>
    <s v="INGRESADO"/>
    <s v="MANTIENE"/>
    <m/>
    <m/>
    <m/>
    <m/>
    <s v="NO"/>
    <s v="ACTIVO"/>
    <s v="LDBV13"/>
    <s v="GREAT WALL"/>
    <s v="3 LE 2.0"/>
    <n v="2019"/>
  </r>
  <r>
    <n v="3009851"/>
    <n v="223"/>
    <n v="8"/>
    <n v="4540534"/>
    <m/>
    <s v="PHOENIX"/>
    <s v="JUDICIAL"/>
    <x v="6"/>
    <s v="211-240"/>
    <x v="1"/>
    <s v="COBRANZA"/>
    <x v="1"/>
    <s v="E"/>
    <n v="11551056"/>
    <n v="8"/>
    <s v="JOSÉ ALFREDO SAN MARTÍN PINTO"/>
    <n v="1"/>
    <n v="197.565"/>
    <s v="24-09-2025"/>
    <n v="15"/>
    <n v="15"/>
    <n v="48"/>
    <s v="Dealer"/>
    <s v="DACIÓN"/>
    <n v="167076"/>
    <n v="80344"/>
    <s v="NO"/>
    <s v="24-05-2024"/>
    <n v="1827940"/>
    <s v="2,29"/>
    <m/>
    <m/>
    <m/>
    <s v="NO RECUPERADO"/>
    <n v="56983884033"/>
    <m/>
    <m/>
    <s v="jsanmartinp4@gmail.com"/>
    <m/>
    <m/>
    <s v="nataniel cox 820"/>
    <s v="SANTIAGO"/>
    <s v="REGION METROPOLITANA"/>
    <s v="C-835-2026"/>
    <s v="20º Juzgado Civil de Santiago"/>
    <s v="INGRESADO"/>
    <s v="MANTIENE"/>
    <m/>
    <m/>
    <m/>
    <m/>
    <s v="NO"/>
    <s v="ACTIVO"/>
    <s v="KSWK67"/>
    <s v="GREAT WALL"/>
    <s v="C30"/>
    <n v="2018"/>
  </r>
  <r>
    <n v="3010592"/>
    <n v="61"/>
    <n v="3"/>
    <n v="8615268"/>
    <m/>
    <s v="PHOENIX"/>
    <s v="JUDICIAL"/>
    <x v="4"/>
    <s v="61-90"/>
    <x v="1"/>
    <s v="COBRANZA"/>
    <x v="1"/>
    <s v="E"/>
    <n v="12827421"/>
    <n v="9"/>
    <s v="JUAN RUBEN LOPEZ ASTORGA"/>
    <n v="1"/>
    <n v="309.10599999999999"/>
    <d v="2026-05-03T00:00:00"/>
    <n v="20"/>
    <n v="20"/>
    <n v="49"/>
    <s v="AMICAR"/>
    <s v="DACIÓN"/>
    <n v="22177"/>
    <n v="58492"/>
    <s v="NO"/>
    <s v="22-05-2024"/>
    <n v="1007987"/>
    <s v="2,09"/>
    <m/>
    <m/>
    <s v="NO PREMIUM"/>
    <s v="NO RECUPERADO"/>
    <n v="56955240266"/>
    <m/>
    <m/>
    <s v="rubenka2005@gmail.com"/>
    <m/>
    <m/>
    <s v="AV. CIRCUNVALACION 1751 BLOCK 890 DPTO 102"/>
    <s v="MELIPILLA"/>
    <s v="REGION METROPOLITANA"/>
    <s v="C-17486-2025"/>
    <s v="14º Juzgado Civil de Santiago"/>
    <s v="INGRESADO"/>
    <s v="MANTIENE"/>
    <m/>
    <m/>
    <m/>
    <m/>
    <s v="NO"/>
    <s v="ACTIVO"/>
    <s v="TLYV34"/>
    <s v="CHANGAN"/>
    <s v="CS55 TURBO 1.5"/>
    <n v="2024"/>
  </r>
  <r>
    <n v="3014523"/>
    <n v="277"/>
    <n v="10"/>
    <n v="6447948"/>
    <m/>
    <s v="PHOENIX"/>
    <s v="JUDICIAL"/>
    <x v="13"/>
    <s v="271-300"/>
    <x v="1"/>
    <s v="COBRANZA"/>
    <x v="1"/>
    <s v="E"/>
    <n v="9880918"/>
    <s v="K"/>
    <s v="MANUEL FERMÍN VERGARA ZAMORANO"/>
    <n v="1"/>
    <n v="269.80799999999999"/>
    <d v="2025-01-08T00:00:00"/>
    <n v="13"/>
    <n v="13"/>
    <n v="48"/>
    <s v="Dealer"/>
    <s v="DACIÓN"/>
    <n v="276563"/>
    <n v="0"/>
    <s v="NO"/>
    <s v="28-05-2024"/>
    <n v="2974643"/>
    <s v="2,29"/>
    <m/>
    <m/>
    <m/>
    <s v="NO RECUPERADO"/>
    <n v="964130853"/>
    <m/>
    <m/>
    <s v="cristophervergara@gmail.com"/>
    <m/>
    <m/>
    <s v="pasaje 10 #8 Villa nuevo amanecer"/>
    <s v="PEÑALOLEN"/>
    <s v="REGION METROPOLITANA"/>
    <s v="C-17507-2025"/>
    <s v="19º Juzgado Civil de Santiago"/>
    <s v="NOTIFICADO"/>
    <s v="MANTIENE"/>
    <m/>
    <m/>
    <m/>
    <m/>
    <s v="SI"/>
    <s v="ACTIVO"/>
    <s v="TFYF61"/>
    <s v="FOTON"/>
    <s v="MIDI CABINA DOBLE 1.3"/>
    <n v="2024"/>
  </r>
  <r>
    <n v="3018067"/>
    <n v="93"/>
    <n v="4"/>
    <n v="7515545"/>
    <m/>
    <s v="PHOENIX"/>
    <s v="JUDICIAL"/>
    <x v="12"/>
    <s v="91-120"/>
    <x v="1"/>
    <s v="COBRANZA"/>
    <x v="1"/>
    <s v="D"/>
    <n v="7806553"/>
    <n v="2"/>
    <s v="PILAR ISABEL SEPÚLVEDA OLATE"/>
    <n v="1"/>
    <n v="357.51600000000002"/>
    <d v="2026-01-02T00:00:00"/>
    <n v="19"/>
    <n v="19"/>
    <n v="48"/>
    <s v="Dealer"/>
    <s v="DACIÓN"/>
    <n v="52649"/>
    <n v="0"/>
    <s v="NO"/>
    <s v="31-05-2024"/>
    <n v="1482713"/>
    <s v="2,29"/>
    <m/>
    <m/>
    <m/>
    <s v="NO RECUPERADO"/>
    <n v="991307898"/>
    <m/>
    <m/>
    <s v="branko.restovic.s@gmail.com"/>
    <m/>
    <m/>
    <s v="TERESA WILMS MONTT 2260 BALTICO EDIFICIO BALTICO DEPTO 2206"/>
    <s v="IQUIQUE"/>
    <s v="I REGION"/>
    <s v="C-5517-2025"/>
    <s v="30º Juzgado Civil de Santiago"/>
    <s v="EMBARGADO"/>
    <s v="MANTIENE"/>
    <m/>
    <m/>
    <m/>
    <m/>
    <s v="SI"/>
    <s v="ACTIVO"/>
    <s v="TGKY99"/>
    <s v="SSANGYONG"/>
    <s v="REXTON SPORT 2.2 AUT"/>
    <n v="2018"/>
  </r>
  <r>
    <n v="3019194"/>
    <n v="207"/>
    <n v="7"/>
    <n v="4340162"/>
    <m/>
    <s v="PHOENIX"/>
    <s v="JUDICIAL"/>
    <x v="8"/>
    <s v="181-210"/>
    <x v="1"/>
    <s v="COBRANZA"/>
    <x v="1"/>
    <s v="E"/>
    <n v="8261161"/>
    <n v="4"/>
    <s v="ROSA RAQUEL DE LOURDES VASQUEZ VASQUEZ"/>
    <n v="1"/>
    <n v="539.12099999999998"/>
    <d v="2025-10-10T00:00:00"/>
    <n v="15"/>
    <n v="15"/>
    <n v="24"/>
    <s v="AMICAR"/>
    <s v="DACIÓN"/>
    <n v="335804"/>
    <n v="211156"/>
    <s v="NO"/>
    <s v="31-05-2024"/>
    <n v="4320807"/>
    <s v="2,29"/>
    <m/>
    <m/>
    <m/>
    <s v="NO RECUPERADO"/>
    <n v="956539707"/>
    <m/>
    <m/>
    <s v="rosavasquezv@gmail.com"/>
    <m/>
    <m/>
    <s v="PUPELDE SN"/>
    <s v="ANCUD"/>
    <s v="X REGION"/>
    <s v="C-15746-2025"/>
    <s v="26º Juzgado Civil de Santiago"/>
    <s v="INGRESADO"/>
    <s v="MANTIENE"/>
    <m/>
    <m/>
    <m/>
    <m/>
    <s v="NO"/>
    <s v="ACTIVO"/>
    <s v="SZGZ41"/>
    <s v="JAC"/>
    <s v="JS4 1.5 LUXURY"/>
    <n v="2024"/>
  </r>
  <r>
    <n v="3029432"/>
    <n v="55"/>
    <n v="2"/>
    <n v="20775816"/>
    <m/>
    <s v="PHOENIX"/>
    <s v="JUDICIAL"/>
    <x v="4"/>
    <s v="31-60"/>
    <x v="1"/>
    <s v="COBRANZA"/>
    <x v="1"/>
    <s v="E"/>
    <n v="76966579"/>
    <s v="K"/>
    <s v="EMPRESA FUNERARIA Y CINERARIO RIQUELME MARLENE PADILLA SALAS E.I.R.L."/>
    <n v="0"/>
    <n v="798.62900000000002"/>
    <d v="2026-11-03T00:00:00"/>
    <n v="20"/>
    <n v="20"/>
    <n v="60"/>
    <s v="Dealer"/>
    <m/>
    <n v="49378"/>
    <n v="0"/>
    <s v="NO"/>
    <d v="2024-10-06T00:00:00"/>
    <n v="1646636"/>
    <s v="2,29"/>
    <m/>
    <m/>
    <s v="NO PREMIUM"/>
    <s v="NO RECUPERADO"/>
    <n v="944539100"/>
    <m/>
    <m/>
    <s v="rodrigo.1401@gmail.com"/>
    <m/>
    <m/>
    <s v="MANUEL ANTONIO MATTA 349"/>
    <s v="COINCO"/>
    <s v="VI REGION"/>
    <s v="C-834-2026"/>
    <s v="22º Juzgado Civil de Santiago"/>
    <s v="NOTIFICADO"/>
    <s v="MANTIENE"/>
    <m/>
    <m/>
    <m/>
    <m/>
    <s v="SI"/>
    <s v="ACTIVO"/>
    <s v="TFYC52"/>
    <s v="ZX AUTO"/>
    <s v="GRAND LION XL 4X4 AT"/>
    <n v="2024"/>
  </r>
  <r>
    <n v="3029842"/>
    <n v="216"/>
    <n v="8"/>
    <n v="7971470"/>
    <m/>
    <s v="PHOENIX"/>
    <s v="JUDICIAL"/>
    <x v="6"/>
    <s v="211-240"/>
    <x v="1"/>
    <s v="COBRANZA"/>
    <x v="1"/>
    <s v="E"/>
    <n v="12343606"/>
    <n v="7"/>
    <s v="JEANNETTE LUZ CARDENAS LAGOS"/>
    <n v="1"/>
    <n v="293.572"/>
    <d v="2025-01-10T00:00:00"/>
    <n v="14"/>
    <n v="14"/>
    <n v="37"/>
    <s v="AMICAR"/>
    <m/>
    <n v="198095"/>
    <n v="9568"/>
    <s v="NO"/>
    <d v="2024-03-06T00:00:00"/>
    <n v="2556239"/>
    <s v="2,09"/>
    <m/>
    <m/>
    <m/>
    <s v="NO RECUPERADO"/>
    <n v="56935899879"/>
    <m/>
    <m/>
    <s v="yariyvicente@gmail.com"/>
    <m/>
    <m/>
    <s v="VISTA DE PUERTO VARAS"/>
    <s v="PUERTO MONTT"/>
    <s v="X REGION"/>
    <s v="C-2257-2026"/>
    <s v="27º Juzgado Civil de Santiago"/>
    <s v="INGRESADO"/>
    <s v="MANTIENE"/>
    <m/>
    <m/>
    <m/>
    <m/>
    <s v="NO"/>
    <s v="ACTIVO"/>
    <m/>
    <s v="JAC (05)"/>
    <s v="JS4 1.6 COMFORT"/>
    <n v="0"/>
  </r>
  <r>
    <n v="3030656"/>
    <n v="327"/>
    <n v="11"/>
    <n v="2502387"/>
    <m/>
    <s v="PHOENIX"/>
    <s v="JUDICIAL"/>
    <x v="11"/>
    <s v="301-330"/>
    <x v="1"/>
    <s v="COBRANZA"/>
    <x v="1"/>
    <s v="E"/>
    <n v="76996041"/>
    <n v="4"/>
    <s v="COMERCIALIZADORA  GARCIA ROJAS SPA"/>
    <n v="0"/>
    <n v="230.50899999999999"/>
    <d v="2025-12-06T00:00:00"/>
    <n v="11"/>
    <n v="11"/>
    <n v="24"/>
    <s v="Dealer"/>
    <s v="DACIÓN"/>
    <n v="399602"/>
    <n v="89752"/>
    <s v="NO"/>
    <d v="2024-11-06T00:00:00"/>
    <n v="3024953"/>
    <s v="2,68"/>
    <m/>
    <m/>
    <m/>
    <s v="NO RECUPERADO"/>
    <n v="968658906"/>
    <m/>
    <m/>
    <s v="arturogarcia2022@gmail.com"/>
    <m/>
    <m/>
    <s v="ANTONIO LOPEZ DE BELLO 594"/>
    <s v="RECOLETA"/>
    <s v="REGION METROPOLITANA"/>
    <s v="C-6719-2025"/>
    <s v="1º Juzgado Civil de Santiago"/>
    <s v="INGRESADO"/>
    <s v="MANTIENE"/>
    <m/>
    <m/>
    <m/>
    <m/>
    <s v="NO"/>
    <s v="ACTIVO"/>
    <s v="SDDX44"/>
    <s v="MG"/>
    <s v="5 4X2 1.5"/>
    <n v="2022"/>
  </r>
  <r>
    <n v="3031321"/>
    <n v="119"/>
    <n v="4"/>
    <n v="10801272"/>
    <m/>
    <s v="PHOENIX"/>
    <s v="JUDICIAL"/>
    <x v="3"/>
    <s v="91-120"/>
    <x v="1"/>
    <s v="COBRANZA"/>
    <x v="1"/>
    <s v="E"/>
    <n v="15716409"/>
    <n v="0"/>
    <s v="PAMELA KATERIN MEDEL LIZANA"/>
    <n v="1"/>
    <n v="330.072"/>
    <d v="2026-06-01T00:00:00"/>
    <n v="17"/>
    <n v="17"/>
    <n v="64"/>
    <s v="RENEGOCIADO"/>
    <m/>
    <n v="75584"/>
    <n v="0"/>
    <s v="NO"/>
    <d v="2024-10-06T00:00:00"/>
    <n v="1395872"/>
    <s v="1,62"/>
    <m/>
    <m/>
    <m/>
    <s v="NO RECUPERADO"/>
    <n v="961710994"/>
    <m/>
    <m/>
    <s v="PKMEDEL@GMAIL.COM"/>
    <m/>
    <m/>
    <s v="AV MACUL"/>
    <s v="LA FLORIDA"/>
    <s v="REGION METROPOLITANA"/>
    <s v="C-15763-2025"/>
    <s v="15º Juzgado Civil de Santiago"/>
    <s v="EMBARGADO"/>
    <s v="MANTIENE"/>
    <m/>
    <m/>
    <m/>
    <m/>
    <s v="SI"/>
    <s v="ACTIVO"/>
    <m/>
    <s v="CHANGAN"/>
    <s v="NEW CS35 ELITE 1.4 AUT"/>
    <n v="2023"/>
  </r>
  <r>
    <n v="3033889"/>
    <n v="146"/>
    <n v="5"/>
    <n v="1884519"/>
    <m/>
    <s v="PHOENIX"/>
    <s v="JUDICIAL"/>
    <x v="9"/>
    <s v="121-150"/>
    <x v="1"/>
    <s v="COBRANZA"/>
    <x v="1"/>
    <s v="E"/>
    <n v="17440023"/>
    <n v="7"/>
    <s v="FRANCISCO JAVIER AYULEF LARA"/>
    <n v="1"/>
    <n v="116.027"/>
    <d v="2025-10-12T00:00:00"/>
    <n v="17"/>
    <n v="17"/>
    <n v="36"/>
    <s v="RENEGOCIADO"/>
    <m/>
    <n v="44894"/>
    <n v="21994"/>
    <s v="NO"/>
    <d v="2024-10-06T00:00:00"/>
    <n v="647023"/>
    <s v="1,62"/>
    <m/>
    <m/>
    <m/>
    <s v="NO RECUPERADO"/>
    <n v="945903279"/>
    <m/>
    <m/>
    <s v="JLARAFCO.1989@GMAIL.COM"/>
    <m/>
    <m/>
    <s v="FRESIA"/>
    <s v="CURARREHUE"/>
    <s v="IX REGION"/>
    <s v="C-15763-2025"/>
    <s v="21º JUZGADO CIVIL DE SANTIAGO"/>
    <s v="INGRESADO"/>
    <s v="MANTIENE"/>
    <m/>
    <m/>
    <m/>
    <m/>
    <s v="NO"/>
    <s v="ACTIVO"/>
    <m/>
    <s v="GREAT WALL"/>
    <s v="C30.1.5"/>
    <n v="2021"/>
  </r>
  <r>
    <n v="3057949"/>
    <n v="146"/>
    <n v="5"/>
    <n v="8016985"/>
    <m/>
    <s v="PHOENIX"/>
    <s v="JUDICIAL"/>
    <x v="9"/>
    <s v="121-150"/>
    <x v="1"/>
    <s v="COBRANZA"/>
    <x v="1"/>
    <s v="E"/>
    <n v="21102950"/>
    <n v="1"/>
    <s v="MARIA FERNANDA RIOS A"/>
    <n v="1"/>
    <n v="256.20400000000001"/>
    <d v="2025-10-12T00:00:00"/>
    <n v="16"/>
    <n v="16"/>
    <n v="60"/>
    <s v="RENEGOCIADO"/>
    <m/>
    <n v="83184"/>
    <n v="0"/>
    <s v="NO"/>
    <d v="2024-01-07T00:00:00"/>
    <n v="1364204"/>
    <s v="1,62"/>
    <m/>
    <m/>
    <m/>
    <s v="NO RECUPERADO"/>
    <n v="926252795"/>
    <m/>
    <m/>
    <s v="MARIAFERNANDARIOSABOGADA@GMAIL.COM"/>
    <m/>
    <m/>
    <s v="MONTE ACONCAGUA"/>
    <m/>
    <m/>
    <s v="C-3917-2025"/>
    <s v="8º Juzgado Civil de Santiago"/>
    <s v="EMBARGADO"/>
    <s v="MANTIENE"/>
    <m/>
    <m/>
    <m/>
    <m/>
    <s v="SI"/>
    <s v="ACTIVO"/>
    <m/>
    <s v="SUZUKI"/>
    <s v="NEW BALENO GLS HB 1.5 AUT"/>
    <n v="2023"/>
  </r>
  <r>
    <n v="3074092"/>
    <n v="304"/>
    <n v="11"/>
    <n v="3372805"/>
    <m/>
    <s v="PHOENIX"/>
    <s v="JUDICIAL"/>
    <x v="13"/>
    <s v="301-330"/>
    <x v="1"/>
    <s v="COBRANZA"/>
    <x v="1"/>
    <s v="E"/>
    <n v="16799426"/>
    <n v="1"/>
    <s v="NICOLE MACARENA YAÑEZ TAJAN"/>
    <n v="1"/>
    <n v="123.10299999999999"/>
    <d v="2025-05-07T00:00:00"/>
    <n v="10"/>
    <n v="10"/>
    <n v="48"/>
    <s v="AMICAR"/>
    <m/>
    <n v="183627"/>
    <n v="0"/>
    <s v="NO"/>
    <s v="13-07-2024"/>
    <n v="1537760"/>
    <s v="1,79"/>
    <m/>
    <m/>
    <m/>
    <s v="NO RECUPERADO"/>
    <n v="951037448"/>
    <m/>
    <m/>
    <s v="nico.yanez.t@hotmail.com"/>
    <m/>
    <m/>
    <s v="AVENIDA MARATHON 1551"/>
    <s v="SANTIAGO"/>
    <s v="REGION METROPOLITANA"/>
    <s v="C-15755-2025"/>
    <s v="16º Juzgado Civil de Santiago"/>
    <s v="EMBARGADO"/>
    <s v="MANTIENE"/>
    <m/>
    <m/>
    <m/>
    <m/>
    <s v="SI"/>
    <s v="ACTIVO"/>
    <m/>
    <s v="BAIC"/>
    <s v="X25"/>
    <n v="0"/>
  </r>
  <r>
    <n v="3075097"/>
    <n v="146"/>
    <n v="5"/>
    <n v="4812198"/>
    <m/>
    <s v="PHOENIX"/>
    <s v="JUDICIAL"/>
    <x v="9"/>
    <s v="121-150"/>
    <x v="1"/>
    <s v="COBRANZA"/>
    <x v="1"/>
    <s v="E"/>
    <n v="18738780"/>
    <n v="9"/>
    <s v="TANIA FRANCHESCA JARA MARDONES"/>
    <n v="1"/>
    <n v="170.58099999999999"/>
    <d v="2025-10-12T00:00:00"/>
    <n v="15"/>
    <n v="15"/>
    <n v="53"/>
    <s v="RENEGOCIADO"/>
    <m/>
    <n v="64490"/>
    <n v="0"/>
    <s v="NO"/>
    <s v="17-07-2024"/>
    <n v="917395"/>
    <s v="1,62"/>
    <m/>
    <m/>
    <m/>
    <s v="NO RECUPERADO"/>
    <n v="950657038"/>
    <m/>
    <m/>
    <s v="TANIA.JARA6@GMAIL.COM"/>
    <m/>
    <m/>
    <s v="PALMA REAL"/>
    <m/>
    <m/>
    <s v="C-5507-2025"/>
    <s v="29º Juzgado Civil de Santiago"/>
    <s v="EMBARGADO"/>
    <s v="MANTIENE"/>
    <m/>
    <m/>
    <m/>
    <m/>
    <s v="SI"/>
    <s v="ACTIVO"/>
    <m/>
    <s v="KIA"/>
    <s v="CERATO 5 SX 1.6"/>
    <n v="2017"/>
  </r>
  <r>
    <n v="3076729"/>
    <n v="151"/>
    <n v="6"/>
    <n v="7426201"/>
    <m/>
    <s v="PHOENIX"/>
    <s v="JUDICIAL"/>
    <x v="9"/>
    <s v="151-180"/>
    <x v="1"/>
    <s v="COBRANZA"/>
    <x v="1"/>
    <s v="E"/>
    <n v="12676915"/>
    <n v="6"/>
    <s v="FRANCISCO JAVIER CHAVEZ FLORES"/>
    <n v="1"/>
    <n v="318.416"/>
    <d v="2025-05-12T00:00:00"/>
    <n v="15"/>
    <n v="15"/>
    <n v="48"/>
    <s v="Dealer"/>
    <s v="DACIÓN"/>
    <n v="106588"/>
    <n v="114859"/>
    <s v="NO"/>
    <s v="19-07-2024"/>
    <n v="2131943"/>
    <s v="2,19"/>
    <m/>
    <m/>
    <m/>
    <s v="NO RECUPERADO"/>
    <n v="933448215"/>
    <m/>
    <m/>
    <s v="cobreloinosiempre@gmail.com"/>
    <m/>
    <m/>
    <s v="PASAJE ALEJANDRO GALAZ 1365"/>
    <s v="PUDAHUEL"/>
    <s v="REGION METROPOLITANA"/>
    <s v="C-5132-2026"/>
    <s v="17º Juzgado Civil de Santiago"/>
    <s v="INGRESADO"/>
    <s v="MANTIENE"/>
    <m/>
    <m/>
    <m/>
    <m/>
    <s v="NO"/>
    <s v="ACTIVO"/>
    <s v="TPYL98"/>
    <s v="DFM"/>
    <s v="T5 1.6 MT"/>
    <n v="2024"/>
  </r>
  <r>
    <n v="3089537"/>
    <n v="51"/>
    <n v="2"/>
    <n v="7669417"/>
    <m/>
    <s v="PHOENIX"/>
    <s v="JUDICIAL"/>
    <x v="4"/>
    <s v="31-60"/>
    <x v="1"/>
    <s v="COBRANZA"/>
    <x v="1"/>
    <s v="E"/>
    <n v="14530681"/>
    <n v="7"/>
    <s v="INGRID ALEJANDRA SANDOVAL MARDONES"/>
    <n v="1"/>
    <n v="322.279"/>
    <s v="15-03-2026"/>
    <n v="18"/>
    <n v="18"/>
    <n v="34"/>
    <s v="Directo"/>
    <m/>
    <n v="17232"/>
    <n v="0"/>
    <s v="NO"/>
    <s v="24-07-2024"/>
    <n v="661790"/>
    <s v="1,7"/>
    <m/>
    <m/>
    <s v="NO PREMIUM"/>
    <s v="NO RECUPERADO"/>
    <n v="971387834"/>
    <m/>
    <m/>
    <s v="IASM1977@HOTMAIL.COM"/>
    <m/>
    <m/>
    <s v="PASAJE"/>
    <s v="LA FLORIDA"/>
    <s v="REGION METROPOLITANA"/>
    <s v="C-13000-2025"/>
    <s v="23º Juzgado Civil de Santiago"/>
    <s v="NOTIFICADO"/>
    <s v="MANTIENE"/>
    <m/>
    <m/>
    <m/>
    <m/>
    <s v="SI"/>
    <s v="ACTIVO"/>
    <m/>
    <s v="HYUNDAI"/>
    <s v="VENUE"/>
    <n v="2023"/>
  </r>
  <r>
    <n v="3091163"/>
    <n v="64"/>
    <n v="3"/>
    <n v="8634921"/>
    <m/>
    <s v="PHOENIX"/>
    <s v="JUDICIAL"/>
    <x v="4"/>
    <s v="61-90"/>
    <x v="1"/>
    <s v="COBRANZA"/>
    <x v="1"/>
    <s v="E"/>
    <n v="16249000"/>
    <n v="1"/>
    <s v="SUSANA ANDREA SOTO DÍAZ"/>
    <n v="1"/>
    <n v="316.53399999999999"/>
    <d v="2026-02-03T00:00:00"/>
    <n v="18"/>
    <n v="18"/>
    <n v="60"/>
    <s v="Dealer"/>
    <s v="DACIÓN"/>
    <n v="23045"/>
    <n v="59552"/>
    <s v="NO"/>
    <s v="31-07-2024"/>
    <n v="1032199"/>
    <s v="2,19"/>
    <m/>
    <m/>
    <s v="NO PREMIUM"/>
    <s v="NO RECUPERADO"/>
    <m/>
    <m/>
    <m/>
    <s v="ignamosoli220380@gmail.com"/>
    <m/>
    <m/>
    <s v="ESTACION ALGARROBAL 6517 VILLA PAIPOTE"/>
    <s v="COPIAPO"/>
    <s v="III REGION"/>
    <s v="C-17473-2025"/>
    <s v="25º JUZGADO CIVIL DE SANTIAGO"/>
    <s v="INGRESADO"/>
    <s v="MANTIENE"/>
    <m/>
    <m/>
    <m/>
    <m/>
    <s v="NO"/>
    <s v="ACTIVO"/>
    <s v="SRBK91"/>
    <s v="JAC"/>
    <s v="JS8 LUXURY 1.5"/>
    <n v="2023"/>
  </r>
  <r>
    <n v="3092244"/>
    <n v="171"/>
    <n v="6"/>
    <n v="3199825"/>
    <m/>
    <s v="PHOENIX"/>
    <s v="JUDICIAL"/>
    <x v="10"/>
    <s v="151-180"/>
    <x v="1"/>
    <s v="COBRANZA"/>
    <x v="1"/>
    <s v="E"/>
    <n v="8667400"/>
    <n v="9"/>
    <s v="JOSÉ LUIS  ARENAS  HERRERA"/>
    <n v="1"/>
    <n v="183.023"/>
    <s v="15-11-2025"/>
    <n v="14"/>
    <n v="14"/>
    <n v="35"/>
    <s v="RENEGOCIADO"/>
    <m/>
    <n v="92793"/>
    <n v="89258"/>
    <s v="NO"/>
    <d v="2024-01-08T00:00:00"/>
    <n v="1280189"/>
    <s v="1,73"/>
    <m/>
    <m/>
    <m/>
    <s v="NO RECUPERADO"/>
    <n v="942903047"/>
    <n v="942903047"/>
    <m/>
    <s v="YENINNICOLE@GMAIL.COM"/>
    <m/>
    <m/>
    <s v="CALLE PRINCIPAL N°45, POBLACIÓN LOURDES"/>
    <s v="VIÑA DEL MAR"/>
    <s v="V REGION"/>
    <s v="C-3905-2026"/>
    <s v="20º Juzgado Civil de Santiago"/>
    <s v="INGRESADO"/>
    <s v="MANTIENE"/>
    <m/>
    <m/>
    <m/>
    <m/>
    <s v="NO"/>
    <s v="ACTIVO"/>
    <m/>
    <s v="NISSAN"/>
    <s v="NEW VERSA SENSE MT"/>
    <n v="2022"/>
  </r>
  <r>
    <n v="3102979"/>
    <n v="93"/>
    <n v="4"/>
    <n v="7415152"/>
    <m/>
    <s v="PHOENIX"/>
    <s v="JUDICIAL"/>
    <x v="12"/>
    <s v="91-120"/>
    <x v="1"/>
    <s v="COBRANZA"/>
    <x v="1"/>
    <s v="E"/>
    <n v="25491462"/>
    <n v="2"/>
    <s v="MARIANTONIETA ZUBILLAGA CACERES"/>
    <n v="1"/>
    <n v="324.755"/>
    <d v="2026-01-02T00:00:00"/>
    <n v="16"/>
    <n v="16"/>
    <n v="48"/>
    <s v="Dealer"/>
    <m/>
    <n v="47575"/>
    <n v="0"/>
    <s v="NO"/>
    <d v="2024-10-08T00:00:00"/>
    <n v="1346595"/>
    <s v="2,19"/>
    <m/>
    <m/>
    <m/>
    <s v="NO RECUPERADO"/>
    <n v="998517025"/>
    <m/>
    <m/>
    <s v="Od.mzubillaga@gmail.com"/>
    <m/>
    <m/>
    <s v="Condell 650, departamento 1006"/>
    <s v="PROVIDENCIA"/>
    <s v="REGION METROPOLITANA"/>
    <s v="C-6728-2025"/>
    <s v="14º Juzgado Civil de Santiago"/>
    <s v="EMBARGADO"/>
    <s v="MANTIENE"/>
    <m/>
    <m/>
    <m/>
    <m/>
    <s v="SI"/>
    <s v="ACTIVO"/>
    <s v="SVPY49"/>
    <s v="KYC"/>
    <s v="MAMUT CARGO V5"/>
    <n v="2024"/>
  </r>
  <r>
    <n v="3105588"/>
    <n v="271"/>
    <n v="9"/>
    <n v="8346649"/>
    <m/>
    <s v="PHOENIX"/>
    <s v="JUDICIAL"/>
    <x v="14"/>
    <s v="271-300"/>
    <x v="1"/>
    <s v="COBRANZA"/>
    <x v="1"/>
    <s v="E"/>
    <n v="16709594"/>
    <n v="1"/>
    <s v="VICTOR ISMAEL DIAZ RIQUELME"/>
    <n v="1"/>
    <n v="325.83999999999997"/>
    <d v="2025-07-08T00:00:00"/>
    <n v="10"/>
    <n v="10"/>
    <n v="48"/>
    <s v="AMICAR"/>
    <m/>
    <n v="322211"/>
    <n v="0"/>
    <s v="NO"/>
    <d v="2024-07-08T00:00:00"/>
    <n v="3254771"/>
    <s v="2,19"/>
    <m/>
    <m/>
    <m/>
    <s v="NO RECUPERADO"/>
    <n v="954517916"/>
    <m/>
    <m/>
    <s v="victor.ismael.diaz@gmail.com"/>
    <m/>
    <m/>
    <s v="ROSALBA PEREIRA SUR CASA 115"/>
    <s v="BUIN"/>
    <s v="REGION METROPOLITANA"/>
    <s v="C-17485-2025"/>
    <s v="3º Juzgado Civil de Santiago"/>
    <s v="EMBARGADO"/>
    <s v="MANTIENE"/>
    <m/>
    <m/>
    <m/>
    <m/>
    <s v="SI"/>
    <s v="ACTIVO"/>
    <m/>
    <s v="HAVAL"/>
    <s v="HAVAL JOLION 1.5T MT 4X2 ELITE"/>
    <n v="0"/>
  </r>
  <r>
    <n v="3106371"/>
    <n v="293"/>
    <n v="10"/>
    <n v="12635401"/>
    <m/>
    <s v="PHOENIX"/>
    <s v="JUDICIAL"/>
    <x v="13"/>
    <s v="271-300"/>
    <x v="1"/>
    <s v="COBRANZA"/>
    <x v="1"/>
    <s v="E"/>
    <n v="13401628"/>
    <n v="0"/>
    <s v="LUIS ALBERTO BARRÍA TRIVIÑO"/>
    <n v="1"/>
    <n v="493.26799999999997"/>
    <s v="16-07-2025"/>
    <n v="10"/>
    <n v="10"/>
    <n v="48"/>
    <s v="Dealer"/>
    <s v="DACIÓN"/>
    <n v="564736"/>
    <n v="164796"/>
    <s v="NO"/>
    <s v="13-08-2024"/>
    <n v="5662212"/>
    <s v="2,19"/>
    <m/>
    <m/>
    <m/>
    <s v="NO RECUPERADO"/>
    <n v="993116680"/>
    <m/>
    <m/>
    <s v="luisalbertobarria@hotmail.com"/>
    <m/>
    <m/>
    <s v="OHIGGINS 302"/>
    <s v="PAILLACO"/>
    <s v="XIV REGION"/>
    <s v="C-15752-2025"/>
    <s v="15º Juzgado Civil de Santiago"/>
    <s v="INGRESADO"/>
    <s v="MANTIENE"/>
    <m/>
    <m/>
    <m/>
    <m/>
    <s v="NO"/>
    <s v="ACTIVO"/>
    <s v="TRVB80"/>
    <s v="FOTON"/>
    <s v="G7 2.0L MT 4X4 E6 LITE"/>
    <n v="2024"/>
  </r>
  <r>
    <n v="3115354"/>
    <n v="315"/>
    <n v="11"/>
    <n v="9746584"/>
    <m/>
    <s v="PHOENIX"/>
    <s v="JUDICIAL"/>
    <x v="11"/>
    <s v="301-330"/>
    <x v="1"/>
    <s v="COBRANZA"/>
    <x v="1"/>
    <s v="E"/>
    <n v="13246307"/>
    <n v="7"/>
    <s v="EDISON FABIÁN CARRERA GUTIÉRREZ"/>
    <n v="1"/>
    <n v="374.21699999999998"/>
    <s v="24-06-2025"/>
    <n v="9"/>
    <n v="9"/>
    <n v="48"/>
    <s v="Dealer"/>
    <s v="DACIÓN"/>
    <n v="493127"/>
    <n v="0"/>
    <s v="NO"/>
    <s v="19-08-2024"/>
    <n v="4609514"/>
    <s v="2,19"/>
    <m/>
    <m/>
    <m/>
    <s v="NO RECUPERADO"/>
    <n v="956503014"/>
    <m/>
    <m/>
    <s v="Efcarrerag@gmail.co"/>
    <m/>
    <m/>
    <s v="EL PIDEN 4 A"/>
    <s v="EL TABO"/>
    <s v="V REGION"/>
    <s v="C-9882-2025"/>
    <s v="10º Juzgado Civil de Santiago"/>
    <s v="EMBARGADO"/>
    <s v="MANTIENE"/>
    <m/>
    <m/>
    <m/>
    <m/>
    <s v="SI"/>
    <s v="ACTIVO"/>
    <s v="TRXV71"/>
    <s v="FOTON"/>
    <s v="TM5 CABINA SIMPLE 1.6 EURO VI"/>
    <n v="2024"/>
  </r>
  <r>
    <n v="3124170"/>
    <n v="338"/>
    <n v="12"/>
    <n v="7233742"/>
    <m/>
    <s v="PHOENIX"/>
    <s v="JUDICIAL"/>
    <x v="7"/>
    <s v="331-360"/>
    <x v="1"/>
    <s v="COBRANZA"/>
    <x v="1"/>
    <s v="E"/>
    <n v="16695588"/>
    <n v="2"/>
    <s v="MARCO ANTONIO DÍAZ MACÍAS"/>
    <n v="1"/>
    <n v="234.404"/>
    <d v="2025-01-06T00:00:00"/>
    <n v="8"/>
    <n v="8"/>
    <n v="60"/>
    <s v="Dealer"/>
    <s v="DACIÓN"/>
    <n v="353183"/>
    <n v="0"/>
    <s v="NO"/>
    <s v="26-08-2024"/>
    <n v="3166031"/>
    <s v="2,19"/>
    <m/>
    <m/>
    <m/>
    <s v="NO RECUPERADO"/>
    <n v="935923838"/>
    <m/>
    <m/>
    <s v="marc30hija@gmail.com"/>
    <m/>
    <m/>
    <s v="PJE. CACHAPOAL 0222"/>
    <s v="PUENTE ALTO"/>
    <s v="REGION METROPOLITANA"/>
    <s v="C-14233-2025"/>
    <s v="24º Juzgado Civil de Santiago"/>
    <s v="EMBARGADO"/>
    <s v="MANTIENE"/>
    <m/>
    <m/>
    <m/>
    <m/>
    <s v="SI"/>
    <s v="ACTIVO"/>
    <s v="TRLZ18"/>
    <s v="DFLM"/>
    <s v="AEOLUS Y3 AT COMFORT"/>
    <n v="2024"/>
  </r>
  <r>
    <n v="3126130"/>
    <n v="193"/>
    <n v="7"/>
    <n v="9364281"/>
    <m/>
    <s v="PHOENIX"/>
    <s v="JUDICIAL"/>
    <x v="8"/>
    <s v="181-210"/>
    <x v="1"/>
    <s v="COBRANZA"/>
    <x v="1"/>
    <s v="E"/>
    <n v="7696162"/>
    <s v="K"/>
    <s v="JORGE ENRIQUE RAMON TERRISSE CASTRO"/>
    <n v="1"/>
    <n v="516.96900000000005"/>
    <s v="24-10-2025"/>
    <n v="13"/>
    <n v="13"/>
    <n v="36"/>
    <s v="AMICAR"/>
    <m/>
    <n v="271889"/>
    <n v="187955"/>
    <s v="NO"/>
    <s v="24-08-2024"/>
    <n v="4078627"/>
    <s v="2,09"/>
    <m/>
    <m/>
    <m/>
    <s v="NO RECUPERADO"/>
    <n v="56998171180"/>
    <m/>
    <m/>
    <s v="jterrisse@gmail.com"/>
    <m/>
    <m/>
    <s v="ANDORRA 6635"/>
    <s v="LAS CONDES"/>
    <s v="REGION METROPOLITANA"/>
    <s v="C-3852-2026"/>
    <s v="20º Juzgado Civil de Santiago"/>
    <s v="INGRESADO"/>
    <s v="MANTIENE"/>
    <m/>
    <m/>
    <m/>
    <m/>
    <s v="NO"/>
    <s v="ACTIVO"/>
    <m/>
    <s v="SUZUKI"/>
    <s v="SWIFT 1.4 DIT AT SPORT"/>
    <n v="0"/>
  </r>
  <r>
    <n v="3128019"/>
    <n v="40"/>
    <n v="2"/>
    <n v="7784064"/>
    <m/>
    <s v="PHOENIX"/>
    <s v="JUDICIAL"/>
    <x v="4"/>
    <s v="31-60"/>
    <x v="1"/>
    <s v="COBRANZA"/>
    <x v="1"/>
    <s v="D"/>
    <n v="17376853"/>
    <n v="2"/>
    <s v="FRANCISCA KARINA LINEROS GARRIDO"/>
    <n v="1"/>
    <n v="371.06799999999998"/>
    <s v="26-03-2026"/>
    <n v="17"/>
    <n v="17"/>
    <n v="43"/>
    <s v="RENEGOCIADO"/>
    <m/>
    <n v="13862"/>
    <n v="0"/>
    <s v="NO"/>
    <s v="28-08-2024"/>
    <n v="755998"/>
    <s v="1,66"/>
    <m/>
    <m/>
    <s v="NO PREMIUM"/>
    <s v="NO RECUPERADO"/>
    <n v="989664757"/>
    <m/>
    <m/>
    <s v="FRANCISCA.LINEROSG@GMAIL.COM"/>
    <m/>
    <m/>
    <s v="MINERALES SUR"/>
    <s v="RECOLETA"/>
    <s v="REGION METROPOLITANA"/>
    <s v="C-5511-2025"/>
    <s v="20º Juzgado Civil de Santiago"/>
    <s v="EMBARGADO"/>
    <s v="MANTIENE"/>
    <m/>
    <m/>
    <m/>
    <m/>
    <s v="SI"/>
    <s v="ACTIVO"/>
    <m/>
    <s v="CHEVROLET"/>
    <s v="TRACKER 1.2T AUT"/>
    <n v="2022"/>
  </r>
  <r>
    <n v="3129282"/>
    <n v="272"/>
    <n v="9"/>
    <n v="8502503"/>
    <m/>
    <s v="PHOENIX"/>
    <s v="JUDICIAL"/>
    <x v="14"/>
    <s v="271-300"/>
    <x v="1"/>
    <s v="COBRANZA"/>
    <x v="1"/>
    <s v="E"/>
    <n v="18925863"/>
    <n v="1"/>
    <s v="FRANCO INFANTE BASTIAS"/>
    <n v="1"/>
    <n v="307.83100000000002"/>
    <d v="2025-06-08T00:00:00"/>
    <n v="10"/>
    <n v="10"/>
    <n v="37"/>
    <s v="AMICAR"/>
    <m/>
    <n v="306432"/>
    <n v="0"/>
    <s v="NO"/>
    <s v="23-08-2024"/>
    <n v="3076911"/>
    <s v="2,19"/>
    <m/>
    <m/>
    <m/>
    <s v="NO RECUPERADO"/>
    <n v="953672598"/>
    <m/>
    <m/>
    <s v="f.infanteb@hotmail.com"/>
    <m/>
    <m/>
    <s v="PORTUGAL 810 P21 DEPTO 2101"/>
    <s v="SANTIAGO"/>
    <s v="REGION METROPOLITANA"/>
    <s v="C-15745-2025"/>
    <s v="25º JUZGADO CIVIL DE SANTIAGO"/>
    <s v="EMBARGADO"/>
    <s v="MANTIENE"/>
    <m/>
    <m/>
    <m/>
    <m/>
    <s v="SI"/>
    <s v="ACTIVO"/>
    <m/>
    <s v="SUZUKI"/>
    <s v="SWIFT 1.2 GL SPORT"/>
    <n v="0"/>
  </r>
  <r>
    <n v="3142604"/>
    <n v="0"/>
    <m/>
    <n v="8487006"/>
    <m/>
    <s v="PHOENIX"/>
    <s v="JUDICIAL"/>
    <x v="15"/>
    <s v="361-390"/>
    <x v="1"/>
    <s v="COBRANZA"/>
    <x v="1"/>
    <s v="E"/>
    <n v="18455951"/>
    <s v="K"/>
    <s v="BASTIÁN ALEXIS LARA MANRÍQUEZ"/>
    <n v="1"/>
    <n v="388.916"/>
    <m/>
    <m/>
    <n v="6"/>
    <m/>
    <s v="Dealer"/>
    <m/>
    <n v="0"/>
    <n v="0"/>
    <s v="NO"/>
    <m/>
    <n v="0"/>
    <m/>
    <m/>
    <m/>
    <m/>
    <s v="CASTIGO"/>
    <n v="975216849"/>
    <m/>
    <m/>
    <s v="Bastian.lara.manriquez@gmail.com"/>
    <m/>
    <m/>
    <s v="CAMINO LA VARA 02290"/>
    <s v="SAN BERNARDO"/>
    <s v="REGION METROPOLITANA"/>
    <s v="C-13005-2025"/>
    <s v="16º Juzgado Civil de Santiago"/>
    <s v="INGRESADO"/>
    <s v="MANTIENE"/>
    <m/>
    <m/>
    <m/>
    <m/>
    <s v="NO"/>
    <s v="ACTIVO"/>
    <s v="TSRD53"/>
    <s v="FOTON"/>
    <s v="TM5 DOBLE CABINA"/>
    <n v="2025"/>
  </r>
  <r>
    <n v="3152876"/>
    <n v="285"/>
    <n v="10"/>
    <n v="7864849"/>
    <m/>
    <s v="PHOENIX"/>
    <s v="JUDICIAL"/>
    <x v="13"/>
    <s v="271-300"/>
    <x v="1"/>
    <s v="COBRANZA"/>
    <x v="1"/>
    <s v="E"/>
    <n v="16802599"/>
    <n v="8"/>
    <s v="EDER AARON PINCHEIRA JERIA"/>
    <n v="1"/>
    <n v="386.52600000000001"/>
    <s v="24-07-2025"/>
    <n v="9"/>
    <n v="9"/>
    <n v="36"/>
    <s v="Dealer"/>
    <s v="DACIÓN"/>
    <n v="496134"/>
    <n v="134311"/>
    <s v="NO"/>
    <s v="23-09-2024"/>
    <n v="4495705"/>
    <s v="2,14"/>
    <m/>
    <m/>
    <m/>
    <s v="NO RECUPERADO"/>
    <n v="981839900"/>
    <m/>
    <m/>
    <s v="Pincheira_live@hotmail.com"/>
    <m/>
    <m/>
    <s v="MARCELINO CHAMPAGNAT 308 D"/>
    <s v="LOS ANDES"/>
    <s v="V REGION"/>
    <s v="C-15754-2025"/>
    <s v="5º Juzgado Civil de Santiago"/>
    <s v="INGRESADO"/>
    <s v="MANTIENE"/>
    <m/>
    <m/>
    <m/>
    <m/>
    <s v="NO"/>
    <s v="ACTIVO"/>
    <s v="TRRG68"/>
    <s v="DFM"/>
    <s v="T5L 1.8 LUX"/>
    <n v="2025"/>
  </r>
  <r>
    <n v="3158483"/>
    <n v="248"/>
    <n v="9"/>
    <n v="4130822"/>
    <m/>
    <s v="PHOENIX"/>
    <s v="JUDICIAL"/>
    <x v="14"/>
    <s v="241-270"/>
    <x v="1"/>
    <s v="COBRANZA"/>
    <x v="1"/>
    <s v="E"/>
    <n v="16757088"/>
    <n v="7"/>
    <s v="ELIAS EDUARDO RIQUELME SAN JUAN"/>
    <n v="1"/>
    <n v="199.49"/>
    <s v="30-08-2025"/>
    <n v="9"/>
    <n v="9"/>
    <n v="36"/>
    <s v="AMICAR"/>
    <m/>
    <n v="162743"/>
    <n v="95137"/>
    <s v="NO"/>
    <s v="24-09-2024"/>
    <n v="2053290"/>
    <n v="2"/>
    <m/>
    <m/>
    <m/>
    <s v="NO RECUPERADO"/>
    <n v="56992871919"/>
    <m/>
    <m/>
    <s v="elias.riquelme0@gmail.com"/>
    <m/>
    <m/>
    <s v="AVDA LITORAL 335"/>
    <s v="SANTO DOMINGO"/>
    <s v="V REGION"/>
    <s v="C-919-2026"/>
    <s v="4º Juzgado Civil de Santiago"/>
    <s v="INGRESADO"/>
    <s v="MANTIENE"/>
    <m/>
    <m/>
    <m/>
    <m/>
    <s v="NO"/>
    <s v="ACTIVO"/>
    <m/>
    <s v="CHANGAN"/>
    <s v="CS55"/>
    <n v="0"/>
  </r>
  <r>
    <n v="3159040"/>
    <n v="78"/>
    <n v="3"/>
    <n v="16330273"/>
    <m/>
    <s v="PHOENIX"/>
    <s v="JUDICIAL"/>
    <x v="12"/>
    <s v="61-90"/>
    <x v="1"/>
    <s v="COBRANZA"/>
    <x v="1"/>
    <s v="E"/>
    <n v="13872350"/>
    <s v="K"/>
    <s v="ALEJANDRO PATRICIO NIETO SALFATE"/>
    <n v="1"/>
    <n v="510.56700000000001"/>
    <s v="16-02-2026"/>
    <n v="16"/>
    <n v="16"/>
    <n v="49"/>
    <s v="MAF"/>
    <m/>
    <n v="66158"/>
    <n v="0"/>
    <s v="NO"/>
    <d v="2024-05-09T00:00:00"/>
    <n v="1597859"/>
    <s v="1,79"/>
    <m/>
    <m/>
    <m/>
    <s v="NO RECUPERADO"/>
    <m/>
    <m/>
    <m/>
    <m/>
    <m/>
    <m/>
    <s v="SALITRERA CONDOR 602 EL PALOMAR"/>
    <s v="PROVIDENCIA"/>
    <s v="REGION METROPOLITANA"/>
    <s v="C-4039-2025"/>
    <s v="21º JUZGADO CIVIL DE SANTIAGO"/>
    <s v="EMBARGADO"/>
    <s v="MANTIENE"/>
    <m/>
    <m/>
    <m/>
    <m/>
    <s v="SI"/>
    <s v="ACTIVO"/>
    <m/>
    <s v="TOYOTA"/>
    <s v="YARIS CROSS HEV"/>
    <n v="0"/>
  </r>
  <r>
    <n v="3165842"/>
    <n v="242"/>
    <n v="9"/>
    <n v="8817306"/>
    <m/>
    <s v="PHOENIX"/>
    <s v="JUDICIAL"/>
    <x v="6"/>
    <s v="241-270"/>
    <x v="1"/>
    <s v="COBRANZA"/>
    <x v="1"/>
    <s v="E"/>
    <n v="15137484"/>
    <n v="0"/>
    <s v="RAMON ANDRES VERGARA MARCHANT"/>
    <n v="1"/>
    <n v="291.71100000000001"/>
    <d v="2025-05-09T00:00:00"/>
    <n v="10"/>
    <n v="10"/>
    <n v="37"/>
    <s v="AMICAR"/>
    <m/>
    <n v="228384"/>
    <n v="0"/>
    <s v="NO"/>
    <d v="2024-01-10T00:00:00"/>
    <n v="2853783"/>
    <s v="2,14"/>
    <m/>
    <m/>
    <m/>
    <s v="NO RECUPERADO"/>
    <n v="56961881836"/>
    <m/>
    <m/>
    <s v="vergarar634@gmail.com"/>
    <m/>
    <m/>
    <s v="ONCE NORTE 1272"/>
    <s v="TALCA"/>
    <s v="VII REGION"/>
    <s v="C-14442-2025"/>
    <s v="20º Juzgado Civil de Santiago"/>
    <s v="EMBARGADO"/>
    <s v="MANTIENE"/>
    <m/>
    <m/>
    <m/>
    <m/>
    <s v="SI"/>
    <s v="ACTIVO"/>
    <m/>
    <s v="HAVAL"/>
    <s v="HAVAL JOLION 1.5T MT 2WD ACTIVE F2"/>
    <n v="0"/>
  </r>
  <r>
    <n v="3167343"/>
    <n v="273"/>
    <n v="10"/>
    <n v="6511728"/>
    <m/>
    <s v="PHOENIX"/>
    <s v="JUDICIAL"/>
    <x v="14"/>
    <s v="271-300"/>
    <x v="1"/>
    <s v="COBRANZA"/>
    <x v="1"/>
    <s v="E"/>
    <n v="17376536"/>
    <n v="3"/>
    <s v="CAMILLE BOZZO ALBORNOZ"/>
    <n v="1"/>
    <n v="246.64400000000001"/>
    <d v="2025-05-08T00:00:00"/>
    <n v="9"/>
    <n v="9"/>
    <n v="48"/>
    <s v="Dealer"/>
    <s v="DACIÓN"/>
    <n v="292247"/>
    <n v="0"/>
    <s v="NO"/>
    <d v="2024-05-10T00:00:00"/>
    <n v="2758687"/>
    <s v="2,11"/>
    <m/>
    <m/>
    <m/>
    <s v="NO RECUPERADO"/>
    <n v="933882254"/>
    <m/>
    <m/>
    <s v="CAMILLEBOZZOALBORNOZ@GMAIL.COM"/>
    <m/>
    <m/>
    <s v="SIEMPRE VIVA 0294"/>
    <s v="EL QUISCO"/>
    <s v="V REGION"/>
    <s v="C-17485-2025"/>
    <s v="12º Juzgado Civil de Santiago"/>
    <s v="NOTIFICADO"/>
    <s v="MANTIENE"/>
    <m/>
    <m/>
    <m/>
    <m/>
    <s v="SI"/>
    <s v="ACTIVO"/>
    <s v="SBVF18"/>
    <s v="CHERY"/>
    <s v="TIGGO 7 PRO GLS CVT"/>
    <n v="2022"/>
  </r>
  <r>
    <n v="3170180"/>
    <n v="268"/>
    <n v="9"/>
    <n v="7998288"/>
    <m/>
    <s v="PHOENIX"/>
    <s v="JUDICIAL"/>
    <x v="14"/>
    <s v="241-270"/>
    <x v="1"/>
    <s v="COBRANZA"/>
    <x v="1"/>
    <s v="E"/>
    <n v="17502004"/>
    <n v="7"/>
    <s v="DANIELA CARRIZO ESCANILLA"/>
    <n v="1"/>
    <n v="294.971"/>
    <d v="2025-10-08T00:00:00"/>
    <n v="7"/>
    <n v="7"/>
    <n v="48"/>
    <s v="AMICAR"/>
    <s v="DACIÓN"/>
    <n v="279022"/>
    <n v="0"/>
    <s v="NO"/>
    <d v="2024-02-10T00:00:00"/>
    <n v="2933761"/>
    <s v="2,14"/>
    <m/>
    <m/>
    <m/>
    <s v="NO RECUPERADO"/>
    <n v="935812399"/>
    <m/>
    <m/>
    <s v="danimdeys@gmail.com"/>
    <m/>
    <m/>
    <s v="EL MOLINO 1696 49"/>
    <s v="RANCAGUA"/>
    <s v="VI REGION"/>
    <s v="C-14430-2025"/>
    <s v="8º Juzgado Civil de Santiago"/>
    <s v="NOTIFICADO"/>
    <s v="MANTIENE"/>
    <m/>
    <m/>
    <m/>
    <m/>
    <s v="SI"/>
    <s v="ACTIVO"/>
    <s v="TPSY42"/>
    <s v="HYUNDAI"/>
    <s v="GRAND I 10 AI3 HB 1.2 MT PLUS FL"/>
    <n v="2024"/>
  </r>
  <r>
    <n v="3171859"/>
    <n v="187"/>
    <n v="7"/>
    <n v="3524049"/>
    <m/>
    <s v="PHOENIX"/>
    <s v="JUDICIAL"/>
    <x v="8"/>
    <s v="181-210"/>
    <x v="1"/>
    <s v="COBRANZA"/>
    <x v="1"/>
    <s v="E"/>
    <n v="26477565"/>
    <n v="5"/>
    <s v="EDUARDO LUIS RIVERO PEÑA"/>
    <n v="1"/>
    <n v="219.21199999999999"/>
    <s v="30-10-2025"/>
    <n v="11"/>
    <n v="11"/>
    <n v="30"/>
    <s v="RENEGOCIADO"/>
    <m/>
    <n v="128638"/>
    <n v="0"/>
    <s v="NO"/>
    <d v="2024-08-10T00:00:00"/>
    <n v="1663122"/>
    <s v="1,73"/>
    <m/>
    <m/>
    <m/>
    <s v="NO RECUPERADO"/>
    <n v="976816789"/>
    <m/>
    <m/>
    <s v="EDLUIS07@GMAIL.COM"/>
    <m/>
    <m/>
    <s v="CALLE LA CONCEPCION"/>
    <m/>
    <m/>
    <s v="C-2259-2026"/>
    <s v="13º Juzgado Civil de Santiago"/>
    <s v="EMBARGADO"/>
    <s v="MANTIENE"/>
    <m/>
    <m/>
    <m/>
    <m/>
    <s v="SI"/>
    <s v="ACTIVO"/>
    <m/>
    <s v="MAHINDRA"/>
    <s v="KUV 100 HATCH BACK 1.2"/>
    <n v="2022"/>
  </r>
  <r>
    <n v="3172499"/>
    <n v="74"/>
    <n v="3"/>
    <n v="4128916"/>
    <m/>
    <s v="PHOENIX"/>
    <s v="JUDICIAL"/>
    <x v="12"/>
    <s v="61-90"/>
    <x v="1"/>
    <s v="COBRANZA"/>
    <x v="1"/>
    <s v="E"/>
    <n v="18017458"/>
    <n v="3"/>
    <s v="GERARDO AURELIO ANIÑIR ANTIMÁN"/>
    <n v="1"/>
    <n v="174.95400000000001"/>
    <s v="20-02-2026"/>
    <n v="15"/>
    <n v="15"/>
    <n v="46"/>
    <s v="RENEGOCIADO"/>
    <m/>
    <n v="20896"/>
    <n v="0"/>
    <s v="NO"/>
    <d v="2024-09-10T00:00:00"/>
    <n v="545758"/>
    <s v="1,8"/>
    <m/>
    <m/>
    <m/>
    <s v="NO RECUPERADO"/>
    <n v="940926790"/>
    <m/>
    <m/>
    <s v="GERARDOANINIRA@GMAIL.COM"/>
    <m/>
    <m/>
    <s v="AV AMERICO VESPUCIO"/>
    <m/>
    <m/>
    <s v="C-13024-2025"/>
    <s v="30º Juzgado Civil de Santiago"/>
    <s v="EMBARGADO"/>
    <s v="MANTIENE"/>
    <m/>
    <m/>
    <m/>
    <m/>
    <s v="SI"/>
    <s v="ACTIVO"/>
    <m/>
    <s v="NISSAN"/>
    <s v="QASHQAI 2.0"/>
    <n v="2017"/>
  </r>
  <r>
    <n v="3175369"/>
    <n v="158"/>
    <n v="6"/>
    <n v="7009833"/>
    <m/>
    <s v="PHOENIX"/>
    <s v="JUDICIAL"/>
    <x v="10"/>
    <s v="151-180"/>
    <x v="1"/>
    <s v="COBRANZA"/>
    <x v="1"/>
    <s v="E"/>
    <n v="19203081"/>
    <n v="1"/>
    <s v="AILIN ALEJANDRA GARRIDO AMARO"/>
    <n v="1"/>
    <n v="263.34300000000002"/>
    <s v="28-11-2025"/>
    <n v="12"/>
    <n v="12"/>
    <n v="25"/>
    <s v="AMICAR"/>
    <s v="DACIÓN"/>
    <n v="94143"/>
    <n v="108365"/>
    <s v="NO"/>
    <d v="2024-10-10T00:00:00"/>
    <n v="1782566"/>
    <s v="2,14"/>
    <m/>
    <m/>
    <m/>
    <s v="NO RECUPERADO"/>
    <n v="997284332"/>
    <m/>
    <m/>
    <s v="ailin.gamar@hotmail.com"/>
    <m/>
    <m/>
    <s v="CALLE 20 SUR 0234"/>
    <s v="TALCA"/>
    <s v="VII REGION"/>
    <s v="C-5128-2026"/>
    <s v="16º Juzgado Civil de Santiago"/>
    <s v="INGRESADO"/>
    <s v="MANTIENE"/>
    <m/>
    <m/>
    <m/>
    <m/>
    <s v="NO"/>
    <s v="ACTIVO"/>
    <s v="SVGG14"/>
    <s v="JAC"/>
    <s v="JS8 TURBO DCT 1.5 AUT"/>
    <n v="2023"/>
  </r>
  <r>
    <n v="3181529"/>
    <n v="324"/>
    <n v="11"/>
    <n v="7149195"/>
    <m/>
    <s v="PHOENIX"/>
    <s v="JUDICIAL"/>
    <x v="11"/>
    <s v="301-330"/>
    <x v="1"/>
    <s v="COBRANZA"/>
    <x v="1"/>
    <s v="E"/>
    <n v="12772771"/>
    <n v="6"/>
    <s v="LUIS FRANCISCO COTAL CONCHA"/>
    <n v="1"/>
    <n v="259.25299999999999"/>
    <s v="15-06-2025"/>
    <n v="6"/>
    <n v="6"/>
    <n v="48"/>
    <s v="Dealer"/>
    <s v="DACIÓN"/>
    <n v="350589"/>
    <n v="0"/>
    <s v="NO"/>
    <s v="16-10-2024"/>
    <n v="3202372"/>
    <s v="2,13"/>
    <m/>
    <m/>
    <m/>
    <s v="NO RECUPERADO"/>
    <n v="986437394"/>
    <m/>
    <m/>
    <s v="Luis_cotal@hotmail.cl"/>
    <m/>
    <m/>
    <s v="Paseje Bilbao 201"/>
    <s v="LOTA"/>
    <s v="VIII REGION"/>
    <s v="C-14421-2025"/>
    <s v="25º JUZGADO CIVIL DE SANTIAGO"/>
    <s v="EMBARGADO"/>
    <s v="MANTIENE"/>
    <m/>
    <m/>
    <m/>
    <m/>
    <s v="SI"/>
    <s v="ACTIVO"/>
    <s v="TSYJ96"/>
    <s v="FOTON MIDI"/>
    <s v="MIDI CAMBINA DOBLE 1.2"/>
    <n v="2025"/>
  </r>
  <r>
    <n v="3182276"/>
    <n v="34"/>
    <n v="2"/>
    <n v="3505821"/>
    <m/>
    <s v="PHOENIX"/>
    <s v="JUDICIAL"/>
    <x v="5"/>
    <s v="31-60"/>
    <x v="1"/>
    <s v="COBRANZA"/>
    <x v="1"/>
    <s v="E"/>
    <n v="15662579"/>
    <n v="5"/>
    <s v="JOSÉ LUIS  GARRIDO  JAÑA"/>
    <n v="1"/>
    <n v="206.82499999999999"/>
    <d v="2026-01-04T00:00:00"/>
    <n v="16"/>
    <n v="16"/>
    <n v="36"/>
    <s v="RENEGOCIADO"/>
    <m/>
    <n v="7146"/>
    <n v="0"/>
    <s v="NO"/>
    <s v="17-10-2024"/>
    <n v="420796"/>
    <s v="1,63"/>
    <m/>
    <m/>
    <s v="NO PREMIUM"/>
    <s v="NO RECUPERADO"/>
    <n v="994992293"/>
    <m/>
    <n v="56923111729"/>
    <s v="JOSEGARRIDOJANA@GMAIL.COM"/>
    <m/>
    <m/>
    <s v="AV QUILIN 4931 P.16 DPTO.1616"/>
    <s v="MACUL"/>
    <s v="REGION METROPOLITANA"/>
    <s v="C-17492-2025"/>
    <s v="20º Juzgado Civil de Santiago"/>
    <s v="EMBARGADO"/>
    <s v="MANTIENE"/>
    <m/>
    <m/>
    <m/>
    <m/>
    <s v="SI"/>
    <s v="ACTIVO"/>
    <m/>
    <s v="NISSAN"/>
    <s v="KICKS ADVANCE MT"/>
    <n v="2021"/>
  </r>
  <r>
    <n v="3196584"/>
    <n v="212"/>
    <n v="8"/>
    <n v="6241808"/>
    <m/>
    <s v="PHOENIX"/>
    <s v="JUDICIAL"/>
    <x v="8"/>
    <s v="211-240"/>
    <x v="1"/>
    <s v="COBRANZA"/>
    <x v="1"/>
    <s v="E"/>
    <n v="12506407"/>
    <n v="8"/>
    <s v="MARICEL DEL CARMEN ZAPATA LARA"/>
    <n v="1"/>
    <n v="260.09500000000003"/>
    <d v="2025-05-10T00:00:00"/>
    <n v="10"/>
    <n v="10"/>
    <n v="48"/>
    <s v="AMICAR"/>
    <m/>
    <n v="191430"/>
    <n v="61061"/>
    <s v="NO"/>
    <s v="24-10-2024"/>
    <n v="2333251"/>
    <s v="2,59"/>
    <m/>
    <m/>
    <m/>
    <s v="NO RECUPERADO"/>
    <n v="998756748"/>
    <m/>
    <m/>
    <s v="lachispita.z73@gmail.com"/>
    <m/>
    <m/>
    <s v="PJ LLANCOLEN 921 -P. CONQUISTA DE PAINE"/>
    <s v="TORRES DEL PAINE"/>
    <s v="XII REGION"/>
    <s v="C-15758-2025"/>
    <s v="27º Juzgado Civil de Santiago"/>
    <s v="INGRESADO"/>
    <s v="MANTIENE"/>
    <m/>
    <m/>
    <m/>
    <m/>
    <s v="NO"/>
    <s v="ACTIVO"/>
    <m/>
    <s v="CHANGAN"/>
    <s v="MD201 CARGO BOX PUERTA LAT"/>
    <n v="0"/>
  </r>
  <r>
    <n v="3201695"/>
    <n v="273"/>
    <n v="10"/>
    <n v="11220517"/>
    <m/>
    <s v="PHOENIX"/>
    <s v="JUDICIAL"/>
    <x v="14"/>
    <s v="271-300"/>
    <x v="1"/>
    <s v="COBRANZA"/>
    <x v="1"/>
    <s v="E"/>
    <n v="14337561"/>
    <n v="7"/>
    <s v="RENE ALEJANDRO BECERRA TRONCOSO"/>
    <n v="1"/>
    <n v="355.80700000000002"/>
    <d v="2025-05-08T00:00:00"/>
    <n v="8"/>
    <n v="8"/>
    <n v="49"/>
    <s v="AMICAR"/>
    <m/>
    <n v="347054"/>
    <n v="0"/>
    <s v="NO"/>
    <s v="24-10-2024"/>
    <n v="3905124"/>
    <s v="2,13"/>
    <m/>
    <m/>
    <m/>
    <s v="NO RECUPERADO"/>
    <n v="940526077"/>
    <m/>
    <m/>
    <s v="renebecerra@gmail.com"/>
    <m/>
    <m/>
    <s v="PASAJE MICHAY 0752"/>
    <s v="SAN BERNARDO"/>
    <s v="REGION METROPOLITANA"/>
    <s v="C-17480-2025"/>
    <s v="1º Juzgado Civil de Santiago"/>
    <s v="EMBARGADO"/>
    <s v="MANTIENE"/>
    <m/>
    <m/>
    <m/>
    <m/>
    <s v="SI"/>
    <s v="ACTIVO"/>
    <m/>
    <s v="HAVAL"/>
    <s v="HAVAL JOLION 1.5T MT 2WD ACTIVE F2"/>
    <n v="0"/>
  </r>
  <r>
    <n v="3202810"/>
    <n v="340"/>
    <n v="12"/>
    <n v="5430029"/>
    <m/>
    <s v="PHOENIX"/>
    <s v="JUDICIAL"/>
    <x v="7"/>
    <s v="331-360"/>
    <x v="1"/>
    <s v="COBRANZA"/>
    <x v="1"/>
    <s v="E"/>
    <n v="7311388"/>
    <n v="1"/>
    <s v="MARCO ANTONIO FERNÁNDEZ CONTARDO"/>
    <n v="1"/>
    <n v="245.864"/>
    <s v="30-05-2025"/>
    <n v="5"/>
    <n v="5"/>
    <n v="36"/>
    <s v="RENEGOCIADO"/>
    <m/>
    <n v="440925"/>
    <n v="0"/>
    <s v="NO"/>
    <d v="2024-04-11T00:00:00"/>
    <n v="3391293"/>
    <s v="2,27"/>
    <m/>
    <m/>
    <m/>
    <s v="NO RECUPERADO"/>
    <n v="936956196"/>
    <m/>
    <m/>
    <s v="JENIFER.FER.CID30@GMAIL.COM"/>
    <m/>
    <m/>
    <s v="PASAJE 25 SUR"/>
    <s v="LO ESPEJO"/>
    <s v="REGION METROPOLITANA"/>
    <s v="C-6728-2025"/>
    <s v="20º Juzgado Civil de Santiago"/>
    <s v="EMBARGADO"/>
    <s v="MANTIENE"/>
    <m/>
    <m/>
    <m/>
    <m/>
    <s v="SI"/>
    <s v="ACTIVO"/>
    <m/>
    <s v="CHERY"/>
    <s v="TIGGO 2 1.5"/>
    <n v="2020"/>
  </r>
  <r>
    <n v="3204579"/>
    <n v="268"/>
    <n v="9"/>
    <n v="9380969"/>
    <m/>
    <s v="PHOENIX"/>
    <s v="JUDICIAL"/>
    <x v="14"/>
    <s v="241-270"/>
    <x v="1"/>
    <s v="COBRANZA"/>
    <x v="1"/>
    <s v="E"/>
    <n v="15507340"/>
    <n v="3"/>
    <s v="JORGE LUCIANO LOPEZ ARAYA"/>
    <n v="1"/>
    <n v="290.80099999999999"/>
    <d v="2025-10-08T00:00:00"/>
    <n v="8"/>
    <n v="8"/>
    <n v="49"/>
    <s v="AMICAR"/>
    <m/>
    <n v="274115"/>
    <n v="0"/>
    <s v="NO"/>
    <d v="2024-06-11T00:00:00"/>
    <n v="2891324"/>
    <s v="2,13"/>
    <m/>
    <m/>
    <m/>
    <s v="NO RECUPERADO"/>
    <n v="949204352"/>
    <m/>
    <m/>
    <s v="jorgelopezaraya@gmail.com"/>
    <m/>
    <m/>
    <s v="CADETE MARTÍNEZ 2039"/>
    <s v="SAN RAMON"/>
    <s v="REGION METROPOLITANA"/>
    <s v="C-17479-2025"/>
    <s v="13º Juzgado Civil de Santiago"/>
    <s v="EMBARGADO"/>
    <s v="MANTIENE"/>
    <m/>
    <m/>
    <m/>
    <m/>
    <s v="SI"/>
    <s v="ACTIVO"/>
    <m/>
    <s v="MAHINDRA"/>
    <s v="XUV300 W8(O)"/>
    <n v="0"/>
  </r>
  <r>
    <n v="3217807"/>
    <n v="167"/>
    <n v="6"/>
    <n v="11235040"/>
    <m/>
    <s v="PHOENIX"/>
    <s v="JUDICIAL"/>
    <x v="10"/>
    <s v="151-180"/>
    <x v="1"/>
    <s v="COBRANZA"/>
    <x v="1"/>
    <s v="E"/>
    <n v="13014709"/>
    <n v="7"/>
    <s v="CLAUDIO ALBERTO MOLINA CHÁVEZ"/>
    <n v="1"/>
    <n v="443.36099999999999"/>
    <s v="19-11-2025"/>
    <n v="11"/>
    <n v="11"/>
    <n v="48"/>
    <s v="Dealer"/>
    <s v="DACIÓN"/>
    <n v="170274"/>
    <n v="165249"/>
    <s v="NO"/>
    <s v="18-11-2024"/>
    <n v="2995689"/>
    <s v="2,15"/>
    <m/>
    <m/>
    <m/>
    <s v="NO RECUPERADO"/>
    <n v="949895345"/>
    <m/>
    <m/>
    <s v="claudiomchz@gmail.com"/>
    <m/>
    <m/>
    <s v="LOS GIRASOLES CASA 25"/>
    <s v="VALPARAISO"/>
    <s v="V REGION"/>
    <s v="C-5133-2026"/>
    <s v="30º Juzgado Civil de Santiago"/>
    <s v="INGRESADO"/>
    <s v="MANTIENE"/>
    <m/>
    <m/>
    <m/>
    <m/>
    <s v="NO"/>
    <s v="ACTIVO"/>
    <s v="TWCL43"/>
    <s v="DFM"/>
    <s v="RICH 6 4X4 2.3"/>
    <n v="2025"/>
  </r>
  <r>
    <n v="3222068"/>
    <n v="93"/>
    <n v="1"/>
    <n v="505068"/>
    <m/>
    <s v="PHOENIX"/>
    <s v="JUDICIAL"/>
    <x v="3"/>
    <s v="91-120"/>
    <x v="1"/>
    <s v="COBRANZA"/>
    <x v="1"/>
    <s v="E"/>
    <n v="76724056"/>
    <n v="2"/>
    <s v="SERVICIOS MECANICOS GERMAN SIMON CARCAMO PINEDA E.I.R.L."/>
    <n v="0"/>
    <n v="258.726"/>
    <d v="2026-01-02T00:00:00"/>
    <n v="13"/>
    <n v="12"/>
    <n v="14"/>
    <s v="RENEGOCIADO"/>
    <m/>
    <n v="21077"/>
    <n v="0"/>
    <s v="NO"/>
    <s v="20-11-2024"/>
    <n v="279803"/>
    <s v="1,63"/>
    <m/>
    <m/>
    <m/>
    <s v="CONTENIDO"/>
    <n v="965061583"/>
    <m/>
    <m/>
    <s v="G.CARCAMO.HIDRAULICA@GMAIL.COM"/>
    <m/>
    <m/>
    <s v="POB VALPARAISO CARBONEROS"/>
    <m/>
    <s v="XIV REGION"/>
    <s v="C-5519-2025"/>
    <s v="28º Juzgado Civil de Santiago"/>
    <s v="EMBARGADO"/>
    <s v="MANTIENE"/>
    <m/>
    <m/>
    <m/>
    <m/>
    <s v="SI"/>
    <s v="ACTIVO"/>
    <m/>
    <s v="MAXUS"/>
    <s v="T60"/>
    <n v="2020"/>
  </r>
  <r>
    <n v="3227495"/>
    <n v="277"/>
    <n v="10"/>
    <n v="14028698"/>
    <m/>
    <s v="PHOENIX"/>
    <s v="JUDICIAL"/>
    <x v="13"/>
    <s v="271-300"/>
    <x v="1"/>
    <s v="COBRANZA"/>
    <x v="1"/>
    <s v="E"/>
    <n v="25029668"/>
    <n v="1"/>
    <s v="MEI LI"/>
    <n v="1"/>
    <n v="655.14700000000005"/>
    <d v="2025-01-08T00:00:00"/>
    <n v="7"/>
    <n v="7"/>
    <n v="36"/>
    <s v="Dealer"/>
    <s v="DACIÓN"/>
    <n v="661553"/>
    <n v="0"/>
    <s v="NO"/>
    <s v="27-11-2024"/>
    <n v="7213023"/>
    <s v="2,15"/>
    <m/>
    <m/>
    <m/>
    <s v="NO RECUPERADO"/>
    <n v="933965207"/>
    <m/>
    <m/>
    <s v="abc5548588@126.com"/>
    <m/>
    <m/>
    <s v="Padre Jaime Larrain Hurtado 592"/>
    <s v="ESTACION CENTRAL"/>
    <s v="REGION METROPOLITANA"/>
    <s v="C-17475-2025"/>
    <s v="15º Juzgado Civil de Santiago"/>
    <s v="EMBARGADO"/>
    <s v="MANTIENE"/>
    <m/>
    <m/>
    <m/>
    <m/>
    <s v="SI"/>
    <s v="ACTIVO"/>
    <s v="TWHW15"/>
    <s v="DFM"/>
    <s v="T5 EVO"/>
    <n v="2025"/>
  </r>
  <r>
    <n v="3232308"/>
    <n v="0"/>
    <m/>
    <n v="13994065"/>
    <m/>
    <s v="PHOENIX"/>
    <s v="JUDICIAL"/>
    <x v="15"/>
    <s v="361-390"/>
    <x v="1"/>
    <s v="COBRANZA"/>
    <x v="1"/>
    <s v="E"/>
    <n v="12260401"/>
    <n v="2"/>
    <s v="PATRICIO HUMBERTO ARAYA VERDUGO"/>
    <n v="1"/>
    <n v="488.38900000000001"/>
    <m/>
    <m/>
    <n v="3"/>
    <m/>
    <s v="Dealer"/>
    <m/>
    <n v="0"/>
    <n v="0"/>
    <s v="NO"/>
    <m/>
    <n v="0"/>
    <m/>
    <m/>
    <m/>
    <m/>
    <s v="CASTIGO"/>
    <n v="995023293"/>
    <m/>
    <m/>
    <s v="paraya@insisco.cl"/>
    <m/>
    <m/>
    <s v="MONEDA 1479 DEPTO 52"/>
    <s v="SANTIAGO"/>
    <s v="REGION METROPOLITANA"/>
    <s v="C-12840-2025"/>
    <s v="24º Juzgado Civil de Santiago"/>
    <s v="EMBARGADO"/>
    <s v="MANTIENE"/>
    <m/>
    <m/>
    <m/>
    <m/>
    <s v="SI"/>
    <s v="ACTIVO"/>
    <s v="TWLK64"/>
    <s v="DONGFENG"/>
    <s v="T5 EVO"/>
    <n v="2025"/>
  </r>
  <r>
    <n v="3251019"/>
    <n v="56"/>
    <n v="2"/>
    <n v="9958963"/>
    <m/>
    <s v="PHOENIX"/>
    <s v="JUDICIAL"/>
    <x v="4"/>
    <s v="31-60"/>
    <x v="1"/>
    <s v="COBRANZA"/>
    <x v="1"/>
    <s v="E"/>
    <n v="25890131"/>
    <n v="2"/>
    <s v="JOSE JORGE COLORADO RODRIGUEZ"/>
    <n v="1"/>
    <n v="373.22"/>
    <d v="2026-10-03T00:00:00"/>
    <n v="13"/>
    <n v="13"/>
    <n v="48"/>
    <s v="RENEGOCIADO"/>
    <m/>
    <n v="22664"/>
    <n v="0"/>
    <s v="NO"/>
    <s v="16-12-2024"/>
    <n v="769104"/>
    <s v="1,59"/>
    <m/>
    <m/>
    <s v="NO PREMIUM"/>
    <s v="NO RECUPERADO"/>
    <n v="978372199"/>
    <m/>
    <m/>
    <s v="JOSEJORGECOLORADO367@GMAIL.COM"/>
    <m/>
    <m/>
    <s v="3 PONIENTE"/>
    <m/>
    <m/>
    <s v="C-9885-2025"/>
    <s v="8º Juzgado Civil de Santiago"/>
    <s v="NOTIFICADO"/>
    <s v="MANTIENE"/>
    <m/>
    <m/>
    <m/>
    <m/>
    <s v="SI"/>
    <s v="ACTIVO"/>
    <m/>
    <s v="RAM"/>
    <s v="700 Big horn"/>
    <n v="2024"/>
  </r>
  <r>
    <n v="3251456"/>
    <n v="299"/>
    <n v="10"/>
    <n v="7291990"/>
    <m/>
    <s v="PHOENIX"/>
    <s v="JUDICIAL"/>
    <x v="13"/>
    <s v="271-300"/>
    <x v="1"/>
    <s v="COBRANZA"/>
    <x v="1"/>
    <s v="E"/>
    <n v="15633225"/>
    <n v="9"/>
    <s v="BEATRIZ ELIZABETH PONCE CERDA"/>
    <n v="1"/>
    <n v="223.29499999999999"/>
    <d v="2025-10-07T00:00:00"/>
    <n v="5"/>
    <n v="5"/>
    <n v="52"/>
    <s v="RENEGOCIADO"/>
    <m/>
    <n v="265156"/>
    <n v="119579"/>
    <s v="NO"/>
    <s v="17-12-2024"/>
    <n v="2617685"/>
    <s v="1,63"/>
    <m/>
    <m/>
    <m/>
    <s v="NO RECUPERADO"/>
    <n v="950020184"/>
    <m/>
    <m/>
    <s v="BETTYPONCECERDA@HOTMAIL.COM"/>
    <m/>
    <m/>
    <s v="AVDA RAUL BITRAN NACHARY"/>
    <s v="LA SERENA"/>
    <s v="IV REGION"/>
    <s v="C-12839-2025"/>
    <s v="24º Juzgado Civil de Santiago"/>
    <s v="INGRESADO"/>
    <s v="MANTIENE"/>
    <m/>
    <m/>
    <m/>
    <m/>
    <s v="NO"/>
    <s v="ACTIVO"/>
    <m/>
    <s v="TOYOTA"/>
    <s v="RAV4"/>
    <n v="2021"/>
  </r>
  <r>
    <n v="3253109"/>
    <n v="151"/>
    <n v="6"/>
    <n v="10551229"/>
    <m/>
    <s v="PHOENIX"/>
    <s v="JUDICIAL"/>
    <x v="9"/>
    <s v="151-180"/>
    <x v="1"/>
    <s v="COBRANZA"/>
    <x v="1"/>
    <s v="E"/>
    <n v="14242600"/>
    <n v="5"/>
    <s v="JULIETA ADRIANA HENRÍQUEZ CAAMAÑO"/>
    <n v="1"/>
    <n v="397.005"/>
    <d v="2025-05-12T00:00:00"/>
    <n v="11"/>
    <n v="11"/>
    <n v="48"/>
    <s v="Directo"/>
    <m/>
    <n v="130023"/>
    <n v="80611"/>
    <s v="NO"/>
    <d v="2024-12-12T00:00:00"/>
    <n v="2592664"/>
    <s v="1,86"/>
    <m/>
    <m/>
    <m/>
    <s v="NO RECUPERADO"/>
    <n v="963939653"/>
    <m/>
    <m/>
    <s v="JULIETAHENRIQUEZ2@HOTMAIL.COM"/>
    <m/>
    <m/>
    <s v="PEDRO OSORES DE ULLOA"/>
    <m/>
    <m/>
    <s v="C-6717-2025"/>
    <s v="27º Juzgado Civil de Santiago"/>
    <s v="INGRESADO"/>
    <s v="MANTIENE"/>
    <m/>
    <m/>
    <m/>
    <m/>
    <s v="NO"/>
    <s v="ACTIVO"/>
    <m/>
    <s v="FORD"/>
    <s v="EXPLORER ECOBOOST 4X2"/>
    <n v="2020"/>
  </r>
  <r>
    <n v="3256612"/>
    <n v="299"/>
    <n v="10"/>
    <n v="8114217"/>
    <m/>
    <s v="PHOENIX"/>
    <s v="JUDICIAL"/>
    <x v="13"/>
    <s v="271-300"/>
    <x v="1"/>
    <s v="COBRANZA"/>
    <x v="1"/>
    <s v="E"/>
    <n v="76687174"/>
    <n v="7"/>
    <s v="COMERCIALIZADORA CLICK SpA"/>
    <n v="0"/>
    <n v="373.89600000000002"/>
    <d v="2025-10-07T00:00:00"/>
    <n v="5"/>
    <n v="5"/>
    <n v="32"/>
    <s v="RENEGOCIADO"/>
    <m/>
    <n v="443995"/>
    <n v="104008"/>
    <s v="NO"/>
    <s v="20-12-2024"/>
    <n v="4286963"/>
    <s v="1,63"/>
    <m/>
    <m/>
    <m/>
    <s v="NO RECUPERADO"/>
    <n v="930229869"/>
    <m/>
    <m/>
    <s v="SERGIOANDRES79@GMAIL.COM"/>
    <m/>
    <m/>
    <s v="JOAQUIN LUCO"/>
    <s v="TEMUCO"/>
    <s v="IX REGION"/>
    <s v="C-11268-2025"/>
    <s v="12º Juzgado Civil de Santiago"/>
    <s v="INGRESADO"/>
    <s v="MANTIENE"/>
    <m/>
    <m/>
    <m/>
    <m/>
    <s v="NO"/>
    <s v="ACTIVO"/>
    <m/>
    <s v="CITROEN"/>
    <s v="BERLINGO"/>
    <n v="2022"/>
  </r>
  <r>
    <n v="3274975"/>
    <n v="181"/>
    <n v="7"/>
    <n v="3383071"/>
    <m/>
    <s v="PHOENIX"/>
    <s v="JUDICIAL"/>
    <x v="10"/>
    <s v="181-210"/>
    <x v="1"/>
    <s v="COBRANZA"/>
    <x v="1"/>
    <s v="E"/>
    <n v="15603246"/>
    <n v="8"/>
    <s v="RODRIGO ESTEBAN DÃAZ RIQUELME"/>
    <n v="1"/>
    <n v="158.96899999999999"/>
    <d v="2025-05-11T00:00:00"/>
    <n v="8"/>
    <n v="8"/>
    <n v="36"/>
    <s v="AMICAR"/>
    <m/>
    <n v="89050"/>
    <n v="69321"/>
    <s v="NO"/>
    <d v="2025-10-01T00:00:00"/>
    <n v="1271154"/>
    <n v="2"/>
    <m/>
    <m/>
    <m/>
    <s v="NO RECUPERADO"/>
    <n v="928554840"/>
    <m/>
    <m/>
    <s v="isayrodrigo0119@gmail.com"/>
    <m/>
    <m/>
    <s v="VIOLETA PARRA 248"/>
    <s v="COLINA"/>
    <s v="REGION METROPOLITANA"/>
    <s v="C-3846-2026"/>
    <s v="28º Juzgado Civil de Santiago"/>
    <s v="INGRESADO"/>
    <s v="MANTIENE"/>
    <m/>
    <m/>
    <m/>
    <m/>
    <s v="NO"/>
    <s v="ACTIVO"/>
    <m/>
    <s v="HYUNDAI"/>
    <s v="GRAND I-10"/>
    <n v="0"/>
  </r>
  <r>
    <n v="3277070"/>
    <n v="42"/>
    <n v="2"/>
    <n v="6863599"/>
    <m/>
    <s v="PHOENIX"/>
    <s v="JUDICIAL"/>
    <x v="4"/>
    <s v="31-60"/>
    <x v="1"/>
    <s v="COBRANZA"/>
    <x v="1"/>
    <s v="E"/>
    <n v="13662389"/>
    <n v="3"/>
    <s v="JOHANNA DEL CARMEN CORNEJO ARMIJO"/>
    <n v="1"/>
    <n v="235.32300000000001"/>
    <s v="24-03-2026"/>
    <n v="13"/>
    <n v="13"/>
    <n v="60"/>
    <s v="Dealer"/>
    <s v="DACIÓN"/>
    <n v="11345"/>
    <n v="0"/>
    <s v="NO"/>
    <s v="13-01-2025"/>
    <n v="481991"/>
    <s v="2,19"/>
    <m/>
    <m/>
    <s v="NO PREMIUM"/>
    <s v="NO RECUPERADO"/>
    <n v="948553764"/>
    <m/>
    <m/>
    <s v="juanjaq1998@gmail.com"/>
    <m/>
    <m/>
    <s v="los copihues 5750 torre a dpto 306"/>
    <s v="LO PRADO"/>
    <s v="REGION METROPOLITANA"/>
    <s v="C-14434-2025"/>
    <s v="14º Juzgado Civil de Santiago"/>
    <s v="EMBARGADO"/>
    <s v="MANTIENE"/>
    <m/>
    <m/>
    <m/>
    <m/>
    <s v="SI"/>
    <s v="ACTIVO"/>
    <s v="TYYG68"/>
    <s v="FOTON"/>
    <s v="MIDI 1.2 C/D E6"/>
    <n v="2025"/>
  </r>
  <r>
    <n v="3288242"/>
    <n v="66"/>
    <n v="3"/>
    <n v="14509980"/>
    <m/>
    <s v="PHOENIX"/>
    <s v="JUDICIAL"/>
    <x v="12"/>
    <s v="61-90"/>
    <x v="1"/>
    <s v="COBRANZA"/>
    <x v="1"/>
    <s v="E"/>
    <n v="76839537"/>
    <n v="3"/>
    <s v="PROSMART SERVICIOS SPA SPA"/>
    <n v="0"/>
    <n v="481.75700000000001"/>
    <s v="28-02-2026"/>
    <n v="12"/>
    <n v="12"/>
    <n v="60"/>
    <s v="RENEGOCIADO"/>
    <m/>
    <n v="41372"/>
    <n v="58317"/>
    <s v="NO"/>
    <s v="20-01-2025"/>
    <n v="1544960"/>
    <s v="2,09"/>
    <m/>
    <m/>
    <m/>
    <s v="NO RECUPERADO"/>
    <n v="971999432"/>
    <m/>
    <m/>
    <s v="PROSMART.CHILE@GMAIL.COM"/>
    <m/>
    <m/>
    <s v="THOMSON"/>
    <s v="IQUIQUE"/>
    <s v="I REGION"/>
    <s v="C-13010-2025"/>
    <s v="10º Juzgado Civil de Santiago"/>
    <s v="INGRESADO"/>
    <s v="MANTIENE"/>
    <m/>
    <m/>
    <m/>
    <m/>
    <s v="NO"/>
    <s v="ACTIVO"/>
    <m/>
    <s v="HYUNDAI"/>
    <s v="CRETA"/>
    <n v="2023"/>
  </r>
  <r>
    <n v="3289969"/>
    <n v="311"/>
    <n v="11"/>
    <n v="9305082"/>
    <m/>
    <s v="PHOENIX"/>
    <s v="JUDICIAL"/>
    <x v="11"/>
    <s v="301-330"/>
    <x v="1"/>
    <s v="COBRANZA"/>
    <x v="1"/>
    <s v="E"/>
    <n v="12285582"/>
    <n v="1"/>
    <s v="GUILLERMO URBANO NEIRA ROA"/>
    <n v="1"/>
    <n v="580.11099999999999"/>
    <s v="28-06-2025"/>
    <n v="4"/>
    <n v="4"/>
    <n v="24"/>
    <s v="RENEGOCIADO"/>
    <m/>
    <n v="907219"/>
    <n v="0"/>
    <s v="NO"/>
    <s v="21-01-2025"/>
    <n v="7288440"/>
    <s v="2,2"/>
    <m/>
    <m/>
    <m/>
    <s v="NO RECUPERADO"/>
    <n v="934073455"/>
    <m/>
    <m/>
    <s v="GNEIRA@VERDIFRESH.CL"/>
    <m/>
    <m/>
    <s v="CAMINO EL PAIQUITO"/>
    <s v="LA GRANJA"/>
    <s v="REGION METROPOLITANA"/>
    <s v="C-9876-2025"/>
    <s v="6º JUZGADO CIVIL DE SANTIAGO"/>
    <s v="EMBARGADO"/>
    <s v="MANTIENE"/>
    <m/>
    <m/>
    <m/>
    <m/>
    <s v="SI"/>
    <s v="ACTIVO"/>
    <m/>
    <s v="SSANGYONG"/>
    <s v="REXTON"/>
    <n v="2023"/>
  </r>
  <r>
    <n v="3290027"/>
    <n v="273"/>
    <n v="10"/>
    <n v="5151920"/>
    <m/>
    <s v="PHOENIX"/>
    <s v="JUDICIAL"/>
    <x v="14"/>
    <s v="271-300"/>
    <x v="1"/>
    <s v="COBRANZA"/>
    <x v="1"/>
    <s v="E"/>
    <n v="19332731"/>
    <n v="1"/>
    <s v="VICTOR ABRAHAM VIDAL HERRERA"/>
    <n v="1"/>
    <n v="316.30399999999997"/>
    <d v="2025-05-08T00:00:00"/>
    <n v="5"/>
    <n v="5"/>
    <n v="24"/>
    <s v="AMICAR"/>
    <m/>
    <n v="374788"/>
    <n v="9568"/>
    <s v="NO"/>
    <s v="15-01-2025"/>
    <n v="3547396"/>
    <s v="1,59"/>
    <m/>
    <m/>
    <m/>
    <s v="NO RECUPERADO"/>
    <n v="954177384"/>
    <m/>
    <m/>
    <s v="hurtadopatricia96@gmail.com"/>
    <m/>
    <m/>
    <s v="AV INDEPENDENCIA 482"/>
    <s v="LIMACHE"/>
    <s v="V REGION"/>
    <s v="C-17500-2025"/>
    <s v="29º Juzgado Civil de Santiago"/>
    <s v="INGRESADO"/>
    <s v="MANTIENE"/>
    <m/>
    <m/>
    <m/>
    <m/>
    <s v="NO"/>
    <s v="ACTIVO"/>
    <m/>
    <s v="SUZUKI"/>
    <s v="NUEVO SPRESSO 1.0 GLX"/>
    <n v="0"/>
  </r>
  <r>
    <n v="3291352"/>
    <n v="250"/>
    <n v="9"/>
    <n v="5019812"/>
    <m/>
    <s v="PHOENIX"/>
    <s v="JUDICIAL"/>
    <x v="14"/>
    <s v="241-270"/>
    <x v="1"/>
    <s v="COBRANZA"/>
    <x v="1"/>
    <s v="E"/>
    <n v="11378450"/>
    <n v="4"/>
    <s v="MARCO ANTONIO NATIVIA ESCALERA"/>
    <n v="1"/>
    <n v="147.577"/>
    <s v="28-08-2025"/>
    <n v="6"/>
    <n v="6"/>
    <n v="56"/>
    <s v="RENEGOCIADO"/>
    <m/>
    <n v="152674"/>
    <n v="9568"/>
    <s v="NO"/>
    <s v="23-01-2025"/>
    <n v="1490435"/>
    <s v="1,63"/>
    <m/>
    <m/>
    <m/>
    <s v="NO RECUPERADO"/>
    <n v="997506829"/>
    <m/>
    <m/>
    <s v="MARCONATIVA@GMAIL.COM"/>
    <m/>
    <m/>
    <s v="LOS CHUNGUNGOS"/>
    <s v="ANTOFAGASTA"/>
    <s v="II REGION"/>
    <s v="C-9879-2025"/>
    <s v="17º Juzgado Civil de Santiago"/>
    <s v="INGRESADO"/>
    <s v="MANTIENE"/>
    <m/>
    <m/>
    <m/>
    <m/>
    <s v="NO"/>
    <s v="ACTIVO"/>
    <m/>
    <s v="CHANGAN"/>
    <s v="CS 15"/>
    <n v="2021"/>
  </r>
  <r>
    <n v="3299202"/>
    <n v="0"/>
    <m/>
    <n v="5303370"/>
    <m/>
    <s v="PHOENIX"/>
    <s v="JUDICIAL"/>
    <x v="15"/>
    <s v="361-390"/>
    <x v="1"/>
    <s v="COBRANZA"/>
    <x v="1"/>
    <s v="E"/>
    <n v="12864382"/>
    <n v="6"/>
    <s v="EVELYN ELIZABETH FIGUEROA ACEVEDO"/>
    <n v="1"/>
    <n v="289.41800000000001"/>
    <m/>
    <m/>
    <n v="2"/>
    <m/>
    <s v="Directo"/>
    <m/>
    <n v="0"/>
    <n v="0"/>
    <s v="NO"/>
    <m/>
    <n v="0"/>
    <m/>
    <m/>
    <m/>
    <m/>
    <s v="CASTIGO"/>
    <n v="965648968"/>
    <m/>
    <m/>
    <s v="EVELYNFIGUEROA9759@GMAIL.COM"/>
    <m/>
    <m/>
    <s v="DOMEICO"/>
    <m/>
    <m/>
    <s v="C-11267-2025"/>
    <s v="10º Juzgado Civil de Santiago"/>
    <s v="INGRESADO"/>
    <s v="MANTIENE"/>
    <m/>
    <m/>
    <m/>
    <m/>
    <s v="NO"/>
    <s v="ACTIVO"/>
    <m/>
    <s v="CHERY"/>
    <s v="TIGGO 2 GLS"/>
    <n v="2022"/>
  </r>
  <r>
    <n v="3300453"/>
    <n v="273"/>
    <n v="10"/>
    <n v="7686140"/>
    <m/>
    <s v="PHOENIX"/>
    <s v="JUDICIAL"/>
    <x v="14"/>
    <s v="271-300"/>
    <x v="1"/>
    <s v="COBRANZA"/>
    <x v="1"/>
    <s v="E"/>
    <n v="20673684"/>
    <n v="4"/>
    <s v="BASTIAN IGNACIO TOBAR SANDOVAL"/>
    <n v="1"/>
    <n v="208.072"/>
    <d v="2025-05-08T00:00:00"/>
    <n v="5"/>
    <n v="5"/>
    <n v="49"/>
    <s v="AMICAR"/>
    <m/>
    <n v="249714"/>
    <n v="9568"/>
    <s v="NO"/>
    <s v="14-01-2025"/>
    <n v="2340002"/>
    <s v="1,79"/>
    <m/>
    <m/>
    <m/>
    <s v="NO RECUPERADO"/>
    <n v="954189716"/>
    <m/>
    <m/>
    <m/>
    <m/>
    <m/>
    <s v="VISTA HERMOSA 365"/>
    <s v="COLINA"/>
    <s v="REGION METROPOLITANA"/>
    <s v="C-17471-2025"/>
    <s v="18º Juzgado Civil de Santiago"/>
    <s v="INGRESADO"/>
    <s v="MANTIENE"/>
    <m/>
    <m/>
    <m/>
    <m/>
    <s v="NO"/>
    <s v="ACTIVO"/>
    <m/>
    <s v="HYUNDAI"/>
    <s v="GRAND I-10 AI3 HB 1.2 MT PLUS"/>
    <n v="0"/>
  </r>
  <r>
    <n v="3300923"/>
    <n v="309"/>
    <n v="11"/>
    <n v="4532228"/>
    <m/>
    <s v="PHOENIX"/>
    <s v="JUDICIAL"/>
    <x v="11"/>
    <s v="301-330"/>
    <x v="1"/>
    <s v="COBRANZA"/>
    <x v="1"/>
    <s v="E"/>
    <n v="14190835"/>
    <n v="9"/>
    <s v="RONNY ALBERTO MERIÑO UBAL"/>
    <n v="1"/>
    <n v="164.08699999999999"/>
    <s v="30-06-2025"/>
    <n v="3"/>
    <n v="3"/>
    <n v="40"/>
    <s v="RENEGOCIADO"/>
    <m/>
    <n v="253683"/>
    <n v="0"/>
    <s v="NO"/>
    <s v="30-01-2025"/>
    <n v="2058640"/>
    <s v="1,63"/>
    <m/>
    <m/>
    <m/>
    <s v="NO RECUPERADO"/>
    <n v="945106014"/>
    <m/>
    <m/>
    <s v="RONNY1981M@GMAIL.COM"/>
    <m/>
    <m/>
    <s v="TURQUESTAN"/>
    <m/>
    <m/>
    <s v="C-8483-2025"/>
    <s v="17º Juzgado Civil de Santiago"/>
    <s v="EMBARGADO"/>
    <s v="MANTIENE"/>
    <m/>
    <m/>
    <m/>
    <m/>
    <s v="SI"/>
    <s v="ACTIVO"/>
    <m/>
    <s v="CITROEN"/>
    <s v="B MULTISPACE 1.6"/>
    <n v="2012"/>
  </r>
  <r>
    <n v="3306478"/>
    <n v="237"/>
    <n v="8"/>
    <n v="29850679"/>
    <m/>
    <s v="PHOENIX"/>
    <s v="JUDICIAL"/>
    <x v="6"/>
    <s v="211-240"/>
    <x v="1"/>
    <s v="COBRANZA"/>
    <x v="1"/>
    <s v="E"/>
    <n v="14698527"/>
    <n v="0"/>
    <s v="XIUQIN LUO"/>
    <n v="1"/>
    <s v="1.108.054"/>
    <d v="2025-10-09T00:00:00"/>
    <n v="6"/>
    <n v="6"/>
    <n v="48"/>
    <s v="Dealer"/>
    <s v="DACIÓN"/>
    <n v="879805"/>
    <n v="253906"/>
    <s v="NO"/>
    <d v="2025-05-02T00:00:00"/>
    <n v="9998143"/>
    <s v="2,26"/>
    <m/>
    <m/>
    <m/>
    <s v="NO RECUPERADO"/>
    <n v="968186704"/>
    <m/>
    <m/>
    <s v="LXIUQIN31@GMAIL.COM"/>
    <m/>
    <m/>
    <s v="CORINTO 1820 DEPARTAMENTO 207"/>
    <s v="VITACURA"/>
    <s v="REGION METROPOLITANA"/>
    <s v="C-834-2026"/>
    <s v="17º Juzgado Civil de Santiago"/>
    <s v="INGRESADO"/>
    <s v="MANTIENE"/>
    <m/>
    <m/>
    <m/>
    <m/>
    <s v="NO"/>
    <s v="ACTIVO"/>
    <s v="LBSC65"/>
    <s v="PORSCHE"/>
    <s v="718 BOXSTER"/>
    <n v="2019"/>
  </r>
  <r>
    <n v="3306565"/>
    <n v="207"/>
    <n v="7"/>
    <n v="12041150"/>
    <m/>
    <s v="PHOENIX"/>
    <s v="JUDICIAL"/>
    <x v="8"/>
    <s v="181-210"/>
    <x v="1"/>
    <s v="COBRANZA"/>
    <x v="1"/>
    <s v="E"/>
    <n v="16913977"/>
    <n v="6"/>
    <s v="ROMINA GERALDINE ZÚÑIGA SANTIBÁÑEZ"/>
    <n v="1"/>
    <n v="559.35400000000004"/>
    <d v="2025-10-10T00:00:00"/>
    <n v="7"/>
    <n v="7"/>
    <n v="36"/>
    <s v="Dealer"/>
    <s v="DACIÓN"/>
    <n v="343843"/>
    <n v="175552"/>
    <s v="NO"/>
    <d v="2025-05-02T00:00:00"/>
    <n v="4434873"/>
    <s v="2,11"/>
    <m/>
    <m/>
    <m/>
    <s v="NO RECUPERADO"/>
    <n v="936809607"/>
    <m/>
    <m/>
    <s v="romy.loverj@icloud.com"/>
    <m/>
    <m/>
    <s v="ECUADOR 1153"/>
    <s v="LA CISTERNA"/>
    <s v="REGION METROPOLITANA"/>
    <s v="C-2256-2026"/>
    <s v="16º Juzgado Civil de Santiago"/>
    <s v="INGRESADO"/>
    <s v="MANTIENE"/>
    <m/>
    <m/>
    <m/>
    <m/>
    <s v="NO"/>
    <s v="ACTIVO"/>
    <s v="KCFH25"/>
    <s v="BMW"/>
    <s v="X1 XDRIVE 18ST"/>
    <n v="2018"/>
  </r>
  <r>
    <n v="3307443"/>
    <n v="124"/>
    <n v="5"/>
    <n v="6808142"/>
    <m/>
    <s v="PHOENIX"/>
    <s v="JUDICIAL"/>
    <x v="3"/>
    <s v="121-150"/>
    <x v="1"/>
    <s v="COBRANZA"/>
    <x v="1"/>
    <s v="E"/>
    <n v="16922010"/>
    <n v="7"/>
    <s v="FELIPE ANDRES ARAVENA CALFUNAO"/>
    <n v="1"/>
    <n v="333.75299999999999"/>
    <d v="2026-01-01T00:00:00"/>
    <n v="9"/>
    <n v="9"/>
    <n v="34"/>
    <s v="RENEGOCIADO"/>
    <m/>
    <n v="81712"/>
    <n v="0"/>
    <s v="NO"/>
    <d v="2025-05-02T00:00:00"/>
    <n v="1750477"/>
    <s v="1,63"/>
    <m/>
    <m/>
    <m/>
    <s v="NO RECUPERADO"/>
    <n v="978782784"/>
    <n v="978782784"/>
    <m/>
    <s v="FA_ARAVENA@HOTMAIL.COM"/>
    <m/>
    <m/>
    <s v="VELERO SUSANA"/>
    <m/>
    <s v="XIV REGION"/>
    <s v="C-9866-2025"/>
    <s v="2º Juzgado Civil de Santiago"/>
    <s v="EMBARGADO"/>
    <s v="MANTIENE"/>
    <m/>
    <m/>
    <m/>
    <m/>
    <s v="SI"/>
    <s v="ACTIVO"/>
    <m/>
    <s v="MAZDA"/>
    <s v="NEW CX 5 R 2.0 AUT"/>
    <n v="2022"/>
  </r>
  <r>
    <n v="3309254"/>
    <n v="126"/>
    <n v="5"/>
    <n v="5907526"/>
    <m/>
    <s v="PHOENIX"/>
    <s v="JUDICIAL"/>
    <x v="9"/>
    <s v="121-150"/>
    <x v="1"/>
    <s v="COBRANZA"/>
    <x v="1"/>
    <s v="E"/>
    <n v="13677157"/>
    <n v="4"/>
    <s v="HECTOR HERNAN DANIEL ROJAS MORALES"/>
    <n v="1"/>
    <n v="183.529"/>
    <s v="30-12-2025"/>
    <n v="9"/>
    <n v="9"/>
    <n v="55"/>
    <s v="RENEGOCIADO"/>
    <m/>
    <n v="54458"/>
    <n v="29224"/>
    <s v="NO"/>
    <d v="2025-04-02T00:00:00"/>
    <n v="1001327"/>
    <s v="1,63"/>
    <m/>
    <m/>
    <m/>
    <s v="NO RECUPERADO"/>
    <n v="989523009"/>
    <m/>
    <n v="56933089351"/>
    <s v="GABRIELAMILLA8@GMAIL.COM"/>
    <m/>
    <m/>
    <s v="PIEDRAS DE CHILE"/>
    <s v="HUECHURABA"/>
    <s v="REGION METROPOLITANA"/>
    <s v="C-11262-2025"/>
    <s v="21º JUZGADO CIVIL DE SANTIAGO"/>
    <s v="INGRESADO"/>
    <s v="MANTIENE"/>
    <m/>
    <m/>
    <m/>
    <m/>
    <s v="NO"/>
    <s v="ACTIVO"/>
    <m/>
    <s v="CHANGAN"/>
    <s v="CX 70"/>
    <n v="2021"/>
  </r>
  <r>
    <n v="3317826"/>
    <n v="61"/>
    <n v="3"/>
    <n v="4401108"/>
    <m/>
    <s v="PHOENIX"/>
    <s v="JUDICIAL"/>
    <x v="4"/>
    <s v="61-90"/>
    <x v="1"/>
    <s v="COBRANZA"/>
    <x v="1"/>
    <s v="E"/>
    <n v="17806460"/>
    <n v="6"/>
    <s v="SERGIO NICOLÁS  URIBE  GARCÍA"/>
    <n v="1"/>
    <n v="422.84100000000001"/>
    <d v="2026-05-03T00:00:00"/>
    <n v="12"/>
    <n v="12"/>
    <n v="24"/>
    <s v="CREDINISSAN"/>
    <m/>
    <n v="29941"/>
    <n v="0"/>
    <s v="NO"/>
    <s v="30-01-2025"/>
    <n v="1298464"/>
    <s v="2,26"/>
    <m/>
    <m/>
    <s v="NO PREMIUM"/>
    <s v="NO RECUPERADO"/>
    <n v="98603846"/>
    <m/>
    <n v="56998603846"/>
    <s v="SERGIO26URIBE@GMAIL.COM"/>
    <m/>
    <m/>
    <s v="ARTURO PRATT"/>
    <m/>
    <m/>
    <s v="C-8328-2025"/>
    <s v="11º Juzgado Civil de Santiago"/>
    <s v="NOTIFICADO"/>
    <s v="MANTIENE"/>
    <m/>
    <m/>
    <m/>
    <m/>
    <s v="SI"/>
    <s v="ACTIVO"/>
    <m/>
    <s v="NISSAN"/>
    <s v="QASHQAI 2.0 AT"/>
    <n v="2022"/>
  </r>
  <r>
    <n v="3321265"/>
    <n v="321"/>
    <n v="11"/>
    <n v="8539863"/>
    <m/>
    <s v="PHOENIX"/>
    <s v="JUDICIAL"/>
    <x v="11"/>
    <s v="301-330"/>
    <x v="1"/>
    <s v="COBRANZA"/>
    <x v="1"/>
    <s v="E"/>
    <n v="77290431"/>
    <n v="2"/>
    <s v="SERVICIOS PUBLICITARIOS Y TEXTILES MATEXSA SPA"/>
    <n v="0"/>
    <n v="295.77100000000002"/>
    <s v="18-06-2025"/>
    <n v="3"/>
    <n v="3"/>
    <n v="48"/>
    <s v="Dealer"/>
    <m/>
    <n v="414622"/>
    <n v="0"/>
    <s v="NO"/>
    <s v="17-02-2025"/>
    <n v="3668103"/>
    <s v="2,11"/>
    <m/>
    <m/>
    <m/>
    <s v="NO RECUPERADO"/>
    <n v="986131859"/>
    <m/>
    <m/>
    <s v="Paolo.gambino.j@gmail.com"/>
    <m/>
    <m/>
    <s v="Av Cuadro Verde 160, Torre1 Departamento24"/>
    <s v="ESTACION CENTRAL"/>
    <s v="REGION METROPOLITANA"/>
    <s v="C-14451-2025"/>
    <s v="30º Juzgado Civil de Santiago"/>
    <s v="EMBARGADO"/>
    <s v="MANTIENE"/>
    <m/>
    <m/>
    <m/>
    <m/>
    <s v="SI"/>
    <s v="ACTIVO"/>
    <m/>
    <s v="PEUGEOT"/>
    <n v="2008"/>
    <n v="2021"/>
  </r>
  <r>
    <n v="3322707"/>
    <n v="240"/>
    <n v="8"/>
    <n v="11650145"/>
    <m/>
    <s v="PHOENIX"/>
    <s v="JUDICIAL"/>
    <x v="6"/>
    <s v="211-240"/>
    <x v="1"/>
    <s v="COBRANZA"/>
    <x v="1"/>
    <s v="E"/>
    <n v="17766327"/>
    <n v="1"/>
    <s v="PABLO ANDRES ROJAS CARRASCO"/>
    <n v="1"/>
    <n v="371.346"/>
    <d v="2025-07-09T00:00:00"/>
    <n v="5"/>
    <n v="5"/>
    <n v="60"/>
    <s v="AMICAR"/>
    <m/>
    <n v="300897"/>
    <n v="156490"/>
    <s v="NO"/>
    <s v="17-02-2025"/>
    <n v="3428155"/>
    <s v="2,25"/>
    <m/>
    <m/>
    <m/>
    <s v="NO RECUPERADO"/>
    <n v="958138563"/>
    <m/>
    <m/>
    <s v="jprojas.silva@gmail.com"/>
    <m/>
    <m/>
    <s v="PASAJE EL CONCIERTO 647"/>
    <s v="MAIPU"/>
    <s v="REGION METROPOLITANA"/>
    <s v="C-830-2026"/>
    <s v="2º Juzgado Civil de Santiago"/>
    <s v="INGRESADO"/>
    <s v="MANTIENE"/>
    <m/>
    <m/>
    <m/>
    <m/>
    <s v="NO"/>
    <s v="ACTIVO"/>
    <m/>
    <s v="CHANGAN (02)"/>
    <s v="NEW CS35 PLUS COMFORT AT"/>
    <n v="0"/>
  </r>
  <r>
    <n v="3323737"/>
    <n v="299"/>
    <n v="10"/>
    <n v="7630382"/>
    <m/>
    <s v="PHOENIX"/>
    <s v="JUDICIAL"/>
    <x v="13"/>
    <s v="271-300"/>
    <x v="1"/>
    <s v="COBRANZA"/>
    <x v="1"/>
    <s v="E"/>
    <n v="19825824"/>
    <n v="5"/>
    <s v="JAVIER MARCELO  CAYO  QUISPE"/>
    <n v="1"/>
    <n v="240.125"/>
    <d v="2025-10-07T00:00:00"/>
    <n v="3"/>
    <n v="3"/>
    <n v="48"/>
    <s v="RENEGOCIADO"/>
    <m/>
    <n v="422623"/>
    <n v="0"/>
    <s v="NO"/>
    <s v="18-02-2025"/>
    <n v="2823873"/>
    <s v="1,62"/>
    <m/>
    <m/>
    <m/>
    <s v="NO RECUPERADO"/>
    <n v="947854687"/>
    <m/>
    <m/>
    <s v="DARKLINK1500@GMAIL.COM"/>
    <m/>
    <m/>
    <s v="MIRAFLORES 1316 POBLACION LA BANDA"/>
    <s v="CALAMA"/>
    <s v="II REGION"/>
    <s v="C-9876-2025"/>
    <s v="4º Juzgado Civil de Santiago"/>
    <s v="EMBARGADO"/>
    <s v="MANTIENE"/>
    <m/>
    <m/>
    <m/>
    <m/>
    <s v="SI"/>
    <s v="ACTIVO"/>
    <m/>
    <s v="NISSAN"/>
    <s v="QASHQAI J11 SENSE 4X2 MT"/>
    <n v="2022"/>
  </r>
  <r>
    <n v="3334006"/>
    <n v="155"/>
    <n v="6"/>
    <n v="15077508"/>
    <m/>
    <s v="PHOENIX"/>
    <s v="JUDICIAL"/>
    <x v="9"/>
    <s v="151-180"/>
    <x v="1"/>
    <s v="COBRANZA"/>
    <x v="1"/>
    <s v="E"/>
    <n v="15007851"/>
    <n v="2"/>
    <s v="FERNANDO ANTONIO SANTIBAÑEZ VARGAS"/>
    <n v="1"/>
    <n v="444.93700000000001"/>
    <d v="2025-01-12T00:00:00"/>
    <n v="8"/>
    <n v="8"/>
    <n v="37"/>
    <s v="AMICAR"/>
    <m/>
    <n v="160865"/>
    <n v="150993"/>
    <s v="NO"/>
    <s v="24-02-2025"/>
    <n v="2981480"/>
    <s v="1,59"/>
    <m/>
    <m/>
    <m/>
    <s v="NO RECUPERADO"/>
    <n v="977170932"/>
    <m/>
    <m/>
    <s v="nanobuggis@hotmail.cl"/>
    <m/>
    <m/>
    <s v="AV DIP HUMBERTO ARELLANO 82 DPTO 104 EDIFICIO 3 PISO 1"/>
    <s v="ARICA"/>
    <s v="XV REGION"/>
    <s v="C-5123-2026"/>
    <s v="26º Juzgado Civil de Santiago"/>
    <s v="INGRESADO"/>
    <s v="MANTIENE"/>
    <m/>
    <m/>
    <m/>
    <m/>
    <s v="NO"/>
    <s v="ACTIVO"/>
    <m/>
    <s v="CHANGAN"/>
    <s v="HUNTER 2.0T 4X2 LUXURY"/>
    <n v="0"/>
  </r>
  <r>
    <n v="3334027"/>
    <n v="273"/>
    <n v="10"/>
    <n v="6962325"/>
    <m/>
    <s v="PHOENIX"/>
    <s v="JUDICIAL"/>
    <x v="14"/>
    <s v="271-300"/>
    <x v="1"/>
    <s v="COBRANZA"/>
    <x v="1"/>
    <s v="E"/>
    <n v="13709211"/>
    <n v="5"/>
    <s v="RODRIGO GONZALO ACEVEDO CADIZ"/>
    <n v="1"/>
    <n v="285.57600000000002"/>
    <d v="2025-05-08T00:00:00"/>
    <n v="4"/>
    <n v="4"/>
    <n v="36"/>
    <s v="AMICAR"/>
    <m/>
    <n v="347944"/>
    <n v="0"/>
    <s v="NO"/>
    <s v="26-02-2025"/>
    <n v="3203704"/>
    <s v="1,74"/>
    <m/>
    <m/>
    <m/>
    <s v="NO RECUPERADO"/>
    <n v="987542361"/>
    <m/>
    <m/>
    <m/>
    <m/>
    <m/>
    <s v="LAGO ONTARIO 8054"/>
    <s v="LO PRADO"/>
    <s v="REGION METROPOLITANA"/>
    <s v="C-17477-2025"/>
    <s v="28º Juzgado Civil de Santiago"/>
    <s v="EMBARGADO"/>
    <s v="MANTIENE"/>
    <m/>
    <m/>
    <m/>
    <m/>
    <s v="SI"/>
    <s v="ACTIVO"/>
    <m/>
    <s v="DFSK"/>
    <s v="TRUCK CD C22 1.3 AC"/>
    <n v="0"/>
  </r>
  <r>
    <n v="3334914"/>
    <n v="181"/>
    <n v="7"/>
    <n v="10768289"/>
    <m/>
    <s v="PHOENIX"/>
    <s v="JUDICIAL"/>
    <x v="8"/>
    <s v="181-210"/>
    <x v="1"/>
    <s v="COBRANZA"/>
    <x v="1"/>
    <s v="E"/>
    <n v="9507551"/>
    <n v="7"/>
    <s v="JUAN LUIS HERNANDEZ ALMONACID"/>
    <n v="1"/>
    <n v="367.18599999999998"/>
    <d v="2025-05-11T00:00:00"/>
    <n v="7"/>
    <n v="6"/>
    <n v="37"/>
    <s v="AMICAR"/>
    <m/>
    <n v="176364"/>
    <n v="164760"/>
    <s v="NO"/>
    <d v="2025-11-02T00:00:00"/>
    <n v="2911426"/>
    <s v="2,26"/>
    <m/>
    <m/>
    <m/>
    <s v="CONTENIDO"/>
    <n v="982386492"/>
    <m/>
    <m/>
    <m/>
    <m/>
    <m/>
    <s v="PASAJE 2 1949"/>
    <s v="LA UNION"/>
    <s v="XIV REGION"/>
    <s v="C-13008-2025"/>
    <s v="9º Juzgado Civil de Santiago"/>
    <s v="INGRESADO"/>
    <s v="MANTIENE"/>
    <m/>
    <m/>
    <m/>
    <m/>
    <s v="NO"/>
    <s v="ACTIVO"/>
    <m/>
    <s v="HAVAL"/>
    <s v="HAVAL JOLION 1.5T MT 2WD ACTIVE F2"/>
    <n v="0"/>
  </r>
  <r>
    <n v="3337736"/>
    <n v="273"/>
    <n v="8"/>
    <n v="7658735"/>
    <m/>
    <s v="PHOENIX"/>
    <s v="JUDICIAL"/>
    <x v="14"/>
    <s v="271-300"/>
    <x v="1"/>
    <s v="COBRANZA"/>
    <x v="1"/>
    <s v="E"/>
    <n v="13609667"/>
    <n v="2"/>
    <s v="DOMINGO ANDRÉS  PONCE  SOBARZO"/>
    <n v="1"/>
    <s v="1.056.788"/>
    <d v="2025-05-08T00:00:00"/>
    <n v="4"/>
    <n v="4"/>
    <n v="12"/>
    <s v="CREDINISSAN"/>
    <m/>
    <n v="1532219"/>
    <n v="246586"/>
    <s v="NO"/>
    <d v="2025-04-03T00:00:00"/>
    <n v="10233109"/>
    <s v="2,25"/>
    <m/>
    <m/>
    <m/>
    <s v="NO RECUPERADO"/>
    <n v="93107470"/>
    <m/>
    <m/>
    <s v="DOMINGOPONCE@OUTLOOK.COM"/>
    <m/>
    <m/>
    <s v="EL LINGUE"/>
    <s v="TEMUCO"/>
    <s v="IX REGION"/>
    <s v="C-17537-2025"/>
    <s v="18º Juzgado Civil de Santiago"/>
    <s v="INGRESADO"/>
    <s v="MANTIENE"/>
    <m/>
    <m/>
    <m/>
    <m/>
    <s v="NO"/>
    <s v="ACTIVO"/>
    <m/>
    <s v="NISSAN"/>
    <s v="XTRAIL"/>
    <n v="2022"/>
  </r>
  <r>
    <n v="3344186"/>
    <n v="89"/>
    <n v="4"/>
    <n v="8043585"/>
    <m/>
    <s v="PHOENIX"/>
    <s v="JUDICIAL"/>
    <x v="12"/>
    <s v="61-90"/>
    <x v="1"/>
    <s v="COBRANZA"/>
    <x v="1"/>
    <s v="E"/>
    <n v="17766543"/>
    <n v="6"/>
    <s v="MAURICIO ANDRÉS GATICA ÁLVAREZ"/>
    <n v="1"/>
    <n v="311.97399999999999"/>
    <d v="2026-05-02T00:00:00"/>
    <n v="9"/>
    <n v="9"/>
    <n v="48"/>
    <s v="Dealer"/>
    <s v="DACIÓN"/>
    <n v="62248"/>
    <n v="0"/>
    <s v="NO"/>
    <d v="2025-11-03T00:00:00"/>
    <n v="1310144"/>
    <s v="2,25"/>
    <m/>
    <m/>
    <m/>
    <s v="NO RECUPERADO"/>
    <n v="983666981"/>
    <m/>
    <m/>
    <s v="mgatica.1990@gmail.com"/>
    <m/>
    <m/>
    <s v="TORQUEMADA 03206"/>
    <s v="PUENTE ALTO"/>
    <s v="REGION METROPOLITANA"/>
    <s v="C-2258-2026"/>
    <s v="11º Juzgado Civil de Santiago"/>
    <s v="NOTIFICADO"/>
    <s v="MANTIENE"/>
    <m/>
    <m/>
    <m/>
    <m/>
    <s v="SI"/>
    <s v="ACTIVO"/>
    <s v="LXGD55"/>
    <s v="MG"/>
    <s v="ZS"/>
    <n v="2021"/>
  </r>
  <r>
    <n v="3346122"/>
    <n v="171"/>
    <n v="6"/>
    <n v="1934493"/>
    <m/>
    <s v="PHOENIX"/>
    <s v="JUDICIAL"/>
    <x v="10"/>
    <s v="151-180"/>
    <x v="1"/>
    <s v="COBRANZA"/>
    <x v="1"/>
    <s v="E"/>
    <n v="10514632"/>
    <n v="9"/>
    <s v="CLAUDIO ARCADIO NAVARRO CAVIEDES"/>
    <n v="1"/>
    <n v="193.41399999999999"/>
    <s v="15-11-2025"/>
    <n v="7"/>
    <n v="7"/>
    <n v="18"/>
    <s v="RENEGOCIADO"/>
    <m/>
    <n v="121229"/>
    <n v="0"/>
    <s v="NO"/>
    <d v="2025-12-03T00:00:00"/>
    <n v="1281713"/>
    <s v="1,62"/>
    <m/>
    <m/>
    <m/>
    <s v="NO RECUPERADO"/>
    <n v="991987183"/>
    <m/>
    <n v="56993253731"/>
    <s v="CNAVARROCAVIEDES@GMAIL.COM"/>
    <m/>
    <m/>
    <s v="CERRO MURALLON"/>
    <m/>
    <m/>
    <s v="4435-2026"/>
    <s v="30 Juzgado Civil de Santiago"/>
    <s v="NOTIFICADO"/>
    <s v="MANTIENE"/>
    <m/>
    <m/>
    <m/>
    <m/>
    <s v="SI"/>
    <s v="ACTIVO"/>
    <m/>
    <s v="SUZUKI"/>
    <s v="JIMY GL 4X4"/>
    <n v="2020"/>
  </r>
  <r>
    <n v="3350049"/>
    <n v="105"/>
    <n v="4"/>
    <n v="5661718"/>
    <m/>
    <s v="PHOENIX"/>
    <s v="JUDICIAL"/>
    <x v="3"/>
    <s v="91-120"/>
    <x v="1"/>
    <s v="COBRANZA"/>
    <x v="1"/>
    <s v="E"/>
    <n v="15221775"/>
    <n v="7"/>
    <s v="PAMELA ALEJANDRA GONZALEZ ALVAREZ"/>
    <n v="1"/>
    <n v="210.09100000000001"/>
    <s v="20-01-2026"/>
    <n v="9"/>
    <n v="9"/>
    <n v="48"/>
    <s v="RENEGOCIADO"/>
    <m/>
    <n v="56158"/>
    <n v="0"/>
    <s v="NO"/>
    <s v="17-03-2025"/>
    <n v="896522"/>
    <s v="1,99"/>
    <m/>
    <m/>
    <m/>
    <s v="NO RECUPERADO"/>
    <n v="997107375"/>
    <m/>
    <m/>
    <s v="PAMELAGONZALEZALVAREZ1982@GMAIL.COM"/>
    <m/>
    <m/>
    <s v="LOS CANELOS"/>
    <s v="SAN PEDRO DE LA PAZ"/>
    <s v="VIII REGION"/>
    <s v="C-11268-2025"/>
    <s v="8º Juzgado Civil de Santiago"/>
    <s v="EMBARGADO"/>
    <s v="MANTIENE"/>
    <m/>
    <m/>
    <m/>
    <m/>
    <s v="SI"/>
    <s v="ACTIVO"/>
    <m/>
    <s v="BAIC"/>
    <s v="X55 1.5T"/>
    <n v="2022"/>
  </r>
  <r>
    <n v="3352007"/>
    <n v="95"/>
    <n v="4"/>
    <n v="3501023"/>
    <m/>
    <s v="PHOENIX"/>
    <s v="JUDICIAL"/>
    <x v="12"/>
    <s v="91-120"/>
    <x v="1"/>
    <s v="COBRANZA"/>
    <x v="1"/>
    <s v="E"/>
    <n v="26287698"/>
    <n v="5"/>
    <s v="MOYRA LISANDRA PERNIA CARMONA"/>
    <n v="1"/>
    <n v="198.01300000000001"/>
    <s v="30-01-2026"/>
    <n v="9"/>
    <n v="9"/>
    <n v="30"/>
    <s v="RENEGOCIADO"/>
    <m/>
    <n v="44686"/>
    <n v="9568"/>
    <s v="NO"/>
    <s v="18-03-2025"/>
    <n v="846306"/>
    <s v="1,62"/>
    <m/>
    <m/>
    <m/>
    <s v="NO RECUPERADO"/>
    <n v="987990942"/>
    <m/>
    <m/>
    <s v="MOYRAPERNIA@GMAIL.COM"/>
    <m/>
    <m/>
    <s v="COLOMBIA"/>
    <m/>
    <m/>
    <s v="C-15781-2025"/>
    <s v="17º Juzgado Civil de Santiago"/>
    <s v="INGRESADO"/>
    <s v="MANTIENE"/>
    <m/>
    <m/>
    <m/>
    <m/>
    <s v="NO"/>
    <s v="ACTIVO"/>
    <m/>
    <s v="SUBARU"/>
    <s v="XV AWD 2.0"/>
    <n v="2016"/>
  </r>
  <r>
    <n v="3352545"/>
    <n v="0"/>
    <m/>
    <n v="16102340"/>
    <m/>
    <s v="PHOENIX"/>
    <s v="JUDICIAL"/>
    <x v="7"/>
    <s v="361-390"/>
    <x v="1"/>
    <s v="COBRANZA"/>
    <x v="1"/>
    <s v="E"/>
    <n v="19854071"/>
    <n v="4"/>
    <s v="CARLOS MIGUEL BARRIOS MURILLO"/>
    <n v="1"/>
    <n v="517.322"/>
    <m/>
    <m/>
    <n v="0"/>
    <m/>
    <s v="MAF"/>
    <m/>
    <n v="0"/>
    <n v="0"/>
    <s v="NO"/>
    <d v="2025-12-03T00:00:00"/>
    <n v="0"/>
    <n v="2255"/>
    <m/>
    <m/>
    <m/>
    <s v="CASTIGO"/>
    <n v="999525331"/>
    <m/>
    <m/>
    <s v="cbarriosmurillo1998@gmail.com"/>
    <m/>
    <m/>
    <s v="PASAJE,UNIFRUTTI,45"/>
    <s v="REQUINOA"/>
    <s v="VI REGION"/>
    <s v="C-11259-2025"/>
    <s v="15º Juzgado Civil de Santiago"/>
    <s v="INGRESADO"/>
    <s v="MANTIENE"/>
    <m/>
    <m/>
    <m/>
    <m/>
    <s v="NO"/>
    <s v="ACTIVO"/>
    <m/>
    <s v="TOYOTA"/>
    <s v="YARIS CROSS"/>
    <n v="0"/>
  </r>
  <r>
    <n v="3353242"/>
    <n v="141"/>
    <n v="5"/>
    <n v="4026591"/>
    <m/>
    <s v="PHOENIX"/>
    <s v="JUDICIAL"/>
    <x v="9"/>
    <s v="121-150"/>
    <x v="1"/>
    <s v="COBRANZA"/>
    <x v="1"/>
    <s v="E"/>
    <n v="17499289"/>
    <n v="4"/>
    <s v="JAIRO ABEL SAEZ NAVARRO"/>
    <n v="1"/>
    <n v="118.04300000000001"/>
    <s v="15-12-2025"/>
    <n v="8"/>
    <n v="8"/>
    <n v="60"/>
    <s v="RENEGOCIADO"/>
    <m/>
    <n v="43183"/>
    <n v="9568"/>
    <s v="NO"/>
    <s v="19-03-2025"/>
    <n v="642966"/>
    <s v="1,73"/>
    <m/>
    <m/>
    <m/>
    <s v="NO RECUPERADO"/>
    <n v="97291850"/>
    <m/>
    <m/>
    <s v="JAIRO.SAEZ90@GMAIL.COM"/>
    <m/>
    <m/>
    <s v="CALLE CAMINO INTERNACIONAL"/>
    <s v="CURARREHUE"/>
    <s v="IX REGION"/>
    <s v="C-15752-2025"/>
    <s v="6º JUZGADO CIVIL DE SANTIAGO"/>
    <s v="INGRESADO"/>
    <s v="MANTIENE"/>
    <m/>
    <m/>
    <m/>
    <m/>
    <s v="NO"/>
    <s v="ACTIVO"/>
    <m/>
    <s v="SUZUKI"/>
    <s v="SWIFT 1.2"/>
    <n v="2022"/>
  </r>
  <r>
    <n v="3361043"/>
    <n v="181"/>
    <n v="7"/>
    <n v="9871749"/>
    <m/>
    <s v="PHOENIX"/>
    <s v="JUDICIAL"/>
    <x v="10"/>
    <s v="181-210"/>
    <x v="1"/>
    <s v="COBRANZA"/>
    <x v="1"/>
    <s v="E"/>
    <n v="16857948"/>
    <n v="9"/>
    <s v="DANIELA FERNANDA CARROZA AGUILERA"/>
    <n v="1"/>
    <n v="345.25200000000001"/>
    <d v="2025-05-11T00:00:00"/>
    <n v="6"/>
    <n v="6"/>
    <n v="37"/>
    <s v="AMICAR"/>
    <m/>
    <n v="241689"/>
    <n v="122523"/>
    <s v="NO"/>
    <s v="27-03-2025"/>
    <n v="2780976"/>
    <s v="2,3"/>
    <m/>
    <m/>
    <m/>
    <s v="NO RECUPERADO"/>
    <n v="940119871"/>
    <m/>
    <m/>
    <s v="dani.carroza@gmail.com"/>
    <m/>
    <m/>
    <s v="STTE. LUIS CRUZ MARTÍNEZ 551, RUCATREMO"/>
    <s v="CURICO"/>
    <s v="VII REGION"/>
    <s v="C-5129-2026"/>
    <s v="27º Juzgado Civil de Santiago"/>
    <s v="INGRESADO"/>
    <s v="MANTIENE"/>
    <m/>
    <m/>
    <m/>
    <m/>
    <s v="NO"/>
    <s v="ACTIVO"/>
    <m/>
    <s v="CHANGAN (02)"/>
    <s v="NEW CS15 ELITE AT"/>
    <n v="0"/>
  </r>
  <r>
    <n v="3365202"/>
    <n v="0"/>
    <m/>
    <n v="8073242"/>
    <m/>
    <s v="PHOENIX"/>
    <s v="JUDICIAL"/>
    <x v="7"/>
    <s v="361-390"/>
    <x v="1"/>
    <s v="COBRANZA"/>
    <x v="1"/>
    <s v="E"/>
    <n v="26300999"/>
    <n v="1"/>
    <s v="LUISA JOSEFA MORALES BARRERO"/>
    <n v="1"/>
    <n v="282.81200000000001"/>
    <m/>
    <m/>
    <n v="0"/>
    <m/>
    <s v="Dealer"/>
    <m/>
    <n v="0"/>
    <n v="0"/>
    <s v="NO"/>
    <d v="2025-02-04T00:00:00"/>
    <n v="0"/>
    <s v="2,3"/>
    <m/>
    <m/>
    <m/>
    <s v="CASTIGO"/>
    <n v="959126081"/>
    <m/>
    <m/>
    <s v="rivasjg86@gmail.com"/>
    <m/>
    <m/>
    <s v="SAN NICOLAS 1380 EDIFICIO A DPTO 406"/>
    <s v="SAN MIGUEL"/>
    <s v="REGION METROPOLITANA"/>
    <s v="C-11288-2025"/>
    <s v="7º Juzgado Civil de Santiago"/>
    <s v="EMBARGADO"/>
    <s v="MANTIENE"/>
    <m/>
    <m/>
    <m/>
    <m/>
    <s v="SI"/>
    <s v="ACTIVO"/>
    <m/>
    <s v="DFM"/>
    <s v="AEOLUS Y3"/>
    <n v="2025"/>
  </r>
  <r>
    <n v="3370287"/>
    <n v="274"/>
    <n v="10"/>
    <n v="8154232"/>
    <m/>
    <s v="PHOENIX"/>
    <s v="JUDICIAL"/>
    <x v="14"/>
    <s v="271-300"/>
    <x v="1"/>
    <s v="COBRANZA"/>
    <x v="1"/>
    <s v="E"/>
    <n v="25461704"/>
    <n v="0"/>
    <s v="FREDERICK ABRAHAM BARRERO GONZALEZ"/>
    <n v="1"/>
    <n v="334.36799999999999"/>
    <d v="2025-04-08T00:00:00"/>
    <n v="3"/>
    <n v="3"/>
    <n v="36"/>
    <s v="AMICAR"/>
    <m/>
    <n v="354268"/>
    <n v="0"/>
    <s v="NO"/>
    <d v="2025-03-04T00:00:00"/>
    <n v="3697948"/>
    <s v="1,89"/>
    <m/>
    <m/>
    <m/>
    <s v="NO RECUPERADO"/>
    <n v="946198657"/>
    <m/>
    <m/>
    <s v="frederickbarrerog@gmail.com"/>
    <m/>
    <m/>
    <s v="AVENIDA ALEMANIA 30-1 P 4 DP. 45"/>
    <s v="VIÑA DEL MAR"/>
    <s v="V REGION"/>
    <s v="C-17487-2025"/>
    <s v="27º Juzgado Civil de Santiago"/>
    <s v="EMBARGADO"/>
    <s v="MANTIENE"/>
    <m/>
    <m/>
    <m/>
    <m/>
    <s v="SI"/>
    <s v="ACTIVO"/>
    <m/>
    <s v="SUZUKI (08)"/>
    <s v="NEW BALENO 1.5 GLS"/>
    <n v="0"/>
  </r>
  <r>
    <n v="3371421"/>
    <n v="70"/>
    <n v="3"/>
    <n v="6207083"/>
    <m/>
    <s v="PHOENIX"/>
    <s v="JUDICIAL"/>
    <x v="12"/>
    <s v="61-90"/>
    <x v="1"/>
    <s v="COBRANZA"/>
    <x v="1"/>
    <s v="E"/>
    <n v="8450341"/>
    <s v="K"/>
    <s v="RICARDO GABRIEL PINOCHET FERNÁNDEZ"/>
    <n v="1"/>
    <n v="227.7"/>
    <s v="24-02-2026"/>
    <n v="7"/>
    <n v="7"/>
    <n v="48"/>
    <s v="Dealer"/>
    <m/>
    <n v="25851"/>
    <n v="0"/>
    <s v="NO"/>
    <d v="2025-08-04T00:00:00"/>
    <n v="708951"/>
    <s v="2,11"/>
    <m/>
    <m/>
    <m/>
    <s v="NO RECUPERADO"/>
    <m/>
    <m/>
    <m/>
    <s v="ignaciojoaquin824@gmail.com"/>
    <m/>
    <m/>
    <s v="Luis minino franco 234"/>
    <s v="LOS ANDES"/>
    <s v="V REGION"/>
    <s v="C-17460-2025"/>
    <s v="4º Juzgado Civil de Santiago"/>
    <s v="EMBARGADO"/>
    <s v="MANTIENE"/>
    <m/>
    <m/>
    <m/>
    <m/>
    <s v="SI"/>
    <s v="ACTIVO"/>
    <m/>
    <s v="KIA MOTORS"/>
    <s v="CERATO 5"/>
    <n v="2018"/>
  </r>
  <r>
    <n v="3373904"/>
    <n v="202"/>
    <n v="7"/>
    <n v="7994869"/>
    <m/>
    <s v="PHOENIX"/>
    <s v="JUDICIAL"/>
    <x v="8"/>
    <s v="181-210"/>
    <x v="1"/>
    <s v="COBRANZA"/>
    <x v="1"/>
    <s v="E"/>
    <n v="12769361"/>
    <n v="7"/>
    <s v="IVÁN OCTAVIO CORREA DÍAZ"/>
    <n v="1"/>
    <n v="276.351"/>
    <s v="15-10-2025"/>
    <n v="5"/>
    <n v="5"/>
    <n v="48"/>
    <s v="RENEGOCIADO"/>
    <m/>
    <n v="165825"/>
    <n v="122576"/>
    <s v="NO"/>
    <d v="2025-10-04T00:00:00"/>
    <n v="2222858"/>
    <s v="1,95"/>
    <m/>
    <m/>
    <m/>
    <s v="NO RECUPERADO"/>
    <n v="999838489"/>
    <m/>
    <m/>
    <s v="CORREADIAZIVANOCTAVIO@GMAIL.COM"/>
    <m/>
    <m/>
    <s v="SITIO VICTORIA CANDELARIA"/>
    <m/>
    <m/>
    <m/>
    <m/>
    <s v="ASIGNACION"/>
    <s v="MANTIENE"/>
    <m/>
    <m/>
    <m/>
    <m/>
    <s v="NO"/>
    <s v="ACTIVO"/>
    <m/>
    <s v="JETOUR"/>
    <s v="X 70 1.5"/>
    <n v="2023"/>
  </r>
  <r>
    <n v="3376847"/>
    <n v="184"/>
    <n v="7"/>
    <n v="2862834"/>
    <m/>
    <s v="PHOENIX"/>
    <s v="JUDICIAL"/>
    <x v="10"/>
    <s v="181-210"/>
    <x v="1"/>
    <s v="COBRANZA"/>
    <x v="1"/>
    <s v="E"/>
    <n v="18992583"/>
    <n v="2"/>
    <s v="JONATHAN OMAR FUENZALIDA PINTO"/>
    <n v="1"/>
    <n v="174.613"/>
    <d v="2025-02-11T00:00:00"/>
    <n v="5"/>
    <n v="5"/>
    <n v="24"/>
    <s v="RENEGOCIADO"/>
    <m/>
    <n v="103843"/>
    <n v="73789"/>
    <s v="NO"/>
    <d v="2025-10-04T00:00:00"/>
    <n v="1399923"/>
    <s v="1,52"/>
    <m/>
    <m/>
    <m/>
    <s v="NO RECUPERADO"/>
    <n v="968162371"/>
    <m/>
    <m/>
    <s v="FUENZALIDA.JONATHAN.20@GMAIL.COM"/>
    <m/>
    <m/>
    <s v="ATOLON"/>
    <m/>
    <m/>
    <s v="C-3908-2026"/>
    <s v="17º Juzgado Civil de Santiago"/>
    <s v="INGRESADO"/>
    <s v="MANTIENE"/>
    <m/>
    <m/>
    <m/>
    <m/>
    <s v="NO"/>
    <s v="ACTIVO"/>
    <m/>
    <s v="HYUNDAI"/>
    <s v="ACCENT RB GL 1.4"/>
    <n v="2019"/>
  </r>
  <r>
    <n v="3378278"/>
    <n v="89"/>
    <n v="4"/>
    <n v="7382913"/>
    <m/>
    <s v="PHOENIX"/>
    <s v="JUDICIAL"/>
    <x v="12"/>
    <s v="61-90"/>
    <x v="1"/>
    <s v="COBRANZA"/>
    <x v="1"/>
    <s v="E"/>
    <n v="10780067"/>
    <n v="0"/>
    <s v="HERMAN ROGELIO VELIZ ITE"/>
    <n v="1"/>
    <n v="253.85499999999999"/>
    <d v="2026-05-02T00:00:00"/>
    <n v="8"/>
    <n v="8"/>
    <n v="37"/>
    <s v="AMICAR"/>
    <m/>
    <n v="35887"/>
    <n v="68727"/>
    <s v="NO"/>
    <d v="2025-12-04T00:00:00"/>
    <n v="1120034"/>
    <n v="2305"/>
    <m/>
    <m/>
    <m/>
    <s v="NO RECUPERADO"/>
    <n v="951758014"/>
    <m/>
    <m/>
    <s v="veliziteh@gmail.com"/>
    <m/>
    <m/>
    <s v="TABAQUEROS SN 0"/>
    <s v="RIO HURTADO"/>
    <s v="IV REGION"/>
    <s v="C-3850-2026"/>
    <s v="8º Juzgado Civil de Santiago"/>
    <s v="INGRESADO"/>
    <s v="MANTIENE"/>
    <m/>
    <m/>
    <m/>
    <m/>
    <s v="NO"/>
    <s v="ACTIVO"/>
    <m/>
    <s v="JAC"/>
    <s v="JS2PRO MT LUXURY"/>
    <n v="0"/>
  </r>
  <r>
    <n v="3379591"/>
    <n v="202"/>
    <n v="7"/>
    <n v="10856174"/>
    <m/>
    <s v="PHOENIX"/>
    <s v="JUDICIAL"/>
    <x v="8"/>
    <s v="181-210"/>
    <x v="1"/>
    <s v="COBRANZA"/>
    <x v="1"/>
    <s v="E"/>
    <n v="12303126"/>
    <n v="1"/>
    <s v="EDMUNDO JAVIER FUENTES RODRÍGUEZ"/>
    <n v="1"/>
    <n v="329.90199999999999"/>
    <s v="15-10-2025"/>
    <n v="5"/>
    <n v="5"/>
    <n v="49"/>
    <s v="AMICAR"/>
    <m/>
    <n v="197959"/>
    <n v="118139"/>
    <s v="NO"/>
    <s v="14-04-2025"/>
    <n v="2625412"/>
    <s v="2,09"/>
    <m/>
    <m/>
    <m/>
    <s v="NO RECUPERADO"/>
    <n v="56966338392"/>
    <m/>
    <m/>
    <s v="maicol.fuentes.v@gmail.com"/>
    <m/>
    <m/>
    <s v="WILLIAM REBOLLEDO 1566"/>
    <s v="CURACAVI"/>
    <s v="REGION METROPOLITANA"/>
    <s v="C-2257-2026"/>
    <s v="29º Juzgado Civil de Santiago"/>
    <s v="INGRESADO"/>
    <s v="MANTIENE"/>
    <m/>
    <m/>
    <m/>
    <m/>
    <s v="NO"/>
    <s v="ACTIVO"/>
    <m/>
    <s v="DFSK"/>
    <s v="500 1.5 LUXURY CVT SK + LAM"/>
    <n v="2025"/>
  </r>
  <r>
    <n v="3379660"/>
    <n v="171"/>
    <n v="6"/>
    <n v="8374586"/>
    <m/>
    <s v="PHOENIX"/>
    <s v="JUDICIAL"/>
    <x v="10"/>
    <s v="151-180"/>
    <x v="1"/>
    <s v="COBRANZA"/>
    <x v="1"/>
    <s v="E"/>
    <n v="26294080"/>
    <n v="2"/>
    <s v="LENNYS CAROLINA CORTEZ DE HERNANDEZ"/>
    <n v="1"/>
    <n v="282.70499999999998"/>
    <s v="15-11-2025"/>
    <n v="6"/>
    <n v="6"/>
    <n v="48"/>
    <s v="RENEGOCIADO"/>
    <m/>
    <n v="117103"/>
    <n v="0"/>
    <s v="NO"/>
    <s v="15-04-2025"/>
    <n v="1813333"/>
    <s v="1,74"/>
    <m/>
    <m/>
    <m/>
    <s v="NO RECUPERADO"/>
    <n v="935455640"/>
    <m/>
    <m/>
    <s v="LENNYS1216@GMAIL.COM"/>
    <m/>
    <m/>
    <s v="ALGECIRAS"/>
    <m/>
    <m/>
    <s v="C-15777-2025"/>
    <s v="6º JUZGADO CIVIL DE SANTIAGO"/>
    <s v="EMBARGADO"/>
    <s v="MANTIENE"/>
    <m/>
    <m/>
    <m/>
    <m/>
    <s v="SI"/>
    <s v="ACTIVO"/>
    <m/>
    <s v="HAVAL"/>
    <s v="JOLION TURBO"/>
    <n v="2022"/>
  </r>
  <r>
    <n v="3382113"/>
    <n v="268"/>
    <n v="9"/>
    <n v="6806827"/>
    <m/>
    <s v="PHOENIX"/>
    <s v="JUDICIAL"/>
    <x v="14"/>
    <s v="241-270"/>
    <x v="1"/>
    <s v="COBRANZA"/>
    <x v="1"/>
    <s v="E"/>
    <n v="26492851"/>
    <n v="6"/>
    <s v="OSCAR DE JESUS GOMEZ TASCON"/>
    <n v="1"/>
    <n v="181.886"/>
    <d v="2025-10-08T00:00:00"/>
    <n v="2"/>
    <n v="2"/>
    <n v="60"/>
    <s v="RENEGOCIADO"/>
    <m/>
    <n v="208546"/>
    <n v="48528"/>
    <s v="NO"/>
    <s v="16-04-2025"/>
    <n v="1894048"/>
    <s v="1,62"/>
    <m/>
    <m/>
    <m/>
    <s v="NO RECUPERADO"/>
    <n v="985269465"/>
    <m/>
    <m/>
    <s v="OSCARGT0909@GMAIL.COM"/>
    <m/>
    <m/>
    <s v="ARTURO GODOY VILLA OLIMPICA"/>
    <m/>
    <m/>
    <s v="C-13003-2025"/>
    <s v="28º Juzgado Civil de Santiago"/>
    <s v="INGRESADO"/>
    <s v="MANTIENE"/>
    <m/>
    <m/>
    <m/>
    <m/>
    <s v="NO"/>
    <s v="ACTIVO"/>
    <m/>
    <s v="MAHINDRA"/>
    <s v="KUV 100 HATCH BACK 1.2"/>
    <n v="2022"/>
  </r>
  <r>
    <n v="3386408"/>
    <n v="338"/>
    <n v="12"/>
    <n v="12104783"/>
    <m/>
    <s v="PHOENIX"/>
    <s v="JUDICIAL"/>
    <x v="7"/>
    <s v="331-360"/>
    <x v="1"/>
    <s v="COBRANZA"/>
    <x v="1"/>
    <s v="E"/>
    <n v="17586126"/>
    <n v="2"/>
    <s v="FEDERICO NÉSTOR ALEJANDRO SCHULZ  GUTIÉRREZ"/>
    <n v="1"/>
    <n v="369.41"/>
    <d v="2025-01-06T00:00:00"/>
    <n v="0"/>
    <n v="0"/>
    <n v="37"/>
    <s v="Dealer"/>
    <m/>
    <n v="544572"/>
    <n v="0"/>
    <s v="NO"/>
    <s v="24-04-2025"/>
    <n v="4977492"/>
    <s v="2,15"/>
    <m/>
    <m/>
    <m/>
    <s v="NO RECUPERADO"/>
    <n v="987469887"/>
    <m/>
    <m/>
    <s v="f.schulz.gutierrez@gmail.com"/>
    <m/>
    <m/>
    <s v="CAMINO EL NATRE CASA 48 B"/>
    <s v="LOS ANGELES"/>
    <s v="VIII REGION"/>
    <s v="C-13014-2025"/>
    <s v="17º Juzgado Civil de Santiago"/>
    <s v="EMBARGADO"/>
    <s v="MANTIENE"/>
    <m/>
    <m/>
    <m/>
    <m/>
    <s v="SI"/>
    <s v="ACTIVO"/>
    <m/>
    <s v="KAIYI"/>
    <s v="KYX7"/>
    <n v="2025"/>
  </r>
  <r>
    <n v="3392387"/>
    <n v="276"/>
    <n v="10"/>
    <n v="10484070"/>
    <m/>
    <s v="PHOENIX"/>
    <s v="JUDICIAL"/>
    <x v="13"/>
    <s v="271-300"/>
    <x v="1"/>
    <s v="COBRANZA"/>
    <x v="1"/>
    <s v="E"/>
    <n v="15347259"/>
    <n v="9"/>
    <s v="FLOR INÉS SEPÚLVEDA MENARES"/>
    <n v="1"/>
    <n v="361.15300000000002"/>
    <d v="2025-02-08T00:00:00"/>
    <n v="2"/>
    <n v="2"/>
    <n v="48"/>
    <s v="Dealer"/>
    <m/>
    <n v="362093"/>
    <n v="0"/>
    <s v="NO"/>
    <s v="28-04-2025"/>
    <n v="3973623"/>
    <s v="2,15"/>
    <m/>
    <m/>
    <m/>
    <s v="NO RECUPERADO"/>
    <n v="961688629"/>
    <m/>
    <m/>
    <s v="Inespetisa41@gmail.com"/>
    <m/>
    <m/>
    <s v="Pasaje Soldado Correa 13649"/>
    <s v="LA PINTANA"/>
    <s v="REGION METROPOLITANA"/>
    <s v="C-15753-2025"/>
    <s v="15º Juzgado Civil de Santiago"/>
    <s v="NOTIFICADO"/>
    <s v="MANTIENE"/>
    <m/>
    <m/>
    <m/>
    <m/>
    <s v="SI"/>
    <s v="ACTIVO"/>
    <m/>
    <s v="DONGFENG"/>
    <s v="MAGE 1.5"/>
    <n v="2025"/>
  </r>
  <r>
    <n v="3392809"/>
    <n v="66"/>
    <n v="3"/>
    <n v="2896099"/>
    <m/>
    <s v="PHOENIX"/>
    <s v="JUDICIAL"/>
    <x v="12"/>
    <s v="61-90"/>
    <x v="1"/>
    <s v="COBRANZA"/>
    <x v="1"/>
    <s v="E"/>
    <n v="9187396"/>
    <n v="6"/>
    <s v="PATRICIO ALEJANDRO HARISTOY MALDONADO"/>
    <n v="1"/>
    <n v="137.375"/>
    <s v="28-02-2026"/>
    <n v="9"/>
    <n v="8"/>
    <n v="34"/>
    <s v="RENEGOCIADO"/>
    <m/>
    <n v="13615"/>
    <n v="29426"/>
    <s v="NO"/>
    <d v="2025-10-04T00:00:00"/>
    <n v="455166"/>
    <s v="1,62"/>
    <m/>
    <m/>
    <m/>
    <s v="CONTENIDO"/>
    <n v="982208798"/>
    <m/>
    <n v="56982208798"/>
    <s v="PATRICIO.HARISTOY@GMAIL.COM"/>
    <m/>
    <m/>
    <s v="JOSE JOAQUIN PRIETO"/>
    <m/>
    <m/>
    <m/>
    <m/>
    <s v="ASIGNACION"/>
    <s v="MANTIENE"/>
    <m/>
    <m/>
    <m/>
    <m/>
    <s v="NO"/>
    <s v="ACTIVO"/>
    <m/>
    <s v="SUZUKI"/>
    <s v="S-PRESSO"/>
    <n v="2021"/>
  </r>
  <r>
    <n v="3409313"/>
    <n v="304"/>
    <n v="11"/>
    <n v="12662922"/>
    <m/>
    <s v="PHOENIX"/>
    <s v="JUDICIAL"/>
    <x v="13"/>
    <s v="301-330"/>
    <x v="1"/>
    <s v="COBRANZA"/>
    <x v="1"/>
    <s v="E"/>
    <n v="17482620"/>
    <s v="K"/>
    <s v="JIMMY MANUEL SAVICH MELENDRE"/>
    <n v="1"/>
    <n v="366.82499999999999"/>
    <d v="2025-05-07T00:00:00"/>
    <n v="0"/>
    <n v="0"/>
    <n v="49"/>
    <s v="AMICAR"/>
    <m/>
    <n v="440074"/>
    <n v="0"/>
    <s v="NO"/>
    <s v="13-05-2025"/>
    <n v="4475149"/>
    <s v="2,15"/>
    <m/>
    <m/>
    <m/>
    <s v="NO RECUPERADO"/>
    <n v="978534087"/>
    <m/>
    <m/>
    <s v="jimmysavich@hotmail.com"/>
    <m/>
    <m/>
    <s v="DOCTOR LUIS CALVO MACKENNA 7428"/>
    <s v="LA FLORIDA"/>
    <s v="REGION METROPOLITANA"/>
    <s v="C-14426-2025"/>
    <s v="6º JUZGADO CIVIL DE SANTIAGO"/>
    <s v="EMBARGADO"/>
    <s v="MANTIENE"/>
    <m/>
    <m/>
    <m/>
    <m/>
    <s v="SI"/>
    <s v="ACTIVO"/>
    <m/>
    <s v="SUZUKI"/>
    <s v="SWIFT 1.4 DIT SPORT"/>
    <n v="0"/>
  </r>
  <r>
    <n v="3414223"/>
    <n v="273"/>
    <n v="10"/>
    <n v="6431652"/>
    <m/>
    <s v="PHOENIX"/>
    <s v="JUDICIAL"/>
    <x v="14"/>
    <s v="271-300"/>
    <x v="1"/>
    <s v="COBRANZA"/>
    <x v="1"/>
    <s v="E"/>
    <n v="13820720"/>
    <s v="K"/>
    <s v="YOHANA EDITH  ANGULO  MUÑOZ"/>
    <n v="1"/>
    <n v="357.38799999999998"/>
    <d v="2025-05-08T00:00:00"/>
    <n v="1"/>
    <n v="1"/>
    <n v="24"/>
    <s v="CREDINISSAN"/>
    <m/>
    <n v="424839"/>
    <n v="0"/>
    <s v="NO"/>
    <s v="17-05-2025"/>
    <n v="3998719"/>
    <s v="2,15"/>
    <m/>
    <m/>
    <m/>
    <s v="NO RECUPERADO"/>
    <n v="993884848"/>
    <m/>
    <m/>
    <s v="YOHANAEDITH29@YAHOO.ES"/>
    <m/>
    <m/>
    <s v="LAS ASTROMELIAS"/>
    <m/>
    <m/>
    <s v="C-15770-2025"/>
    <s v="7º Juzgado Civil de Santiago"/>
    <s v="EMBARGADO"/>
    <s v="MANTIENE"/>
    <m/>
    <m/>
    <m/>
    <m/>
    <s v="SI"/>
    <s v="ACTIVO"/>
    <m/>
    <s v="NISSAN"/>
    <s v="KICKS"/>
    <n v="2022"/>
  </r>
  <r>
    <n v="3417756"/>
    <n v="308"/>
    <n v="11"/>
    <n v="21584998"/>
    <m/>
    <s v="PHOENIX"/>
    <s v="JUDICIAL"/>
    <x v="11"/>
    <s v="301-330"/>
    <x v="1"/>
    <s v="COBRANZA"/>
    <x v="1"/>
    <s v="E"/>
    <n v="21301036"/>
    <n v="0"/>
    <s v="JORGE LUIS ESTEBANOVICH PACHECO"/>
    <n v="1"/>
    <n v="734.24900000000002"/>
    <d v="2025-01-07T00:00:00"/>
    <n v="0"/>
    <n v="0"/>
    <n v="48"/>
    <s v="Dealer"/>
    <m/>
    <n v="888665"/>
    <n v="0"/>
    <s v="NO"/>
    <s v="23-05-2025"/>
    <n v="8965404"/>
    <s v="2,15"/>
    <m/>
    <m/>
    <m/>
    <s v="NO RECUPERADO"/>
    <n v="986085160"/>
    <m/>
    <m/>
    <s v="jorgeluispacheco777@gmail.com"/>
    <m/>
    <m/>
    <s v="GENERAL FREIRE 1424"/>
    <s v="LA CISTERNA"/>
    <s v="REGION METROPOLITANA"/>
    <s v="C-14420-2025"/>
    <s v="18º Juzgado Civil de Santiago"/>
    <s v="EMBARGADO"/>
    <s v="MANTIENE"/>
    <m/>
    <m/>
    <m/>
    <m/>
    <s v="SI"/>
    <s v="ACTIVO"/>
    <m/>
    <s v="PEUGEOT"/>
    <s v="RIFTER"/>
    <n v="2025"/>
  </r>
  <r>
    <n v="3421001"/>
    <n v="95"/>
    <n v="4"/>
    <n v="9926495"/>
    <m/>
    <s v="PHOENIX"/>
    <s v="JUDICIAL"/>
    <x v="12"/>
    <s v="91-120"/>
    <x v="1"/>
    <s v="COBRANZA"/>
    <x v="1"/>
    <s v="E"/>
    <n v="11853996"/>
    <n v="6"/>
    <s v="MARCELA VIVIANA OYARCE ILLANES"/>
    <n v="1"/>
    <n v="278.56299999999999"/>
    <s v="30-01-2026"/>
    <n v="7"/>
    <n v="7"/>
    <n v="60"/>
    <s v="RENEGOCIADO"/>
    <m/>
    <n v="41266"/>
    <n v="0"/>
    <s v="NO"/>
    <s v="20-05-2025"/>
    <n v="1155518"/>
    <s v="1,59"/>
    <m/>
    <m/>
    <m/>
    <s v="NO RECUPERADO"/>
    <n v="966454674"/>
    <m/>
    <m/>
    <s v="MARCELAOIAP@GMAIL.COM"/>
    <m/>
    <m/>
    <s v="AV LOS ZAPADORES"/>
    <s v="RECOLETA"/>
    <s v="REGION METROPOLITANA"/>
    <s v="C-2256-2026"/>
    <s v="8º Juzgado Civil de Santiago"/>
    <s v="EMBARGADO"/>
    <s v="MANTIENE"/>
    <m/>
    <m/>
    <m/>
    <m/>
    <s v="SI"/>
    <s v="ACTIVO"/>
    <m/>
    <s v="PEUGEOT"/>
    <s v="2008 BLUE HDI 1.5"/>
    <n v="2021"/>
  </r>
  <r>
    <n v="3421212"/>
    <n v="93"/>
    <n v="4"/>
    <n v="6432153"/>
    <m/>
    <s v="PHOENIX"/>
    <s v="JUDICIAL"/>
    <x v="12"/>
    <s v="91-120"/>
    <x v="1"/>
    <s v="COBRANZA"/>
    <x v="1"/>
    <s v="E"/>
    <n v="27108789"/>
    <n v="6"/>
    <s v="ANGEL MOISES RAMONES HERNANDEZ"/>
    <n v="1"/>
    <n v="256.49599999999998"/>
    <d v="2026-01-02T00:00:00"/>
    <n v="7"/>
    <n v="7"/>
    <n v="48"/>
    <s v="Dealer"/>
    <m/>
    <n v="44543"/>
    <n v="0"/>
    <s v="NO"/>
    <s v="27-05-2025"/>
    <n v="1070527"/>
    <s v="2,59"/>
    <m/>
    <m/>
    <m/>
    <s v="NO RECUPERADO"/>
    <n v="959617033"/>
    <m/>
    <m/>
    <s v="angelmramones@hotmail.com"/>
    <m/>
    <m/>
    <s v="PORVENIR 528"/>
    <s v="SANTIAGO"/>
    <s v="REGION METROPOLITANA"/>
    <s v="C-17472-2025"/>
    <s v="23º Juzgado Civil de Santiago"/>
    <s v="NOTIFICADO"/>
    <s v="MANTIENE"/>
    <m/>
    <m/>
    <m/>
    <m/>
    <s v="SI"/>
    <s v="ACTIVO"/>
    <m/>
    <s v="FOTON"/>
    <s v="MIDI CABINA DOBLE 1.2"/>
    <n v="2025"/>
  </r>
  <r>
    <n v="3424519"/>
    <n v="181"/>
    <n v="7"/>
    <n v="8747371"/>
    <m/>
    <s v="PHOENIX"/>
    <s v="JUDICIAL"/>
    <x v="10"/>
    <s v="181-210"/>
    <x v="1"/>
    <s v="COBRANZA"/>
    <x v="1"/>
    <s v="E"/>
    <n v="16604834"/>
    <n v="6"/>
    <s v="FRANCISCO JOSE ARIAS TRECAÑANCO"/>
    <n v="1"/>
    <n v="245.726"/>
    <d v="2025-05-11T00:00:00"/>
    <n v="4"/>
    <n v="4"/>
    <n v="60"/>
    <s v="Directo"/>
    <m/>
    <n v="112919"/>
    <n v="0"/>
    <s v="NO"/>
    <s v="27-05-2025"/>
    <n v="1833001"/>
    <s v="1,74"/>
    <m/>
    <m/>
    <m/>
    <s v="NO RECUPERADO"/>
    <n v="995282528"/>
    <m/>
    <m/>
    <s v="FELIPEARIAS848@GMAIL.COM"/>
    <m/>
    <m/>
    <s v="QUINCHAMALI"/>
    <s v="LO BARNECHEA"/>
    <s v="REGION METROPOLITANA"/>
    <s v="C-3904-2026"/>
    <s v="8º Juzgado Civil de Santiago"/>
    <s v="NOTIFICADO"/>
    <s v="MANTIENE"/>
    <m/>
    <m/>
    <m/>
    <m/>
    <s v="SI"/>
    <s v="ACTIVO"/>
    <m/>
    <s v="SUZUKI"/>
    <s v="BALENO GLX"/>
    <n v="2022"/>
  </r>
  <r>
    <n v="3428037"/>
    <n v="132"/>
    <n v="5"/>
    <n v="6111623"/>
    <m/>
    <s v="PHOENIX"/>
    <s v="JUDICIAL"/>
    <x v="9"/>
    <s v="121-150"/>
    <x v="1"/>
    <s v="COBRANZA"/>
    <x v="1"/>
    <s v="E"/>
    <n v="13971841"/>
    <n v="0"/>
    <s v="PAMELA ANTONIETA  ALCÁNTARA  TRONCOSO"/>
    <n v="1"/>
    <n v="279.81700000000001"/>
    <s v="24-12-2025"/>
    <n v="5"/>
    <n v="5"/>
    <n v="32"/>
    <s v="RENEGOCIADO"/>
    <m/>
    <n v="87711"/>
    <n v="94267"/>
    <s v="NO"/>
    <d v="2025-05-06T00:00:00"/>
    <n v="1581063"/>
    <s v="1,58"/>
    <m/>
    <m/>
    <m/>
    <s v="NO RECUPERADO"/>
    <n v="966991289"/>
    <m/>
    <m/>
    <s v="P.ALCANTAR.T@GMAIL.COM"/>
    <m/>
    <m/>
    <s v="25 ORIENTE  3267 PARQUE BICENTENARIO"/>
    <s v="TALCA"/>
    <s v="VII REGION"/>
    <s v="C-5131-2026"/>
    <s v="13º Juzgado Civil de Santiago"/>
    <s v="INGRESADO"/>
    <s v="MANTIENE"/>
    <m/>
    <m/>
    <m/>
    <m/>
    <s v="NO"/>
    <s v="ACTIVO"/>
    <m/>
    <s v="NISSAN"/>
    <s v="KICKS SENSE MT"/>
    <n v="2022"/>
  </r>
  <r>
    <n v="3428246"/>
    <n v="187"/>
    <n v="7"/>
    <n v="4971024"/>
    <m/>
    <s v="PHOENIX"/>
    <s v="JUDICIAL"/>
    <x v="8"/>
    <s v="181-210"/>
    <x v="1"/>
    <s v="COBRANZA"/>
    <x v="1"/>
    <s v="E"/>
    <n v="25500983"/>
    <n v="4"/>
    <s v="ANDRES MAURICIO  IBARBO  SANCHEZ"/>
    <n v="1"/>
    <n v="196.44300000000001"/>
    <s v="30-10-2025"/>
    <n v="3"/>
    <n v="3"/>
    <n v="35"/>
    <s v="RENEGOCIADO"/>
    <m/>
    <n v="115648"/>
    <n v="80023"/>
    <s v="NO"/>
    <d v="2025-02-06T00:00:00"/>
    <n v="1570772"/>
    <s v="1,49"/>
    <m/>
    <m/>
    <m/>
    <s v="NO RECUPERADO"/>
    <n v="928866830"/>
    <m/>
    <m/>
    <s v="ANDRESYPAOLA91@GMAIL.COM"/>
    <m/>
    <m/>
    <s v="PEDRO MONTT"/>
    <m/>
    <m/>
    <s v="C-2401-2026"/>
    <s v="16º Juzgado Civil de Santiago"/>
    <s v="INGRESADO"/>
    <s v="MANTIENE"/>
    <m/>
    <m/>
    <m/>
    <m/>
    <s v="NO"/>
    <s v="ACTIVO"/>
    <m/>
    <s v="NISSAN"/>
    <s v="VERSA"/>
    <n v="2022"/>
  </r>
  <r>
    <n v="3431610"/>
    <n v="182"/>
    <n v="7"/>
    <n v="6517758"/>
    <m/>
    <s v="PHOENIX"/>
    <s v="JUDICIAL"/>
    <x v="10"/>
    <s v="181-210"/>
    <x v="1"/>
    <s v="COBRANZA"/>
    <x v="1"/>
    <s v="E"/>
    <n v="28026985"/>
    <n v="9"/>
    <s v="ALVARO AURELIO AVEIGA SOSA"/>
    <n v="1"/>
    <n v="230.96799999999999"/>
    <d v="2025-04-11T00:00:00"/>
    <n v="4"/>
    <n v="4"/>
    <n v="37"/>
    <s v="AMICAR"/>
    <m/>
    <n v="129556"/>
    <n v="9568"/>
    <s v="NO"/>
    <d v="2025-02-06T00:00:00"/>
    <n v="1755900"/>
    <s v="2,6"/>
    <m/>
    <m/>
    <m/>
    <s v="NO RECUPERADO"/>
    <n v="935252106"/>
    <m/>
    <m/>
    <m/>
    <m/>
    <m/>
    <s v="ELEUTERIO RAMIREZ 1070"/>
    <s v="SANTIAGO"/>
    <s v="REGION METROPOLITANA"/>
    <s v="C-3846-2026"/>
    <s v="21º JUZGADO CIVIL DE SANTIAGO"/>
    <s v="INGRESADO"/>
    <s v="MANTIENE"/>
    <m/>
    <m/>
    <m/>
    <m/>
    <s v="NO"/>
    <s v="ACTIVO"/>
    <m/>
    <s v="JAC (05)"/>
    <s v="JS2 COMFORT CVT"/>
    <n v="0"/>
  </r>
  <r>
    <n v="3451420"/>
    <n v="56"/>
    <n v="2"/>
    <n v="7115889"/>
    <m/>
    <s v="PHOENIX"/>
    <s v="JUDICIAL"/>
    <x v="4"/>
    <s v="31-60"/>
    <x v="1"/>
    <s v="COBRANZA"/>
    <x v="1"/>
    <s v="E"/>
    <n v="12778172"/>
    <n v="9"/>
    <s v="ROQUE MANUEL GONZALEZ GONZALEZ"/>
    <n v="1"/>
    <n v="630.76700000000005"/>
    <d v="2026-10-03T00:00:00"/>
    <n v="9"/>
    <n v="9"/>
    <n v="22"/>
    <s v="MARUBENI"/>
    <m/>
    <n v="47336"/>
    <n v="68956"/>
    <s v="NO"/>
    <d v="2023-04-02T00:00:00"/>
    <n v="1377826"/>
    <s v="2,09"/>
    <m/>
    <m/>
    <s v="NO PREMIUM"/>
    <s v="NO RECUPERADO"/>
    <n v="985572582"/>
    <m/>
    <m/>
    <s v="ROKE123GONZALEZ@GMAIL.COM"/>
    <m/>
    <m/>
    <s v="BETANIA 0395 VILLA SAGRADA FAMILIA"/>
    <s v="TUCAPEL"/>
    <s v="VIII REGION"/>
    <s v="C-5127-2026"/>
    <s v="16º Juzgado Civil de Santiago"/>
    <s v="INGRESADO"/>
    <s v="MANTIENE"/>
    <m/>
    <m/>
    <m/>
    <m/>
    <s v="NO"/>
    <s v="ACTIVO"/>
    <m/>
    <s v="HAVAL"/>
    <s v="HAVAL H6 3GEN 2.0T AT 2WD DELUXE"/>
    <n v="2023"/>
  </r>
  <r>
    <n v="3451423"/>
    <n v="181"/>
    <n v="7"/>
    <n v="6793285"/>
    <m/>
    <s v="PHOENIX"/>
    <s v="JUDICIAL"/>
    <x v="10"/>
    <s v="181-210"/>
    <x v="1"/>
    <s v="COBRANZA"/>
    <x v="1"/>
    <s v="E"/>
    <n v="27029517"/>
    <n v="7"/>
    <s v="JOSE CARLOS LISBOA JUNIOR"/>
    <n v="1"/>
    <n v="528.89800000000002"/>
    <d v="2025-05-11T00:00:00"/>
    <n v="6"/>
    <n v="6"/>
    <n v="22"/>
    <s v="MARUBENI"/>
    <s v="DACIÓN"/>
    <n v="305575"/>
    <n v="0"/>
    <s v="NO"/>
    <d v="2023-01-02T00:00:00"/>
    <n v="4007861"/>
    <s v="2,71"/>
    <m/>
    <m/>
    <m/>
    <s v="NO RECUPERADO"/>
    <n v="945478414"/>
    <m/>
    <m/>
    <s v="JUNIORLISBOAAJU@GMAIL.COM"/>
    <m/>
    <m/>
    <s v="SAN DIEGO 313 DEPTO 1510"/>
    <s v="IQUIQUE"/>
    <s v="I REGION"/>
    <s v="C-3894-2026"/>
    <s v="7º Juzgado Civil de Santiago"/>
    <s v="NOTIFICADO"/>
    <s v="MANTIENE"/>
    <m/>
    <m/>
    <m/>
    <m/>
    <s v="SI"/>
    <s v="ACTIVO"/>
    <s v="SPLS36"/>
    <s v="JETOUR"/>
    <s v="X70 GLS MT"/>
    <n v="2023"/>
  </r>
  <r>
    <n v="3451547"/>
    <n v="207"/>
    <n v="7"/>
    <n v="6061638"/>
    <m/>
    <s v="PHOENIX"/>
    <s v="JUDICIAL"/>
    <x v="8"/>
    <s v="181-210"/>
    <x v="1"/>
    <s v="COBRANZA"/>
    <x v="1"/>
    <s v="E"/>
    <n v="16224325"/>
    <s v="K"/>
    <s v="KATHERINE MARGARITA DÍAZ FARÍAS"/>
    <n v="1"/>
    <n v="236.29"/>
    <d v="2025-10-10T00:00:00"/>
    <n v="4"/>
    <n v="4"/>
    <n v="11"/>
    <s v="MARUBENI"/>
    <m/>
    <n v="295626"/>
    <n v="91403"/>
    <s v="NO"/>
    <d v="2023-08-02T00:00:00"/>
    <n v="2041059"/>
    <s v="1,89"/>
    <m/>
    <m/>
    <m/>
    <s v="NO RECUPERADO"/>
    <n v="963127455"/>
    <m/>
    <m/>
    <s v="KATHERINE.DIAZFARIAS@GMAIL.COM"/>
    <m/>
    <m/>
    <s v="AVDA. FERNANDEZ ALBANO 797 DEPTO 701 TORRE A"/>
    <s v="CALAMA"/>
    <s v="II REGION"/>
    <s v="C-2401-2026"/>
    <s v="11º Juzgado Civil de Santiago"/>
    <s v="INGRESADO"/>
    <s v="MANTIENE"/>
    <m/>
    <m/>
    <m/>
    <m/>
    <s v="NO"/>
    <s v="ACTIVO"/>
    <s v="ET"/>
    <s v="CHERY"/>
    <s v="TIGGO"/>
    <n v="2023"/>
  </r>
  <r>
    <n v="3452429"/>
    <n v="227"/>
    <n v="2"/>
    <n v="7635807"/>
    <m/>
    <s v="PHOENIX"/>
    <s v="JUDICIAL"/>
    <x v="6"/>
    <s v="211-240"/>
    <x v="1"/>
    <s v="COBRANZA"/>
    <x v="1"/>
    <s v="E"/>
    <n v="13720302"/>
    <n v="2"/>
    <s v="FELIPE ALEJANDRO ILUFFI OLIVARES"/>
    <n v="1"/>
    <n v="439.005"/>
    <s v="20-09-2025"/>
    <n v="3"/>
    <n v="3"/>
    <n v="5"/>
    <s v="MARUBENI"/>
    <s v="DACIÓN"/>
    <n v="1446813"/>
    <n v="369353"/>
    <s v="NO"/>
    <d v="2023-04-08T00:00:00"/>
    <n v="2694176"/>
    <s v="1,99"/>
    <m/>
    <m/>
    <m/>
    <s v="NO RECUPERADO"/>
    <n v="950015811"/>
    <m/>
    <m/>
    <s v="FILUFFI@GMAIL.COM"/>
    <m/>
    <m/>
    <s v="CALLE LAS ESCALOPIAS 2297 CONDOMINIO PARQUE DEL"/>
    <s v="OLIVAR"/>
    <s v="VI REGION"/>
    <s v="C-2404-2026"/>
    <s v="10º Juzgado Civil de Santiago"/>
    <s v="INGRESADO"/>
    <s v="MANTIENE"/>
    <m/>
    <m/>
    <m/>
    <m/>
    <s v="NO"/>
    <s v="ACTIVO"/>
    <s v="PCBC12"/>
    <s v="MAZDA"/>
    <s v="MAZDA 6 SEDAN V 6MT"/>
    <n v="2020"/>
  </r>
  <r>
    <n v="3452655"/>
    <n v="271"/>
    <n v="3"/>
    <n v="7668715"/>
    <m/>
    <s v="PHOENIX"/>
    <s v="JUDICIAL"/>
    <x v="14"/>
    <s v="271-300"/>
    <x v="1"/>
    <s v="COBRANZA"/>
    <x v="1"/>
    <s v="E"/>
    <n v="18047588"/>
    <n v="5"/>
    <s v="SIMÓN YOEL FREIRE RAMÍREZ"/>
    <n v="1"/>
    <n v="266.50900000000001"/>
    <d v="2025-07-08T00:00:00"/>
    <n v="2"/>
    <n v="2"/>
    <n v="5"/>
    <s v="MARUBENI"/>
    <s v="DACIÓN"/>
    <n v="1557963"/>
    <n v="375982"/>
    <s v="NO"/>
    <d v="2023-07-09T00:00:00"/>
    <n v="2733472"/>
    <s v="1,99"/>
    <m/>
    <m/>
    <m/>
    <s v="NO RECUPERADO"/>
    <n v="988137889"/>
    <m/>
    <m/>
    <s v="S.FREIRERAMIREZ@GMAIL.COM"/>
    <m/>
    <m/>
    <s v="AV. CORONEL ALEJANDRO SEPÚLVEDA 7163"/>
    <s v="ANTOFAGASTA"/>
    <s v="II REGION"/>
    <s v="C-17644-2025"/>
    <s v="18º Juzgado Civil de Santiago"/>
    <s v="INGRESADO"/>
    <s v="MANTIENE"/>
    <m/>
    <m/>
    <m/>
    <m/>
    <s v="NO"/>
    <s v="ACTIVO"/>
    <s v="SBCF61"/>
    <s v="CHEVROLET"/>
    <s v="TRACKER"/>
    <n v="2022"/>
  </r>
  <r>
    <n v="3452939"/>
    <n v="181"/>
    <n v="7"/>
    <n v="11071931"/>
    <m/>
    <s v="PHOENIX"/>
    <s v="JUDICIAL"/>
    <x v="10"/>
    <s v="181-210"/>
    <x v="1"/>
    <s v="COBRANZA"/>
    <x v="1"/>
    <s v="E"/>
    <n v="12465985"/>
    <s v="K"/>
    <s v="ALEJANDRO AMARO ISLAS SABALAGA"/>
    <n v="1"/>
    <n v="389.471"/>
    <d v="2025-05-11T00:00:00"/>
    <n v="4"/>
    <n v="4"/>
    <n v="18"/>
    <s v="MARUBENI"/>
    <s v="DACIÓN"/>
    <n v="213611"/>
    <n v="162960"/>
    <s v="NO"/>
    <s v="13-10-2023"/>
    <n v="3102868"/>
    <s v="1,62"/>
    <m/>
    <m/>
    <m/>
    <s v="NO RECUPERADO"/>
    <n v="992351271"/>
    <m/>
    <n v="5692351271"/>
    <s v="AAISLAS@HOTMAIL.COM"/>
    <m/>
    <m/>
    <s v="EL ESTRIBO PONIENTE 3630"/>
    <s v="TIERRA AMARILLA"/>
    <s v="III REGION"/>
    <s v="C-3904-2026"/>
    <s v="3º Juzgado Civil de Santiago"/>
    <s v="INGRESADO"/>
    <s v="MANTIENE"/>
    <m/>
    <m/>
    <m/>
    <m/>
    <s v="NO"/>
    <s v="ACTIVO"/>
    <s v="LGST99"/>
    <s v="VOLKSWAGEN"/>
    <s v="AMAROK COMFORTLINE 4X2"/>
    <n v="2019"/>
  </r>
  <r>
    <n v="3453389"/>
    <n v="212"/>
    <n v="8"/>
    <n v="4151900"/>
    <m/>
    <s v="PHOENIX"/>
    <s v="JUDICIAL"/>
    <x v="8"/>
    <s v="211-240"/>
    <x v="1"/>
    <s v="COBRANZA"/>
    <x v="1"/>
    <s v="E"/>
    <n v="17907359"/>
    <n v="5"/>
    <s v="WLADIMIR EDUARDO PAREDES GAETE"/>
    <n v="1"/>
    <n v="194.84399999999999"/>
    <d v="2025-05-10T00:00:00"/>
    <n v="3"/>
    <n v="3"/>
    <n v="31"/>
    <s v="MARUBENI"/>
    <s v="DACIÓN"/>
    <n v="159916"/>
    <n v="0"/>
    <s v="NO"/>
    <s v="15-12-2023"/>
    <n v="1718668"/>
    <s v="1,99"/>
    <m/>
    <m/>
    <m/>
    <s v="NO RECUPERADO"/>
    <n v="964306987"/>
    <m/>
    <m/>
    <s v="WLADI_P@HOTMAIL.COM"/>
    <m/>
    <m/>
    <s v="TURQUESA 1955 POBLACION LOS MINERALES"/>
    <s v="CONCON"/>
    <s v="V REGION"/>
    <s v="C-2400-2026"/>
    <s v="5º Juzgado Civil de Santiago"/>
    <s v="NOTIFICADO"/>
    <s v="MANTIENE"/>
    <m/>
    <m/>
    <m/>
    <m/>
    <s v="SI"/>
    <s v="ACTIVO"/>
    <s v="SFKY51"/>
    <s v="CHERY"/>
    <s v="TIGGO 2 GLS 1.5"/>
    <n v="2023"/>
  </r>
  <r>
    <n v="3454534"/>
    <n v="163"/>
    <n v="6"/>
    <n v="2906162"/>
    <m/>
    <s v="PHOENIX"/>
    <s v="JUDICIAL"/>
    <x v="10"/>
    <s v="151-180"/>
    <x v="1"/>
    <s v="COBRANZA"/>
    <x v="1"/>
    <s v="E"/>
    <n v="10071534"/>
    <n v="1"/>
    <s v="DORCA TABITA PARRA SEPÚLVEDA"/>
    <n v="1"/>
    <n v="218.98699999999999"/>
    <s v="23-11-2025"/>
    <n v="9"/>
    <n v="9"/>
    <n v="25"/>
    <s v="MARUBENI"/>
    <s v="DACIÓN"/>
    <n v="109805"/>
    <n v="0"/>
    <s v="NO"/>
    <s v="22-02-2024"/>
    <n v="1423727"/>
    <s v="2,29"/>
    <m/>
    <m/>
    <m/>
    <s v="NO RECUPERADO"/>
    <n v="983758216"/>
    <m/>
    <m/>
    <s v="DORCAPARRA1@GMAIL.COM"/>
    <m/>
    <m/>
    <s v="EL MOLINO 1941 VILLA BOSQUES DE SAN FRANCISCO"/>
    <s v="OLIVAR"/>
    <s v="VI REGION"/>
    <s v="C-17647-2025"/>
    <s v="15º Juzgado Civil de Santiago"/>
    <s v="NOTIFICADO"/>
    <s v="MANTIENE"/>
    <m/>
    <m/>
    <m/>
    <m/>
    <s v="SI"/>
    <s v="ACTIVO"/>
    <s v="DPWV32"/>
    <s v="KIA MOTORS"/>
    <s v="SORENTO DLS 2.5 AT AC 2AB 4X4"/>
    <n v="2014"/>
  </r>
  <r>
    <n v="3455601"/>
    <n v="181"/>
    <n v="7"/>
    <n v="4114223"/>
    <m/>
    <s v="PHOENIX"/>
    <s v="JUDICIAL"/>
    <x v="10"/>
    <s v="181-210"/>
    <x v="1"/>
    <s v="COBRANZA"/>
    <x v="1"/>
    <s v="E"/>
    <n v="20498809"/>
    <n v="9"/>
    <s v="ROSSANA ANDREA MARTÍNEZ LOBOS"/>
    <n v="1"/>
    <n v="176.40700000000001"/>
    <d v="2025-05-11T00:00:00"/>
    <n v="4"/>
    <n v="4"/>
    <n v="37"/>
    <s v="MARUBENI"/>
    <s v="DACIÓN"/>
    <n v="100445"/>
    <n v="9568"/>
    <s v="NO"/>
    <d v="2024-04-07T00:00:00"/>
    <n v="1344862"/>
    <s v="2,19"/>
    <m/>
    <m/>
    <m/>
    <s v="NO RECUPERADO"/>
    <n v="926361949"/>
    <m/>
    <m/>
    <s v="ROSSANAMARTINEZ1600@GMAIL.COM"/>
    <m/>
    <m/>
    <s v="CANTARES 6040"/>
    <s v="CHAÑARAL"/>
    <s v="III REGION"/>
    <s v="C-3899-2026"/>
    <s v="28º Juzgado Civil de Santiago"/>
    <s v="INGRESADO"/>
    <s v="MANTIENE"/>
    <m/>
    <m/>
    <m/>
    <m/>
    <s v="NO"/>
    <s v="ACTIVO"/>
    <s v="KBDF79"/>
    <s v="BAIC"/>
    <s v="X55 1.5 MT COMFORTABLE"/>
    <n v="2018"/>
  </r>
  <r>
    <n v="3455937"/>
    <n v="242"/>
    <n v="9"/>
    <n v="10192283"/>
    <m/>
    <s v="PHOENIX"/>
    <s v="JUDICIAL"/>
    <x v="6"/>
    <s v="241-270"/>
    <x v="1"/>
    <s v="COBRANZA"/>
    <x v="1"/>
    <s v="E"/>
    <n v="13946743"/>
    <n v="4"/>
    <s v="MARÍA IVONNE SAA CERDA"/>
    <n v="1"/>
    <n v="388.404"/>
    <d v="2025-05-09T00:00:00"/>
    <n v="3"/>
    <n v="3"/>
    <n v="39"/>
    <s v="MARUBENI"/>
    <s v="DACIÓN"/>
    <n v="311529"/>
    <n v="9568"/>
    <s v="NO"/>
    <s v="29-07-2024"/>
    <n v="3816733"/>
    <s v="1,82"/>
    <m/>
    <m/>
    <m/>
    <s v="NO RECUPERADO"/>
    <n v="940308069"/>
    <m/>
    <m/>
    <s v="IVONNE.SAA.C@GMAIL.COM"/>
    <m/>
    <m/>
    <s v="PASAJE EL ESTERO 1540 BLOCK 4 DEPTO. 204 VILLA E"/>
    <s v="OLIVAR"/>
    <s v="VI REGION"/>
    <s v="C-836-2026"/>
    <s v="14º Juzgado Civil de Santiago"/>
    <s v="INGRESADO"/>
    <s v="MANTIENE"/>
    <m/>
    <m/>
    <m/>
    <m/>
    <s v="NO"/>
    <s v="ACTIVO"/>
    <s v="RBDL31"/>
    <s v="CITROEN"/>
    <s v="C5 AIRCROSS CVM6 STT 1.5"/>
    <n v="2021"/>
  </r>
  <r>
    <n v="3456392"/>
    <n v="242"/>
    <n v="9"/>
    <n v="5914470"/>
    <m/>
    <s v="PHOENIX"/>
    <s v="JUDICIAL"/>
    <x v="6"/>
    <s v="241-270"/>
    <x v="1"/>
    <s v="COBRANZA"/>
    <x v="1"/>
    <s v="E"/>
    <n v="16406426"/>
    <n v="3"/>
    <s v="MAURICIO ANDRÉS OLIVOS VILLALOBOS"/>
    <n v="1"/>
    <n v="293.94400000000002"/>
    <d v="2025-05-09T00:00:00"/>
    <n v="2"/>
    <n v="2"/>
    <n v="28"/>
    <s v="MARUBENI"/>
    <s v="DACIÓN"/>
    <n v="282338"/>
    <n v="0"/>
    <s v="NO"/>
    <d v="2024-11-09T00:00:00"/>
    <n v="2927834"/>
    <n v="2"/>
    <m/>
    <m/>
    <m/>
    <s v="NO RECUPERADO"/>
    <n v="990153367"/>
    <m/>
    <m/>
    <s v="MOLIVOS@FYCCHILESPA.CL"/>
    <m/>
    <m/>
    <s v="AVENIDA QUEBRADA DE TAL TAL 1734"/>
    <s v="ANTOFAGASTA"/>
    <s v="II REGION"/>
    <s v="C-836-2026"/>
    <s v="12º Juzgado Civil de Santiago"/>
    <s v="EMBARGADO"/>
    <s v="MANTIENE"/>
    <m/>
    <m/>
    <m/>
    <m/>
    <s v="SI"/>
    <s v="ACTIVO"/>
    <s v="PFZG43"/>
    <s v="MG"/>
    <s v="ZS 1.5 AT COM"/>
    <n v="2020"/>
  </r>
  <r>
    <n v="3456572"/>
    <n v="212"/>
    <n v="8"/>
    <n v="4831184"/>
    <m/>
    <s v="PHOENIX"/>
    <s v="JUDICIAL"/>
    <x v="8"/>
    <s v="211-240"/>
    <x v="1"/>
    <s v="COBRANZA"/>
    <x v="1"/>
    <s v="E"/>
    <n v="19440584"/>
    <n v="7"/>
    <s v="JOHNNY ENRIQUE LEÓN GODOY"/>
    <n v="1"/>
    <n v="264.92399999999998"/>
    <d v="2025-05-10T00:00:00"/>
    <n v="5"/>
    <n v="5"/>
    <n v="30"/>
    <s v="MARUBENI"/>
    <s v="DACIÓN"/>
    <n v="195361"/>
    <n v="137413"/>
    <s v="NO"/>
    <s v="30-09-2024"/>
    <n v="2452166"/>
    <s v="2,59"/>
    <m/>
    <m/>
    <m/>
    <s v="NO RECUPERADO"/>
    <n v="922548975"/>
    <m/>
    <m/>
    <s v="JOHNNYLEONGODOY@GMAIL.COM"/>
    <m/>
    <m/>
    <s v="CALLE PINTOR GUSTAVO CABELLO OLGUIN 864 DEPTO 30"/>
    <s v="OLIVAR"/>
    <s v="VI REGION"/>
    <s v="C-3906-2026"/>
    <s v="3º Juzgado Civil de Santiago"/>
    <s v="INGRESADO"/>
    <s v="MANTIENE"/>
    <m/>
    <m/>
    <m/>
    <m/>
    <s v="NO"/>
    <s v="ACTIVO"/>
    <s v="LBHV66"/>
    <s v="VOLKSWAGEN"/>
    <s v="VIRTUS TRENDLINE 1.6"/>
    <n v="2019"/>
  </r>
  <r>
    <n v="3457500"/>
    <n v="212"/>
    <n v="8"/>
    <n v="3871547"/>
    <m/>
    <s v="PHOENIX"/>
    <s v="JUDICIAL"/>
    <x v="8"/>
    <s v="211-240"/>
    <x v="1"/>
    <s v="COBRANZA"/>
    <x v="1"/>
    <s v="E"/>
    <n v="15084463"/>
    <n v="0"/>
    <s v="CAROLINA ALEXANDRA MARTÍNEZ NÚÑEZ"/>
    <n v="1"/>
    <n v="250.7"/>
    <d v="2025-05-10T00:00:00"/>
    <n v="3"/>
    <n v="3"/>
    <n v="23"/>
    <s v="MARUBENI"/>
    <s v="DACIÓN"/>
    <n v="185113"/>
    <n v="113419"/>
    <s v="NO"/>
    <s v="17-04-2025"/>
    <n v="2304132"/>
    <s v="2,6"/>
    <m/>
    <m/>
    <m/>
    <s v="NO RECUPERADO"/>
    <n v="966295204"/>
    <m/>
    <m/>
    <s v="MARIANOANDRE679@GMAIL.COM"/>
    <m/>
    <m/>
    <s v="SALVADOR VILCHES 22"/>
    <s v="ZAPALLAR"/>
    <s v="V REGION"/>
    <s v="C-3841-2026"/>
    <s v="15º Juzgado Civil de Santiago"/>
    <s v="INGRESADO"/>
    <s v="MANTIENE"/>
    <m/>
    <m/>
    <m/>
    <m/>
    <s v="NO"/>
    <s v="ACTIVO"/>
    <s v="RRDD18"/>
    <s v="CHANGAN (02)"/>
    <s v="NEW CS15 ELITE AT"/>
    <n v="2022"/>
  </r>
  <r>
    <n v="3462511"/>
    <n v="228"/>
    <n v="8"/>
    <n v="24523747"/>
    <m/>
    <s v="PHOENIX"/>
    <s v="JUDICIAL"/>
    <x v="6"/>
    <s v="211-240"/>
    <x v="1"/>
    <s v="COBRANZA"/>
    <x v="1"/>
    <s v="E"/>
    <n v="76789764"/>
    <n v="2"/>
    <s v="GLOBAL CONSTRUCTION GROUP CHILE SPA"/>
    <n v="0"/>
    <n v="978.19500000000005"/>
    <s v="19-09-2025"/>
    <n v="2"/>
    <n v="2"/>
    <n v="36"/>
    <s v="Directo"/>
    <m/>
    <n v="690818"/>
    <n v="0"/>
    <s v="NO"/>
    <s v="19-06-2025"/>
    <n v="8516378"/>
    <s v="1,85"/>
    <m/>
    <m/>
    <m/>
    <s v="NO RECUPERADO"/>
    <n v="921217914"/>
    <m/>
    <m/>
    <s v="MNAVARRETE@GCGCHILE.CL"/>
    <m/>
    <m/>
    <s v="GUARDIA VIEJA"/>
    <s v="PROVIDENCIA"/>
    <s v="REGION METROPOLITANA"/>
    <s v="C-17485-2025"/>
    <s v="10º Juzgado Civil de Santiago"/>
    <s v="EMBARGADO"/>
    <s v="MANTIENE"/>
    <m/>
    <m/>
    <m/>
    <m/>
    <s v="SI"/>
    <s v="ACTIVO"/>
    <m/>
    <s v="VOLKSWAGEN"/>
    <s v="DELIVERY 9170"/>
    <n v="2023"/>
  </r>
  <r>
    <n v="3475457"/>
    <n v="242"/>
    <n v="9"/>
    <n v="21983483"/>
    <m/>
    <s v="PHOENIX"/>
    <s v="JUDICIAL"/>
    <x v="6"/>
    <s v="241-270"/>
    <x v="1"/>
    <s v="COBRANZA"/>
    <x v="1"/>
    <s v="E"/>
    <n v="24745850"/>
    <n v="6"/>
    <s v="ALEXANDER BANEGAS MEJIA"/>
    <n v="1"/>
    <n v="653.80999999999995"/>
    <d v="2025-05-09T00:00:00"/>
    <n v="0"/>
    <n v="0"/>
    <n v="48"/>
    <s v="AMICAR"/>
    <m/>
    <n v="514865"/>
    <n v="163965"/>
    <s v="NO"/>
    <d v="2025-07-07T00:00:00"/>
    <n v="6563120"/>
    <s v="1,49"/>
    <m/>
    <m/>
    <m/>
    <s v="NO RECUPERADO"/>
    <n v="967683176"/>
    <m/>
    <m/>
    <s v="alexander.abm40@gmail.com"/>
    <m/>
    <m/>
    <s v="GORBEA 1303"/>
    <s v="PUDAHUEL"/>
    <s v="REGION METROPOLITANA"/>
    <s v="C-17514-2025"/>
    <s v="30º Juzgado Civil de Santiago"/>
    <s v="INGRESADO"/>
    <s v="MANTIENE"/>
    <m/>
    <m/>
    <m/>
    <m/>
    <s v="NO"/>
    <s v="ACTIVO"/>
    <m/>
    <s v="HYUNDAI"/>
    <s v="KONA SX2 1.6 AT HEV PLUS"/>
    <n v="0"/>
  </r>
  <r>
    <n v="3479533"/>
    <n v="273"/>
    <n v="10"/>
    <n v="30273797"/>
    <m/>
    <s v="PHOENIX"/>
    <s v="JUDICIAL"/>
    <x v="14"/>
    <s v="271-300"/>
    <x v="1"/>
    <s v="COBRANZA"/>
    <x v="1"/>
    <s v="E"/>
    <n v="17860699"/>
    <n v="9"/>
    <s v="SERGIO ANDRES CARTES LIZAMA"/>
    <n v="1"/>
    <n v="895.52"/>
    <d v="2025-05-08T00:00:00"/>
    <n v="0"/>
    <n v="0"/>
    <n v="49"/>
    <s v="MAF"/>
    <m/>
    <n v="881669"/>
    <n v="9568"/>
    <s v="NO"/>
    <d v="2025-04-07T00:00:00"/>
    <n v="9846437"/>
    <n v="2157"/>
    <m/>
    <m/>
    <m/>
    <s v="NO RECUPERADO"/>
    <n v="922465096"/>
    <m/>
    <m/>
    <s v="Scarteslizama@gmail.com"/>
    <m/>
    <m/>
    <s v="AVENIDA CARLOS CRUZ VIERA 290"/>
    <s v="LAMPA"/>
    <s v="REGION METROPOLITANA"/>
    <s v="C-15755-2025"/>
    <s v="11º Juzgado Civil de Santiago"/>
    <s v="INGRESADO"/>
    <s v="MANTIENE"/>
    <m/>
    <m/>
    <m/>
    <m/>
    <s v="NO"/>
    <s v="ACTIVO"/>
    <m/>
    <s v="TOYOTA"/>
    <s v="RAV4 HV"/>
    <n v="0"/>
  </r>
  <r>
    <n v="3482625"/>
    <n v="277"/>
    <n v="10"/>
    <n v="9100150"/>
    <m/>
    <s v="PHOENIX"/>
    <s v="JUDICIAL"/>
    <x v="13"/>
    <s v="271-300"/>
    <x v="1"/>
    <s v="COBRANZA"/>
    <x v="1"/>
    <s v="E"/>
    <n v="18226224"/>
    <n v="2"/>
    <s v="MANUEL ANTONIO GUTIERREZ GARRIDO"/>
    <n v="1"/>
    <n v="284.04199999999997"/>
    <d v="2025-01-08T00:00:00"/>
    <n v="0"/>
    <n v="0"/>
    <n v="50"/>
    <s v="RENEGOCIADO"/>
    <m/>
    <n v="287817"/>
    <n v="0"/>
    <s v="NO"/>
    <d v="2025-04-07T00:00:00"/>
    <n v="3128237"/>
    <s v="1,85"/>
    <m/>
    <m/>
    <m/>
    <s v="NO RECUPERADO"/>
    <n v="937217733"/>
    <m/>
    <m/>
    <s v="GUTIERREZGARRIDOMANUEL@GMAIL.COM"/>
    <m/>
    <m/>
    <s v="OCHO ORIENTE"/>
    <s v="TALCA"/>
    <s v="VII REGION"/>
    <s v="C-15738-2025"/>
    <s v="2º Juzgado Civil de Santiago"/>
    <s v="EMBARGADO"/>
    <s v="MANTIENE"/>
    <m/>
    <m/>
    <m/>
    <m/>
    <s v="SI"/>
    <s v="ACTIVO"/>
    <m/>
    <s v="CHANGAN"/>
    <s v="HUNTER 4X4 1.9"/>
    <n v="2022"/>
  </r>
  <r>
    <n v="3484680"/>
    <n v="260"/>
    <n v="9"/>
    <n v="12990275"/>
    <m/>
    <s v="PHOENIX"/>
    <s v="JUDICIAL"/>
    <x v="14"/>
    <s v="241-270"/>
    <x v="1"/>
    <s v="COBRANZA"/>
    <x v="1"/>
    <s v="E"/>
    <n v="77242522"/>
    <n v="8"/>
    <s v="MATERIALES CONSTRUCCION VISTA HERMOSA SPA"/>
    <n v="0"/>
    <n v="437.53899999999999"/>
    <s v="18-08-2025"/>
    <n v="0"/>
    <n v="0"/>
    <n v="48"/>
    <s v="Dealer"/>
    <m/>
    <n v="370626"/>
    <n v="117640"/>
    <s v="NO"/>
    <s v="16-07-2025"/>
    <n v="4426117"/>
    <s v="2,1"/>
    <m/>
    <m/>
    <m/>
    <s v="NO RECUPERADO"/>
    <n v="986769468"/>
    <m/>
    <m/>
    <s v="Materialvistahermosa@gmail.com"/>
    <m/>
    <m/>
    <s v="DOCTOR AMADOR NEGHME 03639"/>
    <s v="LA REINA"/>
    <s v="REGION METROPOLITANA"/>
    <s v="C-15808-2025"/>
    <s v="30º Juzgado Civil de Santiago"/>
    <s v="INGRESADO"/>
    <s v="MANTIENE"/>
    <m/>
    <m/>
    <m/>
    <m/>
    <s v="NO"/>
    <s v="ACTIVO"/>
    <m/>
    <s v="MAXUS"/>
    <s v=" T60 DX 4X4"/>
    <n v="2022"/>
  </r>
  <r>
    <n v="3487115"/>
    <n v="242"/>
    <n v="9"/>
    <n v="13577336"/>
    <m/>
    <s v="PHOENIX"/>
    <s v="JUDICIAL"/>
    <x v="6"/>
    <s v="241-270"/>
    <x v="1"/>
    <s v="COBRANZA"/>
    <x v="1"/>
    <s v="E"/>
    <n v="76976731"/>
    <n v="2"/>
    <s v="DIMONT SPA"/>
    <n v="0"/>
    <n v="457.31200000000001"/>
    <d v="2025-05-09T00:00:00"/>
    <n v="0"/>
    <n v="0"/>
    <n v="48"/>
    <s v="Dealer"/>
    <s v="DACIÓN"/>
    <n v="350941"/>
    <n v="121875"/>
    <s v="NO"/>
    <s v="18-07-2025"/>
    <n v="4588624"/>
    <s v="2,1"/>
    <m/>
    <m/>
    <m/>
    <s v="NO RECUPERADO"/>
    <n v="964538389"/>
    <m/>
    <m/>
    <s v="compras@distribuidoradimont.cl"/>
    <m/>
    <m/>
    <s v="NUEVA KOKE 1102 PISO 1 DEPARTAMENTO A"/>
    <s v="RANCAGUA"/>
    <s v="VI REGION"/>
    <s v="C-17473-2025"/>
    <s v="23º Juzgado Civil de Santiago"/>
    <s v="INGRESADO"/>
    <s v="MANTIENE"/>
    <m/>
    <m/>
    <m/>
    <m/>
    <s v="NO"/>
    <s v="ACTIVO"/>
    <s v="KWJZ37"/>
    <s v="HYUNDAI"/>
    <s v="SANTA FE 2.2 GLS 4WD AT CRDI"/>
    <n v="2019"/>
  </r>
  <r>
    <n v="3487480"/>
    <n v="227"/>
    <n v="8"/>
    <n v="16151715"/>
    <m/>
    <s v="PHOENIX"/>
    <s v="JUDICIAL"/>
    <x v="6"/>
    <s v="211-240"/>
    <x v="1"/>
    <s v="COBRANZA"/>
    <x v="1"/>
    <s v="E"/>
    <n v="14415459"/>
    <n v="2"/>
    <s v="JUAN RAFAEL ARENAS MARTÍNEZ"/>
    <n v="1"/>
    <n v="544.02200000000005"/>
    <s v="20-09-2025"/>
    <n v="1"/>
    <n v="1"/>
    <n v="48"/>
    <s v="Dealer"/>
    <m/>
    <n v="371352"/>
    <n v="0"/>
    <s v="NO"/>
    <s v="18-07-2025"/>
    <n v="4723528"/>
    <s v="2,1"/>
    <m/>
    <m/>
    <m/>
    <s v="NO RECUPERADO"/>
    <n v="981982613"/>
    <m/>
    <m/>
    <s v="JARENAS@ASERVEG.CL"/>
    <m/>
    <m/>
    <s v="LAS ENCICLICAS 974"/>
    <s v="PUDAHUEL"/>
    <s v="REGION METROPOLITANA"/>
    <s v="C-17485-2025"/>
    <s v="21º JUZGADO CIVIL DE SANTIAGO"/>
    <s v="EMBARGADO"/>
    <s v="MANTIENE"/>
    <m/>
    <m/>
    <m/>
    <m/>
    <s v="SI"/>
    <s v="ACTIVO"/>
    <m/>
    <s v="FOTON"/>
    <s v="G9 4X4 AT"/>
    <n v="2025"/>
  </r>
  <r>
    <n v="3494679"/>
    <n v="229"/>
    <n v="8"/>
    <n v="45303275"/>
    <m/>
    <s v="PHOENIX"/>
    <s v="JUDICIAL"/>
    <x v="6"/>
    <s v="211-240"/>
    <x v="1"/>
    <s v="COBRANZA"/>
    <x v="1"/>
    <s v="E"/>
    <n v="76552224"/>
    <n v="2"/>
    <s v="COMERCIALIZADORA DÍAZ TOLEDO SPA"/>
    <n v="0"/>
    <s v="1.525.905"/>
    <s v="18-09-2025"/>
    <n v="0"/>
    <n v="0"/>
    <n v="48"/>
    <s v="Dealer"/>
    <m/>
    <n v="1058708"/>
    <n v="259101"/>
    <s v="NO"/>
    <s v="24-07-2025"/>
    <n v="13525049"/>
    <s v="2,1"/>
    <m/>
    <m/>
    <m/>
    <s v="NO RECUPERADO"/>
    <n v="928582025"/>
    <m/>
    <m/>
    <s v="diaztoledospa@gmail.com"/>
    <m/>
    <m/>
    <s v="Manzana M Lote 14 El Algarrobal"/>
    <s v="COLINA"/>
    <s v="REGION METROPOLITANA"/>
    <s v="C-17484-2025"/>
    <s v="21º JUZGADO CIVIL DE SANTIAGO"/>
    <s v="INGRESADO"/>
    <s v="MANTIENE"/>
    <m/>
    <m/>
    <m/>
    <m/>
    <s v="NO"/>
    <s v="ACTIVO"/>
    <m/>
    <s v="FORD"/>
    <s v="MUSTANG"/>
    <n v="2025"/>
  </r>
  <r>
    <n v="3499321"/>
    <n v="232"/>
    <n v="8"/>
    <n v="2281233"/>
    <m/>
    <s v="PHOENIX"/>
    <s v="JUDICIAL"/>
    <x v="6"/>
    <s v="211-240"/>
    <x v="1"/>
    <s v="COBRANZA"/>
    <x v="1"/>
    <s v="E"/>
    <n v="13085935"/>
    <n v="6"/>
    <s v="JOSE EMILIO SAN MARTIN VARGAS"/>
    <n v="1"/>
    <n v="185.60499999999999"/>
    <s v="15-09-2025"/>
    <n v="1"/>
    <n v="1"/>
    <n v="16"/>
    <s v="RENEGOCIADO"/>
    <m/>
    <n v="163418"/>
    <n v="76928"/>
    <s v="NO"/>
    <s v="14-07-2025"/>
    <n v="1725186"/>
    <s v="2,6"/>
    <m/>
    <m/>
    <m/>
    <s v="NO RECUPERADO"/>
    <n v="993242804"/>
    <m/>
    <m/>
    <s v="JSANMARTIN@PRONOVUSC.COM"/>
    <m/>
    <m/>
    <s v="SANTA RAQUEL"/>
    <s v="PUENTE ALTO"/>
    <s v="REGION METROPOLITANA"/>
    <s v="C-17653-2025"/>
    <s v="5º Juzgado Civil de Santiago"/>
    <s v="INGRESADO"/>
    <s v="MANTIENE"/>
    <m/>
    <m/>
    <m/>
    <m/>
    <s v="NO"/>
    <s v="ACTIVO"/>
    <m/>
    <s v="CHERY"/>
    <s v="TIGGO 2 1.5"/>
    <n v="2019"/>
  </r>
  <r>
    <n v="3501934"/>
    <n v="242"/>
    <n v="9"/>
    <n v="12124760"/>
    <m/>
    <s v="PHOENIX"/>
    <s v="JUDICIAL"/>
    <x v="6"/>
    <s v="241-270"/>
    <x v="1"/>
    <s v="COBRANZA"/>
    <x v="1"/>
    <s v="E"/>
    <n v="17214942"/>
    <n v="1"/>
    <s v="MANUEL ANGEL MORA BUSTOS"/>
    <n v="1"/>
    <n v="386.976"/>
    <d v="2025-05-09T00:00:00"/>
    <n v="0"/>
    <n v="0"/>
    <n v="37"/>
    <s v="AMICAR"/>
    <m/>
    <n v="296965"/>
    <n v="106809"/>
    <s v="NO"/>
    <s v="29-07-2025"/>
    <n v="3886558"/>
    <s v="2,1"/>
    <m/>
    <m/>
    <m/>
    <s v="NO RECUPERADO"/>
    <n v="995081932"/>
    <m/>
    <m/>
    <s v="morabustosmanuel@gmail.com"/>
    <m/>
    <m/>
    <s v="PARCELA 85"/>
    <s v="SANTA BARBARA"/>
    <s v="VIII REGION"/>
    <s v="C-17501-2025"/>
    <s v="7º Juzgado Civil de Santiago"/>
    <s v="INGRESADO"/>
    <s v="MANTIENE"/>
    <m/>
    <m/>
    <m/>
    <m/>
    <s v="NO"/>
    <s v="ACTIVO"/>
    <m/>
    <s v="CHANGAN (02)"/>
    <s v="NEW CS35 PLUS 1.4T AT LUX"/>
    <n v="0"/>
  </r>
  <r>
    <n v="3514741"/>
    <n v="212"/>
    <n v="8"/>
    <n v="10505876"/>
    <m/>
    <s v="PHOENIX"/>
    <s v="JUDICIAL"/>
    <x v="8"/>
    <s v="211-240"/>
    <x v="1"/>
    <s v="COBRANZA"/>
    <x v="1"/>
    <s v="E"/>
    <n v="11931626"/>
    <s v="K"/>
    <s v="RICARDO ANTONIO URQUETA CRUZ"/>
    <n v="1"/>
    <n v="353.85899999999998"/>
    <d v="2025-05-10T00:00:00"/>
    <n v="0"/>
    <n v="0"/>
    <n v="48"/>
    <s v="Dealer"/>
    <m/>
    <n v="211288"/>
    <n v="9568"/>
    <s v="NO"/>
    <d v="2025-12-08T00:00:00"/>
    <n v="3051728"/>
    <s v="2,1"/>
    <m/>
    <m/>
    <m/>
    <s v="NO RECUPERADO"/>
    <n v="963888043"/>
    <m/>
    <m/>
    <s v="RIC.URQUETA72@GMAIL.COM"/>
    <m/>
    <m/>
    <s v="FUTALEUFU # 9575"/>
    <s v="ANTOFAGASTA"/>
    <s v="II REGION"/>
    <s v="C-3907-2026"/>
    <s v="3º Juzgado Civil de Santiago"/>
    <s v="INGRESADO"/>
    <s v="MANTIENE"/>
    <m/>
    <m/>
    <m/>
    <m/>
    <s v="NO"/>
    <s v="ACTIVO"/>
    <m/>
    <s v="CHEVROLET"/>
    <s v="DMAX"/>
    <n v="2022"/>
  </r>
  <r>
    <n v="3518338"/>
    <n v="231"/>
    <n v="8"/>
    <n v="13782921"/>
    <m/>
    <s v="PHOENIX"/>
    <s v="JUDICIAL"/>
    <x v="6"/>
    <s v="211-240"/>
    <x v="1"/>
    <s v="COBRANZA"/>
    <x v="1"/>
    <s v="E"/>
    <n v="18424948"/>
    <n v="0"/>
    <s v="DAVID ALEJANDRO ORELLANA PEÑA"/>
    <n v="1"/>
    <n v="412.54199999999997"/>
    <s v="16-09-2025"/>
    <n v="0"/>
    <n v="0"/>
    <n v="60"/>
    <s v="Dealer"/>
    <m/>
    <n v="295696"/>
    <n v="0"/>
    <s v="NO"/>
    <s v="15-08-2025"/>
    <n v="3596032"/>
    <s v="2,13"/>
    <m/>
    <m/>
    <m/>
    <s v="NO RECUPERADO"/>
    <n v="962801676"/>
    <m/>
    <m/>
    <s v="h33586503@gmail.com"/>
    <m/>
    <m/>
    <s v="SANTA ANA 3135"/>
    <s v="RECOLETA"/>
    <s v="REGION METROPOLITANA"/>
    <s v="C-17635-2025"/>
    <s v="4º Juzgado Civil de Santiago"/>
    <s v="NOTIFICADO"/>
    <s v="MANTIENE"/>
    <m/>
    <m/>
    <m/>
    <m/>
    <s v="SI"/>
    <s v="ACTIVO"/>
    <m/>
    <s v="DFM"/>
    <s v="MAGE"/>
    <n v="2025"/>
  </r>
  <r>
    <n v="3524299"/>
    <n v="72"/>
    <n v="3"/>
    <n v="6549649"/>
    <m/>
    <s v="PHOENIX"/>
    <s v="JUDICIAL"/>
    <x v="12"/>
    <s v="61-90"/>
    <x v="1"/>
    <s v="COBRANZA"/>
    <x v="1"/>
    <s v="E"/>
    <n v="17174056"/>
    <n v="8"/>
    <s v="JORGE JOEL IBÁÑEZ LÓPEZ"/>
    <n v="1"/>
    <n v="222.791"/>
    <s v="22-02-2026"/>
    <n v="5"/>
    <n v="5"/>
    <n v="60"/>
    <s v="Dealer"/>
    <m/>
    <n v="23971"/>
    <n v="33429"/>
    <s v="NO"/>
    <s v="21-08-2025"/>
    <n v="725773"/>
    <s v="2,55"/>
    <m/>
    <m/>
    <m/>
    <s v="NO RECUPERADO"/>
    <n v="987444382"/>
    <m/>
    <m/>
    <s v="jorgeibz1989@gmail.com"/>
    <m/>
    <m/>
    <s v="PASAJE PRINCIPE DE GALES 51"/>
    <s v="COQUIMBO"/>
    <s v="IV REGION"/>
    <s v="C-17484-2025"/>
    <s v="11º Juzgado Civil de Santiago"/>
    <s v="INGRESADO"/>
    <s v="MANTIENE"/>
    <m/>
    <m/>
    <m/>
    <m/>
    <s v="NO"/>
    <s v="ACTIVO"/>
    <m/>
    <s v="JAC"/>
    <s v="J2"/>
    <n v="2023"/>
  </r>
  <r>
    <n v="3534279"/>
    <n v="181"/>
    <n v="7"/>
    <n v="3775155"/>
    <m/>
    <s v="PHOENIX"/>
    <s v="JUDICIAL"/>
    <x v="10"/>
    <s v="181-210"/>
    <x v="1"/>
    <s v="COBRANZA"/>
    <x v="1"/>
    <s v="E"/>
    <n v="26659746"/>
    <n v="0"/>
    <s v="ANGEL CHARLES CORDERO RAMIREZ"/>
    <n v="1"/>
    <n v="270.14499999999998"/>
    <d v="2025-05-11T00:00:00"/>
    <n v="1"/>
    <n v="1"/>
    <n v="18"/>
    <s v="RENEGOCIADO"/>
    <m/>
    <n v="149125"/>
    <n v="120361"/>
    <s v="NO"/>
    <s v="26-08-2025"/>
    <n v="2160501"/>
    <s v="2,27"/>
    <m/>
    <m/>
    <m/>
    <s v="NO RECUPERADO"/>
    <n v="945366916"/>
    <m/>
    <m/>
    <s v="ACCR5905@GMAIL.COM"/>
    <m/>
    <m/>
    <s v="CLEMENTE ESCOBAR"/>
    <m/>
    <m/>
    <s v="C-3904-2026"/>
    <s v="27º Juzgado Civil de Santiago"/>
    <s v="INGRESADO"/>
    <s v="MANTIENE"/>
    <m/>
    <m/>
    <m/>
    <m/>
    <s v="NO"/>
    <s v="ACTIVO"/>
    <m/>
    <s v="SUZUKI"/>
    <s v="S-PRESSO"/>
    <n v="2022"/>
  </r>
  <r>
    <n v="3536778"/>
    <n v="216"/>
    <n v="8"/>
    <n v="7962303"/>
    <m/>
    <s v="PHOENIX"/>
    <s v="JUDICIAL"/>
    <x v="6"/>
    <s v="211-240"/>
    <x v="1"/>
    <s v="COBRANZA"/>
    <x v="1"/>
    <s v="E"/>
    <n v="10165472"/>
    <n v="9"/>
    <s v="HUMBERTO ANTONIO CORTÉS CARREÑO"/>
    <n v="1"/>
    <n v="268.18599999999998"/>
    <d v="2025-01-10T00:00:00"/>
    <n v="0"/>
    <n v="0"/>
    <n v="48"/>
    <s v="Dealer"/>
    <m/>
    <n v="160844"/>
    <n v="9568"/>
    <s v="NO"/>
    <s v="29-08-2025"/>
    <n v="2315900"/>
    <s v="2,1"/>
    <m/>
    <m/>
    <m/>
    <s v="NO RECUPERADO"/>
    <n v="953455589"/>
    <m/>
    <m/>
    <s v="humberto27181739@gmail.com"/>
    <m/>
    <m/>
    <s v="LAS ARARUCAS          920"/>
    <s v="ILLAPEL"/>
    <s v="IV REGION"/>
    <s v="C-836-2026"/>
    <s v="6º JUZGADO CIVIL DE SANTIAGO"/>
    <s v="INGRESADO"/>
    <s v="MANTIENE"/>
    <m/>
    <m/>
    <m/>
    <m/>
    <s v="NO"/>
    <s v="ACTIVO"/>
    <m/>
    <s v="CHERY"/>
    <s v="TIGGO 2"/>
    <n v="2023"/>
  </r>
  <r>
    <n v="3547176"/>
    <n v="207"/>
    <n v="7"/>
    <n v="21961236"/>
    <m/>
    <s v="PHOENIX"/>
    <s v="JUDICIAL"/>
    <x v="8"/>
    <s v="181-210"/>
    <x v="1"/>
    <s v="COBRANZA"/>
    <x v="1"/>
    <s v="E"/>
    <n v="19142335"/>
    <n v="6"/>
    <s v="CLAUDIA MARÍA PAZ PIZARRO TORO"/>
    <n v="1"/>
    <n v="744.10400000000004"/>
    <d v="2025-10-10T00:00:00"/>
    <n v="0"/>
    <n v="0"/>
    <n v="48"/>
    <s v="Dealer"/>
    <s v="DACIÓN"/>
    <n v="432618"/>
    <n v="9568"/>
    <s v="NO"/>
    <d v="2025-10-09T00:00:00"/>
    <n v="5650914"/>
    <s v="2,13"/>
    <m/>
    <m/>
    <m/>
    <s v="NO RECUPERADO"/>
    <n v="939647922"/>
    <m/>
    <m/>
    <s v="claudiamppt@gmail.com"/>
    <m/>
    <m/>
    <s v="LOMAS DE CURACAVI LOTE 04"/>
    <s v="CURACAVI"/>
    <s v="REGION METROPOLITANA"/>
    <s v="C-834-2026"/>
    <s v="5º Juzgado Civil de Santiago"/>
    <s v="INGRESADO"/>
    <s v="MANTIENE"/>
    <m/>
    <m/>
    <m/>
    <m/>
    <s v="NO"/>
    <s v="ACTIVO"/>
    <s v="SGSG16"/>
    <s v="CHEVROLET"/>
    <s v="COLORADO"/>
    <n v="2023"/>
  </r>
  <r>
    <n v="3548610"/>
    <n v="173"/>
    <n v="6"/>
    <n v="31157932"/>
    <m/>
    <s v="PHOENIX"/>
    <s v="JUDICIAL"/>
    <x v="10"/>
    <s v="151-180"/>
    <x v="1"/>
    <s v="COBRANZA"/>
    <x v="1"/>
    <s v="E"/>
    <n v="18881592"/>
    <n v="8"/>
    <s v="ERIC JAVIER MARTÍNEZ CORNEJO"/>
    <n v="1"/>
    <s v="1.055.712"/>
    <s v="13-11-2025"/>
    <n v="1"/>
    <n v="1"/>
    <n v="48"/>
    <s v="Dealer"/>
    <m/>
    <n v="431703"/>
    <n v="208743"/>
    <s v="NO"/>
    <d v="2025-10-09T00:00:00"/>
    <n v="6974718"/>
    <s v="2,13"/>
    <m/>
    <m/>
    <m/>
    <s v="NO RECUPERADO"/>
    <n v="954297725"/>
    <m/>
    <m/>
    <s v="ericjavier.martinezcornejo94@gmail.com"/>
    <m/>
    <m/>
    <s v="Domingo Santa María 2565 Departamento 1108A"/>
    <s v="INDEPENDENCIA"/>
    <s v="REGION METROPOLITANA"/>
    <s v="4435-2026"/>
    <s v="14 Juzgado Civil de Santiago"/>
    <s v="INGRESADO"/>
    <s v="MANTIENE"/>
    <m/>
    <m/>
    <m/>
    <m/>
    <s v="NO"/>
    <s v="ACTIVO"/>
    <m/>
    <s v="CHEVROLET"/>
    <s v="SILVERADO"/>
    <n v="2022"/>
  </r>
  <r>
    <n v="3550864"/>
    <n v="170"/>
    <n v="6"/>
    <n v="22594629"/>
    <m/>
    <s v="PHOENIX"/>
    <s v="JUDICIAL"/>
    <x v="10"/>
    <s v="151-180"/>
    <x v="1"/>
    <s v="COBRANZA"/>
    <x v="1"/>
    <s v="E"/>
    <n v="26470983"/>
    <n v="0"/>
    <s v="YONI JAVIER CONTRERAS ANZOLA"/>
    <n v="1"/>
    <n v="665.21199999999999"/>
    <s v="16-11-2025"/>
    <n v="1"/>
    <n v="1"/>
    <n v="49"/>
    <s v="MAF"/>
    <m/>
    <n v="271104"/>
    <n v="0"/>
    <s v="NO"/>
    <d v="2025-12-09T00:00:00"/>
    <n v="4262376"/>
    <n v="2137"/>
    <m/>
    <m/>
    <m/>
    <s v="NO RECUPERADO"/>
    <n v="973439660"/>
    <m/>
    <m/>
    <s v="YONICONTRERASAZOLA@GMAIL.COM"/>
    <m/>
    <m/>
    <s v="AVENIDA BAQUEDANO 01100"/>
    <s v="SAN BERNARDO"/>
    <s v="REGION METROPOLITANA"/>
    <s v="C-3855-2026"/>
    <s v="13º Juzgado Civil de Santiago"/>
    <s v="NOTIFICADO"/>
    <s v="MANTIENE"/>
    <m/>
    <m/>
    <m/>
    <m/>
    <s v="SI"/>
    <s v="ACTIVO"/>
    <m/>
    <s v="TOYOTA"/>
    <s v="COROLLA CROSS HEV"/>
    <n v="0"/>
  </r>
  <r>
    <n v="3554448"/>
    <n v="200"/>
    <n v="7"/>
    <n v="10181041"/>
    <m/>
    <s v="PHOENIX"/>
    <s v="JUDICIAL"/>
    <x v="8"/>
    <s v="181-210"/>
    <x v="1"/>
    <s v="COBRANZA"/>
    <x v="1"/>
    <s v="E"/>
    <n v="18120806"/>
    <n v="6"/>
    <s v="DAVID ALEJANDRO JEREZ BAHAMONDES"/>
    <n v="1"/>
    <n v="413.678"/>
    <s v="17-10-2025"/>
    <n v="0"/>
    <n v="0"/>
    <n v="36"/>
    <s v="Dealer"/>
    <m/>
    <n v="222099"/>
    <n v="9568"/>
    <s v="NO"/>
    <s v="16-09-2025"/>
    <n v="3127413"/>
    <s v="2,1"/>
    <m/>
    <m/>
    <m/>
    <s v="NO RECUPERADO"/>
    <n v="935302796"/>
    <m/>
    <m/>
    <s v="djerezbahamondes@gmail.com"/>
    <m/>
    <m/>
    <s v="CALETA CHAIHUIN 1636"/>
    <s v="PUENTE ALTO"/>
    <s v="REGION METROPOLITANA"/>
    <s v="C-834-2026"/>
    <s v="28º Juzgado Civil de Santiago"/>
    <s v="INGRESADO"/>
    <s v="MANTIENE"/>
    <m/>
    <m/>
    <m/>
    <m/>
    <s v="NO"/>
    <s v="ACTIVO"/>
    <m/>
    <s v="FOTON"/>
    <s v="*TM5 CARGO BOX"/>
    <n v="2026"/>
  </r>
  <r>
    <n v="3559382"/>
    <n v="122"/>
    <n v="5"/>
    <n v="9689742"/>
    <m/>
    <s v="PHOENIX"/>
    <s v="JUDICIAL"/>
    <x v="9"/>
    <s v="121-150"/>
    <x v="1"/>
    <s v="COBRANZA"/>
    <x v="1"/>
    <s v="E"/>
    <n v="15437007"/>
    <n v="2"/>
    <s v="ADRIANA DE LOURDES VIELMA MACHUCA"/>
    <n v="1"/>
    <n v="326.37"/>
    <d v="2026-03-01T00:00:00"/>
    <n v="2"/>
    <n v="1"/>
    <n v="48"/>
    <s v="Dealer"/>
    <m/>
    <n v="69114"/>
    <n v="93828"/>
    <s v="NO"/>
    <s v="24-09-2025"/>
    <n v="1794792"/>
    <s v="2,1"/>
    <m/>
    <m/>
    <m/>
    <s v="CONTENIDO"/>
    <n v="948902099"/>
    <m/>
    <m/>
    <s v="adrianaseba10@gmail.com"/>
    <m/>
    <m/>
    <s v="URMENETA 028"/>
    <s v="SAN BERNARDO"/>
    <s v="REGION METROPOLITANA"/>
    <s v="C-5130-2026"/>
    <s v="10º Juzgado Civil de Santiago"/>
    <s v="INGRESADO"/>
    <s v="MANTIENE"/>
    <m/>
    <m/>
    <m/>
    <m/>
    <s v="NO"/>
    <s v="ACTIVO"/>
    <m/>
    <s v="FOTON"/>
    <s v="*TM3 CABINA SIMPLE 1.6 Euro VI"/>
    <n v="2026"/>
  </r>
  <r>
    <n v="3564341"/>
    <n v="176"/>
    <n v="6"/>
    <n v="11106568"/>
    <m/>
    <s v="PHOENIX"/>
    <s v="JUDICIAL"/>
    <x v="10"/>
    <s v="151-180"/>
    <x v="1"/>
    <s v="COBRANZA"/>
    <x v="1"/>
    <s v="E"/>
    <n v="26224361"/>
    <n v="3"/>
    <s v="SANTIAGO ALONSO TASCON BARONA"/>
    <n v="1"/>
    <n v="330.09100000000001"/>
    <d v="2025-10-11T00:00:00"/>
    <n v="0"/>
    <n v="0"/>
    <n v="60"/>
    <s v="Dealer"/>
    <m/>
    <n v="140484"/>
    <n v="118193"/>
    <s v="NO"/>
    <s v="29-09-2025"/>
    <n v="2239223"/>
    <s v="2,1"/>
    <m/>
    <m/>
    <m/>
    <s v="NO RECUPERADO"/>
    <n v="975696792"/>
    <m/>
    <n v="56975696792"/>
    <s v="Santiagotaskon2020@gmail.com"/>
    <m/>
    <m/>
    <s v="El Abanico 9601"/>
    <s v="LA FLORIDA"/>
    <s v="REGION METROPOLITANA"/>
    <s v="C-3845-2026"/>
    <s v="28º Juzgado Civil de Santiago"/>
    <s v="INGRESADO"/>
    <s v="MANTIENE"/>
    <m/>
    <m/>
    <m/>
    <m/>
    <s v="NO"/>
    <s v="ACTIVO"/>
    <m/>
    <s v="DONGFENG"/>
    <s v="*T5L 1.8 TURBO Euro VI"/>
    <n v="2026"/>
  </r>
  <r>
    <n v="3572112"/>
    <n v="151"/>
    <n v="6"/>
    <n v="14827671"/>
    <m/>
    <s v="PHOENIX"/>
    <s v="JUDICIAL"/>
    <x v="9"/>
    <s v="151-180"/>
    <x v="1"/>
    <s v="COBRANZA"/>
    <x v="1"/>
    <s v="E"/>
    <n v="12036969"/>
    <n v="5"/>
    <s v="DANIEL JIMY SILVA CAMPOS"/>
    <n v="1"/>
    <n v="423.44499999999999"/>
    <d v="2025-05-12T00:00:00"/>
    <n v="0"/>
    <n v="0"/>
    <n v="49"/>
    <s v="AMICAR"/>
    <m/>
    <n v="135457"/>
    <n v="114621"/>
    <s v="NO"/>
    <d v="2025-06-10T00:00:00"/>
    <n v="2790748"/>
    <s v="2,1"/>
    <m/>
    <m/>
    <m/>
    <s v="NO RECUPERADO"/>
    <n v="56998427878"/>
    <m/>
    <n v="5698427878"/>
    <s v="dragichi@hotmail.com"/>
    <m/>
    <m/>
    <s v="ALTE NEFF NTE 360"/>
    <s v="LA CISTERNA"/>
    <s v="REGION METROPOLITANA"/>
    <s v="C-3849-2026"/>
    <s v="12º Juzgado Civil de Santiago"/>
    <s v="INGRESADO"/>
    <s v="MANTIENE"/>
    <m/>
    <m/>
    <m/>
    <m/>
    <s v="NO"/>
    <s v="ACTIVO"/>
    <m/>
    <s v="SUZUKI"/>
    <s v="JIMNY 5P 1.5 AT GLX"/>
    <n v="0"/>
  </r>
  <r>
    <n v="3575468"/>
    <n v="120"/>
    <n v="5"/>
    <n v="24913683"/>
    <m/>
    <s v="PHOENIX"/>
    <s v="JUDICIAL"/>
    <x v="3"/>
    <s v="91-120"/>
    <x v="1"/>
    <s v="COBRANZA"/>
    <x v="1"/>
    <s v="E"/>
    <n v="11643628"/>
    <n v="0"/>
    <s v="LAZARO ABURTO A"/>
    <n v="1"/>
    <n v="704.16800000000001"/>
    <d v="2026-05-01T00:00:00"/>
    <n v="0"/>
    <n v="0"/>
    <n v="60"/>
    <s v="AMICAR"/>
    <m/>
    <n v="150337"/>
    <n v="171093"/>
    <s v="NO"/>
    <d v="2025-09-10T00:00:00"/>
    <n v="3842270"/>
    <s v="1,89"/>
    <m/>
    <m/>
    <m/>
    <s v="NO RECUPERADO"/>
    <n v="930536698"/>
    <m/>
    <m/>
    <s v="lazaroaburto01@gmail.com"/>
    <m/>
    <m/>
    <n v="2025"/>
    <s v="CONSTITUCION"/>
    <s v="VII REGION"/>
    <s v="C-5122-2026"/>
    <s v="7º Juzgado Civil de Santiago"/>
    <s v="INGRESADO"/>
    <s v="MANTIENE"/>
    <m/>
    <m/>
    <m/>
    <m/>
    <s v="NO"/>
    <s v="ACTIVO"/>
    <m/>
    <s v="CHANGAN"/>
    <s v="UNI-K ELITE"/>
    <n v="0"/>
  </r>
  <r>
    <n v="3587724"/>
    <n v="151"/>
    <n v="6"/>
    <n v="20181623"/>
    <m/>
    <s v="PHOENIX"/>
    <s v="JUDICIAL"/>
    <x v="9"/>
    <s v="151-180"/>
    <x v="1"/>
    <s v="COBRANZA"/>
    <x v="1"/>
    <s v="E"/>
    <n v="17755417"/>
    <n v="0"/>
    <s v="PEDRO EMILIO SANDOVAL MELLA"/>
    <n v="1"/>
    <n v="572.91999999999996"/>
    <d v="2025-05-12T00:00:00"/>
    <n v="0"/>
    <n v="0"/>
    <n v="49"/>
    <s v="MAF"/>
    <m/>
    <n v="184583"/>
    <n v="105732"/>
    <s v="NO"/>
    <s v="21-10-2025"/>
    <n v="3727835"/>
    <s v="1,99"/>
    <m/>
    <m/>
    <m/>
    <s v="NO RECUPERADO"/>
    <n v="974271832"/>
    <m/>
    <m/>
    <s v="sandovalmpedroemilio@gmail.com"/>
    <m/>
    <m/>
    <s v="CALLE LLANTEN 2069"/>
    <s v="CHILLAN"/>
    <s v="XVI REGION"/>
    <s v="C-3852-2026"/>
    <s v="3º Juzgado Civil de Santiago"/>
    <s v="INGRESADO"/>
    <s v="MANTIENE"/>
    <m/>
    <m/>
    <m/>
    <m/>
    <s v="NO"/>
    <s v="ACTIVO"/>
    <m/>
    <s v="TOYOTA"/>
    <s v="RAV4"/>
    <n v="0"/>
  </r>
  <r>
    <n v="3590667"/>
    <n v="124"/>
    <n v="5"/>
    <n v="29871444"/>
    <m/>
    <s v="PHOENIX"/>
    <s v="JUDICIAL"/>
    <x v="3"/>
    <s v="121-150"/>
    <x v="1"/>
    <s v="COBRANZA"/>
    <x v="1"/>
    <s v="E"/>
    <n v="14101125"/>
    <n v="1"/>
    <s v="BORIS JOSE ALMENDRAS SANCHEZ"/>
    <n v="1"/>
    <n v="851.90700000000004"/>
    <d v="2026-01-01T00:00:00"/>
    <n v="1"/>
    <n v="1"/>
    <n v="49"/>
    <s v="AMICAR"/>
    <m/>
    <n v="195190"/>
    <n v="145571"/>
    <s v="NO"/>
    <s v="21-10-2025"/>
    <n v="4600296"/>
    <s v="1,99"/>
    <m/>
    <m/>
    <m/>
    <s v="NO RECUPERADO"/>
    <n v="957329159"/>
    <m/>
    <m/>
    <m/>
    <m/>
    <m/>
    <s v="NICASIO RETAMALES 1705 DEPTO 115"/>
    <s v="ESTACION CENTRAL"/>
    <s v="REGION METROPOLITANA"/>
    <s v="C-5126-2026"/>
    <s v="6º JUZGADO CIVIL DE SANTIAGO"/>
    <s v="INGRESADO"/>
    <s v="MANTIENE"/>
    <m/>
    <m/>
    <m/>
    <m/>
    <s v="NO"/>
    <s v="ACTIVO"/>
    <m/>
    <s v="MAZDA"/>
    <s v="CX-5 SIGNATURE 2.5T AWD 6AT SPE E6C"/>
    <n v="0"/>
  </r>
  <r>
    <n v="3595358"/>
    <n v="151"/>
    <n v="6"/>
    <n v="23170072"/>
    <m/>
    <s v="PHOENIX"/>
    <s v="JUDICIAL"/>
    <x v="9"/>
    <s v="151-180"/>
    <x v="1"/>
    <s v="COBRANZA"/>
    <x v="1"/>
    <s v="E"/>
    <n v="18119175"/>
    <n v="9"/>
    <s v="DANIEL EMILIO YOANOVICH NICOLICH"/>
    <n v="1"/>
    <n v="690.25099999999998"/>
    <d v="2025-05-12T00:00:00"/>
    <n v="0"/>
    <n v="0"/>
    <n v="60"/>
    <s v="Dealer"/>
    <m/>
    <n v="222385"/>
    <n v="169602"/>
    <s v="NO"/>
    <s v="30-10-2025"/>
    <n v="4533493"/>
    <s v="2,11"/>
    <m/>
    <m/>
    <m/>
    <s v="NO RECUPERADO"/>
    <n v="942739640"/>
    <m/>
    <m/>
    <s v="danielnicolich2@gmail.com"/>
    <m/>
    <m/>
    <s v="Calle Patagual 01689"/>
    <s v="ANCUD"/>
    <s v="X REGION"/>
    <s v="C-3860-2026"/>
    <s v="30º Juzgado Civil de Santiago"/>
    <s v="INGRESADO"/>
    <s v="MANTIENE"/>
    <m/>
    <m/>
    <m/>
    <m/>
    <s v="NO"/>
    <s v="ACTIVO"/>
    <m/>
    <s v="MITSUBISHI"/>
    <s v="L200 KATANA XR"/>
    <n v="2026"/>
  </r>
  <r>
    <n v="3595383"/>
    <n v="166"/>
    <n v="6"/>
    <n v="14077740"/>
    <m/>
    <s v="PHOENIX"/>
    <s v="JUDICIAL"/>
    <x v="10"/>
    <s v="151-180"/>
    <x v="1"/>
    <s v="COBRANZA"/>
    <x v="1"/>
    <s v="E"/>
    <n v="77302208"/>
    <n v="9"/>
    <s v="GIFTMANIA SPA"/>
    <n v="0"/>
    <n v="387.97199999999998"/>
    <s v="20-11-2025"/>
    <n v="0"/>
    <n v="0"/>
    <n v="37"/>
    <s v="AMICAR"/>
    <m/>
    <n v="149887"/>
    <n v="9568"/>
    <s v="NO"/>
    <s v="20-10-2025"/>
    <n v="2487287"/>
    <s v="1,79"/>
    <m/>
    <m/>
    <m/>
    <s v="NO RECUPERADO"/>
    <n v="962373053"/>
    <m/>
    <m/>
    <s v="gifmania.cl@gmail.com"/>
    <m/>
    <m/>
    <s v="SANTA ROSA 575 OF 31"/>
    <s v="PUERTO VARAS"/>
    <s v="X REGION"/>
    <s v="C-3901-2026"/>
    <s v="2º Juzgado Civil de Santiago"/>
    <s v="INGRESADO"/>
    <s v="MANTIENE"/>
    <m/>
    <m/>
    <m/>
    <m/>
    <s v="NO"/>
    <s v="ACTIVO"/>
    <m/>
    <s v="CHANGAN (02)"/>
    <s v="CS55 PLUS IDD LUXURY"/>
    <n v="0"/>
  </r>
  <r>
    <n v="3595438"/>
    <n v="155"/>
    <n v="6"/>
    <n v="13113219"/>
    <m/>
    <s v="PHOENIX"/>
    <s v="JUDICIAL"/>
    <x v="9"/>
    <s v="151-180"/>
    <x v="1"/>
    <s v="COBRANZA"/>
    <x v="1"/>
    <s v="E"/>
    <n v="12021188"/>
    <n v="9"/>
    <s v="MARIA ALICIA ESTEVANOVIC NIETO"/>
    <n v="1"/>
    <n v="374.214"/>
    <d v="2025-01-12T00:00:00"/>
    <n v="0"/>
    <n v="0"/>
    <n v="49"/>
    <s v="AMICAR"/>
    <m/>
    <n v="126896"/>
    <n v="104076"/>
    <s v="NO"/>
    <s v="29-10-2025"/>
    <n v="2476256"/>
    <s v="2,11"/>
    <m/>
    <m/>
    <m/>
    <s v="NO RECUPERADO"/>
    <n v="955211264"/>
    <m/>
    <m/>
    <s v="cliente@dumay.cl"/>
    <m/>
    <m/>
    <s v="TITÁN 4900 ESTACIÓN CENTRAL CARLOS LUIS GONZÁLEZ 3144"/>
    <s v="LA FLORIDA"/>
    <s v="REGION METROPOLITANA"/>
    <s v="C-3845-2026"/>
    <s v="21º JUZGADO CIVIL DE SANTIAGO"/>
    <s v="INGRESADO"/>
    <s v="MANTIENE"/>
    <m/>
    <m/>
    <m/>
    <m/>
    <s v="NO"/>
    <s v="ACTIVO"/>
    <m/>
    <s v="SUZUKI"/>
    <s v="NEW FRONX 1.5 AT GLX HYBRID"/>
    <n v="0"/>
  </r>
  <r>
    <n v="3596731"/>
    <n v="0"/>
    <n v="0"/>
    <n v="9507614"/>
    <m/>
    <s v="PHOENIX"/>
    <s v="JUDICIAL"/>
    <x v="4"/>
    <s v="AL DIA"/>
    <x v="1"/>
    <s v="COBRANZA"/>
    <x v="1"/>
    <s v="C"/>
    <n v="17356888"/>
    <n v="6"/>
    <s v="PAMELA VERONICA NAVARRO GUARDA"/>
    <n v="1"/>
    <n v="329.28800000000001"/>
    <d v="2026-01-06T00:00:00"/>
    <n v="6"/>
    <n v="3"/>
    <n v="48"/>
    <s v="AMICAR"/>
    <m/>
    <n v="0"/>
    <n v="0"/>
    <s v="NO"/>
    <s v="22-10-2025"/>
    <n v="0"/>
    <s v="2,11"/>
    <m/>
    <m/>
    <s v="SEMI PREMIUM"/>
    <s v="NORMALIZADO"/>
    <n v="993194236"/>
    <m/>
    <m/>
    <s v="p.navarro.guarda@gmail.com"/>
    <m/>
    <m/>
    <s v="CONCHI VIEJO 1639, VILLA AYQUINA, CALAMA"/>
    <s v="CALAMA"/>
    <s v="II REGION"/>
    <s v="C-5140-2026"/>
    <s v="14º Juzgado Civil de Santiago"/>
    <s v="INGRESADO"/>
    <s v="MANTIENE"/>
    <m/>
    <s v="SUSPENDER"/>
    <s v="1 CUOTA MORA"/>
    <d v="2026-05-05T00:00:00"/>
    <s v="NO"/>
    <s v="SUSPENDIDO"/>
    <m/>
    <s v="NISSAN"/>
    <s v="X-TRAIL"/>
    <n v="0"/>
  </r>
  <r>
    <n v="3606496"/>
    <n v="120"/>
    <n v="5"/>
    <n v="14170641"/>
    <m/>
    <s v="PHOENIX"/>
    <s v="JUDICIAL"/>
    <x v="3"/>
    <s v="91-120"/>
    <x v="1"/>
    <s v="COBRANZA"/>
    <x v="1"/>
    <s v="D"/>
    <n v="18750480"/>
    <n v="5"/>
    <s v="JESUS ABRAHAM JORGE LABALOVICH"/>
    <n v="1"/>
    <n v="405.96100000000001"/>
    <d v="2026-05-01T00:00:00"/>
    <n v="0"/>
    <n v="0"/>
    <n v="49"/>
    <s v="AMICAR"/>
    <m/>
    <n v="87285"/>
    <n v="110876"/>
    <s v="NO"/>
    <d v="2025-07-11T00:00:00"/>
    <n v="2227966"/>
    <s v="2,11"/>
    <m/>
    <m/>
    <m/>
    <s v="NO RECUPERADO"/>
    <n v="961311978"/>
    <m/>
    <m/>
    <s v="ajlabalovich@gmail.com"/>
    <m/>
    <m/>
    <s v="EDUARDO BARRIOS 229"/>
    <s v="EL BOSQUE"/>
    <s v="REGION METROPOLITANA"/>
    <s v="C-5128-2026"/>
    <s v="22º Juzgado Civil de Santiago"/>
    <s v="INGRESADO"/>
    <s v="MANTIENE"/>
    <m/>
    <m/>
    <m/>
    <m/>
    <s v="NO"/>
    <s v="ACTIVO"/>
    <m/>
    <s v="SUZUKI"/>
    <s v="SWIFT 1.4 DIT AT SPORT"/>
    <n v="0"/>
  </r>
  <r>
    <n v="3611204"/>
    <n v="138"/>
    <n v="5"/>
    <n v="16126083"/>
    <m/>
    <s v="PHOENIX"/>
    <s v="JUDICIAL"/>
    <x v="9"/>
    <s v="121-150"/>
    <x v="1"/>
    <s v="COBRANZA"/>
    <x v="1"/>
    <s v="E"/>
    <n v="18248683"/>
    <n v="3"/>
    <s v="BELÉN DE LA BARRERA MUÑOZ"/>
    <n v="1"/>
    <n v="542.08199999999999"/>
    <s v="18-12-2025"/>
    <n v="0"/>
    <n v="0"/>
    <n v="48"/>
    <s v="Dealer"/>
    <m/>
    <n v="143285"/>
    <n v="9568"/>
    <s v="NO"/>
    <s v="17-11-2025"/>
    <n v="2863263"/>
    <s v="2,09"/>
    <m/>
    <m/>
    <m/>
    <s v="NO RECUPERADO"/>
    <n v="959893289"/>
    <m/>
    <m/>
    <s v="Respaldogsmotos@gmail.com"/>
    <m/>
    <m/>
    <s v="San Francisco 350 departamento 1201"/>
    <s v="SANTIAGO"/>
    <s v="REGION METROPOLITANA"/>
    <s v="C-3848-2026"/>
    <s v="12º Juzgado Civil de Santiago"/>
    <s v="INGRESADO"/>
    <s v="MANTIENE"/>
    <m/>
    <m/>
    <m/>
    <m/>
    <s v="NO"/>
    <s v="ACTIVO"/>
    <m/>
    <s v="DODGE"/>
    <s v="CHARGER"/>
    <n v="2019"/>
  </r>
  <r>
    <n v="2468859"/>
    <n v="0"/>
    <n v="1"/>
    <n v="6363432"/>
    <s v="LLAMADA"/>
    <s v="PHOENIX"/>
    <s v="JUDICIAL"/>
    <x v="5"/>
    <s v="AL DIA"/>
    <x v="1"/>
    <s v="COBRANZA"/>
    <x v="1"/>
    <s v="E"/>
    <n v="77300219"/>
    <n v="3"/>
    <s v="CAPITAL FRUT SPA"/>
    <n v="0"/>
    <n v="543.928"/>
    <d v="2026-05-05T00:00:00"/>
    <n v="35"/>
    <n v="34"/>
    <n v="48"/>
    <s v="AMICAR"/>
    <m/>
    <n v="482"/>
    <n v="0"/>
    <s v="NO"/>
    <s v="17-04-2023"/>
    <n v="544410"/>
    <s v="2,49"/>
    <m/>
    <m/>
    <s v="NO PREMIUM"/>
    <s v="CONTENIDO"/>
    <n v="957990783"/>
    <m/>
    <m/>
    <s v="capitalfrutspa@gmail.com"/>
    <m/>
    <m/>
    <s v="VILLA SAN SEBASTIAN STA ROSA 17"/>
    <s v="SAGRADA FAMILIA"/>
    <s v="VII REGION"/>
    <s v="C-688-2025"/>
    <s v="22º Juzgado Civil de Santiago"/>
    <s v="EMBARGADO"/>
    <s v="REACTIVA"/>
    <m/>
    <s v="SUSPENDER"/>
    <s v="AL DIA"/>
    <d v="2026-05-05T00:00:00"/>
    <s v="SI"/>
    <s v="SUSPENDIDO"/>
    <s v="STRC41"/>
    <s v="JAC"/>
    <s v="REFINE M4 11 PAS. 1.9T DIESEL MT"/>
    <n v="2023"/>
  </r>
  <r>
    <n v="2521582"/>
    <n v="30"/>
    <n v="2"/>
    <n v="8902148"/>
    <s v="LLAMADA"/>
    <s v="PHOENIX"/>
    <s v="JUDICIAL"/>
    <x v="5"/>
    <d v="2026-01-30T00:00:00"/>
    <x v="1"/>
    <s v="COBRANZA"/>
    <x v="1"/>
    <s v="D"/>
    <n v="15347228"/>
    <n v="9"/>
    <s v="CAROLINA RENATA PEREZ"/>
    <n v="1"/>
    <n v="400.596"/>
    <d v="2026-05-04T00:00:00"/>
    <n v="33"/>
    <n v="33"/>
    <n v="49"/>
    <s v="AMICAR"/>
    <m/>
    <n v="11771"/>
    <n v="0"/>
    <s v="NO"/>
    <s v="20-05-2023"/>
    <n v="812963"/>
    <s v="2,49"/>
    <m/>
    <m/>
    <s v="NO PREMIUM"/>
    <s v="NO RECUPERADO"/>
    <n v="941269247"/>
    <n v="961077778"/>
    <m/>
    <s v="carolinarenata9876@hotmail.com"/>
    <m/>
    <m/>
    <s v="BASCUÑAN GUERRERO 2071"/>
    <s v="SANTIAGO"/>
    <s v="REGION METROPOLITANA"/>
    <s v="C-8334-2025"/>
    <s v="20º Juzgado Civil de Santiago"/>
    <s v="EMBARGADO"/>
    <s v="REACTIVA"/>
    <m/>
    <s v="SUSPENDER"/>
    <s v="1 CUOTA EN MORA"/>
    <d v="2026-05-05T00:00:00"/>
    <s v="SI"/>
    <s v="SUSPENDIDO"/>
    <s v="STPV97"/>
    <s v="GREAT WALL"/>
    <s v="POER 2.0"/>
    <n v="2023"/>
  </r>
  <r>
    <n v="2685964"/>
    <n v="20"/>
    <n v="1"/>
    <n v="4999640"/>
    <s v="LLAMADA"/>
    <s v="PHOENIX"/>
    <s v="JUDICIAL"/>
    <x v="5"/>
    <d v="2026-01-30T00:00:00"/>
    <x v="1"/>
    <s v="COBRANZA"/>
    <x v="1"/>
    <s v="C"/>
    <n v="10401635"/>
    <n v="9"/>
    <s v="MARÍA ANGÉLICA  GÓMEZ  GUZMÁN"/>
    <n v="1"/>
    <n v="354.05700000000002"/>
    <s v="15-04-2026"/>
    <n v="30"/>
    <n v="30"/>
    <n v="48"/>
    <s v="Dealer"/>
    <m/>
    <n v="6416"/>
    <n v="0"/>
    <s v="NO"/>
    <d v="2023-05-09T00:00:00"/>
    <n v="360473"/>
    <s v="2,69"/>
    <m/>
    <m/>
    <s v="NO PREMIUM"/>
    <s v="NO RECUPERADO"/>
    <n v="984304738"/>
    <n v="965607066"/>
    <n v="56965607066"/>
    <s v="rodrigobravogomez@gmail.com"/>
    <s v="-"/>
    <m/>
    <s v="LAS CHILCAS 9500"/>
    <s v="LA FLORIDA"/>
    <s v="REGION METROPOLITANA"/>
    <s v="C-5506-2025"/>
    <s v="12º Juzgado Civil de Santiago"/>
    <s v="NOTIFICADO"/>
    <s v="MANTIENE"/>
    <m/>
    <s v="SUSPENDER"/>
    <s v="1 CUOTA EN MORA"/>
    <d v="2026-05-05T00:00:00"/>
    <s v="SI"/>
    <s v="SUSPENDIDO"/>
    <s v="RSLG31"/>
    <s v="JETOUR"/>
    <s v="X70 1.5 GLX AT"/>
    <n v="2022"/>
  </r>
  <r>
    <n v="2774859"/>
    <n v="21"/>
    <n v="1"/>
    <n v="5794313"/>
    <s v="LLAMADA"/>
    <s v="PHOENIX"/>
    <s v="JUDICIAL"/>
    <x v="5"/>
    <d v="2026-01-30T00:00:00"/>
    <x v="1"/>
    <s v="COBRANZA"/>
    <x v="1"/>
    <s v="D"/>
    <n v="26072261"/>
    <n v="1"/>
    <s v="JEFF PIERRE"/>
    <n v="1"/>
    <n v="269.69200000000001"/>
    <s v="14-04-2026"/>
    <n v="28"/>
    <n v="28"/>
    <n v="60"/>
    <s v="Dealer"/>
    <m/>
    <n v="5181"/>
    <n v="0"/>
    <s v="NO"/>
    <s v="14-11-2023"/>
    <n v="274873"/>
    <s v="2,62"/>
    <m/>
    <m/>
    <s v="NO PREMIUM"/>
    <s v="NO RECUPERADO"/>
    <n v="946911752"/>
    <m/>
    <n v="56946911752"/>
    <s v="pierrejeff.794@gmail.com"/>
    <m/>
    <m/>
    <s v="Vicente Reyes 200"/>
    <s v="MAIPU"/>
    <s v="REGION METROPOLITANA"/>
    <s v="C-14437-2025"/>
    <s v="17º Juzgado Civil de Santiago"/>
    <s v="EMBARGADO"/>
    <s v="MANTIENE"/>
    <m/>
    <s v="SUSPENDER"/>
    <s v="1 CUOTA EN MORA"/>
    <d v="2026-05-05T00:00:00"/>
    <s v="SI"/>
    <s v="SUSPENDIDO"/>
    <s v="TDZV39"/>
    <s v="FOTON"/>
    <s v="MIDI 1.2L D/C E6"/>
    <n v="2024"/>
  </r>
  <r>
    <n v="2791803"/>
    <n v="26"/>
    <n v="1"/>
    <n v="5867143"/>
    <s v="LLAMADA"/>
    <s v="PHOENIX"/>
    <s v="JUDICIAL"/>
    <x v="5"/>
    <d v="2026-01-30T00:00:00"/>
    <x v="1"/>
    <s v="COBRANZA"/>
    <x v="1"/>
    <s v="D"/>
    <n v="15029397"/>
    <n v="9"/>
    <s v="MARIA PIA ROJAS RAVEST"/>
    <n v="1"/>
    <n v="267.964"/>
    <d v="2026-09-04T00:00:00"/>
    <n v="27"/>
    <n v="27"/>
    <n v="49"/>
    <s v="AMICAR"/>
    <m/>
    <n v="6308"/>
    <n v="0"/>
    <s v="NO"/>
    <s v="15-11-2023"/>
    <n v="274272"/>
    <s v="2,57"/>
    <m/>
    <m/>
    <s v="NO PREMIUM"/>
    <s v="NO RECUPERADO"/>
    <n v="937126014"/>
    <m/>
    <n v="56961602191"/>
    <s v="mariapiarojas67@gmail.com"/>
    <m/>
    <m/>
    <s v="PASAJE LLANOS DE VARAS 6021"/>
    <s v="COPIAPO"/>
    <s v="III REGION"/>
    <s v="C-22123-2024"/>
    <s v="15º Juzgado Civil de Santiago"/>
    <s v="EMBARGADO"/>
    <s v="MANTIENE"/>
    <m/>
    <s v="SUSPENDER"/>
    <s v="1 CUOTA EN MORA"/>
    <d v="2026-05-05T00:00:00"/>
    <s v="SI"/>
    <s v="SUSPENDIDO"/>
    <s v="TBDD51"/>
    <s v="CHANGAN"/>
    <s v="CS15 VVT MT 1.5"/>
    <n v="2024"/>
  </r>
  <r>
    <n v="2793485"/>
    <n v="0"/>
    <n v="1"/>
    <n v="4592552"/>
    <s v="LLAMADA"/>
    <s v="PHOENIX"/>
    <s v="JUDICIAL"/>
    <x v="5"/>
    <s v="AL DIA"/>
    <x v="1"/>
    <s v="COBRANZA"/>
    <x v="1"/>
    <s v="D"/>
    <n v="17174790"/>
    <n v="2"/>
    <s v="LOREDANA DANICELA  MERY  SEIDA"/>
    <n v="1"/>
    <n v="286.84500000000003"/>
    <d v="2026-05-05T00:00:00"/>
    <n v="28"/>
    <n v="27"/>
    <n v="48"/>
    <s v="CREDINISSAN"/>
    <m/>
    <n v="250"/>
    <n v="0"/>
    <s v="NO"/>
    <s v="27-11-2023"/>
    <n v="287095"/>
    <s v="2,61"/>
    <m/>
    <m/>
    <s v="NO PREMIUM"/>
    <s v="CONTENIDO"/>
    <n v="965783552"/>
    <m/>
    <n v="56968752017"/>
    <s v="DANICELA.2004@HOTMAIL.COM"/>
    <m/>
    <m/>
    <s v="AVENIDA NUEVA UNO 3194, VILLA TALINAY"/>
    <s v="COQUIMBO"/>
    <s v="IV REGION"/>
    <s v="C-22136-2024"/>
    <s v="17º Juzgado Civil de Santiago"/>
    <s v="NOTIFICADO"/>
    <s v="MANTIENE"/>
    <m/>
    <s v="SUSPENDER"/>
    <s v="AL DIA"/>
    <d v="2026-05-05T00:00:00"/>
    <s v="SI"/>
    <s v="SUSPENDIDO"/>
    <m/>
    <s v="NISSAN"/>
    <s v="X-TRAIL SENSE 2ROW 4X2"/>
    <n v="2021"/>
  </r>
  <r>
    <n v="2991691"/>
    <n v="30"/>
    <n v="2"/>
    <n v="5795764"/>
    <s v="LLAMADA"/>
    <s v="PHOENIX"/>
    <s v="JUDICIAL"/>
    <x v="5"/>
    <d v="2026-01-30T00:00:00"/>
    <x v="1"/>
    <s v="COBRANZA"/>
    <x v="1"/>
    <s v="E"/>
    <n v="11378876"/>
    <n v="3"/>
    <s v="JAIME ALEXIS CUELLO CARVAJAL"/>
    <n v="1"/>
    <n v="290.54599999999999"/>
    <d v="2026-05-04T00:00:00"/>
    <n v="21"/>
    <n v="21"/>
    <n v="48"/>
    <s v="AMICAR"/>
    <m/>
    <n v="7127"/>
    <n v="0"/>
    <s v="NO"/>
    <d v="2024-08-05T00:00:00"/>
    <n v="588219"/>
    <s v="2,3"/>
    <m/>
    <m/>
    <s v="NO PREMIUM"/>
    <s v="NO RECUPERADO"/>
    <n v="936390156"/>
    <m/>
    <m/>
    <s v="jaimecuello@gmail.com"/>
    <m/>
    <m/>
    <s v="MARCELO BACHELET 16"/>
    <s v="OVALLE"/>
    <s v="IV REGION"/>
    <s v="C-14430-2025"/>
    <s v="21º JUZGADO CIVIL DE SANTIAGO"/>
    <s v="NOTIFICADO"/>
    <s v="MANTIENE"/>
    <m/>
    <s v="SUSPENDER"/>
    <s v="1 CUOTA EN MORA"/>
    <d v="2026-05-05T00:00:00"/>
    <s v="SI"/>
    <s v="SUSPENDIDO"/>
    <s v="TKHS39"/>
    <s v="CHANGAN"/>
    <s v="CS15 HB 4X2 1.5"/>
    <n v="2024"/>
  </r>
  <r>
    <n v="3032093"/>
    <n v="30"/>
    <n v="2"/>
    <n v="6794923"/>
    <s v="LLAMADA"/>
    <s v="PHOENIX"/>
    <s v="JUDICIAL"/>
    <x v="5"/>
    <d v="2026-01-30T00:00:00"/>
    <x v="1"/>
    <s v="COBRANZA"/>
    <x v="1"/>
    <s v="D"/>
    <n v="16691142"/>
    <n v="7"/>
    <s v="MAITEN INGRID QUEZADA DÍAZ"/>
    <n v="1"/>
    <n v="331.41199999999998"/>
    <d v="2026-05-04T00:00:00"/>
    <n v="20"/>
    <n v="20"/>
    <n v="48"/>
    <s v="Dealer"/>
    <m/>
    <n v="8094"/>
    <n v="0"/>
    <s v="NO"/>
    <d v="2024-12-06T00:00:00"/>
    <n v="670918"/>
    <s v="2,29"/>
    <m/>
    <m/>
    <s v="SEMI PREMIUM"/>
    <s v="NO RECUPERADO"/>
    <n v="968307618"/>
    <m/>
    <m/>
    <s v="quezadamaiten@gmail.com"/>
    <m/>
    <m/>
    <s v="CALLE A 1252 , DEPTO 13"/>
    <s v="LA PINTANA"/>
    <s v="REGION METROPOLITANA"/>
    <s v="C-11269-2025"/>
    <s v="9º Juzgado Civil de Santiago"/>
    <s v="EMBARGADO"/>
    <s v="MANTIENE"/>
    <m/>
    <s v="SUSPENDER"/>
    <s v="1 CUOTA EN MORA"/>
    <d v="2026-05-05T00:00:00"/>
    <s v="SI"/>
    <s v="SUSPENDIDO"/>
    <s v="TPGZ10"/>
    <s v="DFM"/>
    <s v="AEOLUS Y3"/>
    <n v="2024"/>
  </r>
  <r>
    <n v="3366045"/>
    <n v="30"/>
    <n v="2"/>
    <n v="2340732"/>
    <s v="LLAMADA"/>
    <s v="PHOENIX"/>
    <s v="JUDICIAL"/>
    <x v="5"/>
    <d v="2026-01-30T00:00:00"/>
    <x v="1"/>
    <s v="COBRANZA"/>
    <x v="1"/>
    <s v="D"/>
    <n v="16254713"/>
    <n v="5"/>
    <s v="ITALO JOSE SILVA SALAMANCA"/>
    <n v="1"/>
    <n v="193.34800000000001"/>
    <d v="2026-05-04T00:00:00"/>
    <n v="10"/>
    <n v="10"/>
    <n v="24"/>
    <s v="AMICAR"/>
    <m/>
    <n v="5575"/>
    <n v="0"/>
    <s v="NO"/>
    <d v="2025-01-04T00:00:00"/>
    <n v="392271"/>
    <n v="2"/>
    <m/>
    <m/>
    <s v="NO PREMIUM"/>
    <s v="NO RECUPERADO"/>
    <n v="933435147"/>
    <m/>
    <n v="56966331513"/>
    <s v="salamancaitalo@gmail.com"/>
    <m/>
    <m/>
    <s v="AVENIDA LA COMPAÑIA 361"/>
    <s v="GRANEROS"/>
    <s v="VI REGION"/>
    <s v="C-14414-2025"/>
    <s v="2º Juzgado Civil de Santiago"/>
    <s v="NOTIFICADO"/>
    <s v="MANTIENE"/>
    <m/>
    <s v="SUSPENDER"/>
    <s v="1 CUOTA EN MORA"/>
    <d v="2026-05-05T00:00:00"/>
    <s v="SI"/>
    <s v="SUSPENDIDO"/>
    <m/>
    <s v="JAC"/>
    <s v="JS2"/>
    <n v="0"/>
  </r>
  <r>
    <m/>
    <m/>
    <m/>
    <m/>
    <m/>
    <m/>
    <m/>
    <x v="16"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Applied filters:_x000a_TIPO_COBRANZA is JUDICIAL"/>
    <m/>
    <m/>
    <m/>
    <m/>
    <m/>
    <m/>
    <x v="16"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x v="16"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97F3A-DC92-4C27-816B-D51FF26916D8}" name="TablaDinámica1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7" firstHeaderRow="1" firstDataRow="2" firstDataCol="1" rowPageCount="1" colPageCount="1"/>
  <pivotFields count="59">
    <pivotField showAll="0"/>
    <pivotField showAll="0"/>
    <pivotField showAll="0"/>
    <pivotField dataField="1" showAll="0"/>
    <pivotField showAll="0"/>
    <pivotField showAll="0"/>
    <pivotField showAll="0"/>
    <pivotField axis="axisPage" multipleItemSelectionAllowed="1" showAll="0">
      <items count="19">
        <item x="1"/>
        <item x="9"/>
        <item m="1" x="17"/>
        <item x="10"/>
        <item x="8"/>
        <item x="6"/>
        <item x="14"/>
        <item x="13"/>
        <item x="11"/>
        <item x="4"/>
        <item x="7"/>
        <item x="15"/>
        <item x="2"/>
        <item x="12"/>
        <item x="0"/>
        <item x="3"/>
        <item h="1" x="16"/>
        <item h="1" x="5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6">
        <item m="1" x="3"/>
        <item m="1" x="4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58"/>
    <field x="57"/>
    <field x="11"/>
  </rowFields>
  <rowItems count="3">
    <i>
      <x v="4"/>
    </i>
    <i>
      <x v="6"/>
    </i>
    <i t="grand">
      <x/>
    </i>
  </rowItems>
  <colFields count="1">
    <field x="9"/>
  </colFields>
  <colItems count="3">
    <i>
      <x/>
    </i>
    <i>
      <x v="1"/>
    </i>
    <i t="grand">
      <x/>
    </i>
  </colItems>
  <pageFields count="1">
    <pageField fld="7" hier="-1"/>
  </pageFields>
  <dataFields count="1">
    <dataField name="Suma de SALDO_INSOLUTO_INI" fld="3" baseField="58" baseItem="5" numFmtId="165"/>
  </dataFields>
  <formats count="7">
    <format dxfId="85">
      <pivotArea outline="0" collapsedLevelsAreSubtotals="1" fieldPosition="0">
        <references count="1">
          <reference field="9" count="1" selected="0">
            <x v="0"/>
          </reference>
        </references>
      </pivotArea>
    </format>
    <format dxfId="86">
      <pivotArea field="9" type="button" dataOnly="0" labelOnly="1" outline="0" axis="axisCol" fieldPosition="0"/>
    </format>
    <format dxfId="87">
      <pivotArea dataOnly="0" labelOnly="1" fieldPosition="0">
        <references count="1">
          <reference field="9" count="1">
            <x v="0"/>
          </reference>
        </references>
      </pivotArea>
    </format>
    <format dxfId="88">
      <pivotArea outline="0" collapsedLevelsAreSubtotals="1" fieldPosition="0">
        <references count="1">
          <reference field="9" count="1" selected="0">
            <x v="1"/>
          </reference>
        </references>
      </pivotArea>
    </format>
    <format dxfId="89">
      <pivotArea type="topRight" dataOnly="0" labelOnly="1" outline="0" fieldPosition="0"/>
    </format>
    <format dxfId="90">
      <pivotArea dataOnly="0" labelOnly="1" fieldPosition="0">
        <references count="1">
          <reference field="9" count="1">
            <x v="1"/>
          </reference>
        </references>
      </pivotArea>
    </format>
    <format dxfId="9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C4EEB-C0C7-4363-BEC3-7E0FA47D2500}" name="TablaDinámica4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0:H37" firstHeaderRow="1" firstDataRow="2" firstDataCol="1"/>
  <pivotFields count="59">
    <pivotField showAll="0"/>
    <pivotField showAll="0"/>
    <pivotField showAll="0"/>
    <pivotField dataField="1" showAll="0"/>
    <pivotField showAll="0"/>
    <pivotField showAll="0"/>
    <pivotField showAll="0"/>
    <pivotField axis="axisRow" multipleItemSelectionAllowed="1" showAll="0">
      <items count="19">
        <item x="1"/>
        <item x="9"/>
        <item m="1" x="17"/>
        <item x="10"/>
        <item x="8"/>
        <item x="6"/>
        <item x="14"/>
        <item x="13"/>
        <item x="11"/>
        <item x="4"/>
        <item x="7"/>
        <item x="15"/>
        <item x="2"/>
        <item x="12"/>
        <item x="0"/>
        <item x="3"/>
        <item h="1" x="16"/>
        <item h="1" x="5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>
      <items count="6">
        <item m="1" x="3"/>
        <item m="1" x="4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58"/>
    <field x="7"/>
  </rowFields>
  <rowItems count="16">
    <i>
      <x v="4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5"/>
    </i>
    <i>
      <x v="6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uma de SALDO_INSOLUTO_INI" fld="3" baseField="58" baseItem="4"/>
  </dataFields>
  <formats count="16">
    <format dxfId="69">
      <pivotArea outline="0" collapsedLevelsAreSubtotals="1" fieldPosition="0">
        <references count="1">
          <reference field="9" count="1" selected="0">
            <x v="0"/>
          </reference>
        </references>
      </pivotArea>
    </format>
    <format dxfId="70">
      <pivotArea field="9" type="button" dataOnly="0" labelOnly="1" outline="0" axis="axisCol" fieldPosition="0"/>
    </format>
    <format dxfId="71">
      <pivotArea dataOnly="0" labelOnly="1" fieldPosition="0">
        <references count="1">
          <reference field="9" count="1">
            <x v="0"/>
          </reference>
        </references>
      </pivotArea>
    </format>
    <format dxfId="72">
      <pivotArea outline="0" collapsedLevelsAreSubtotals="1" fieldPosition="0">
        <references count="1">
          <reference field="9" count="1" selected="0">
            <x v="1"/>
          </reference>
        </references>
      </pivotArea>
    </format>
    <format dxfId="73">
      <pivotArea type="topRight" dataOnly="0" labelOnly="1" outline="0" fieldPosition="0"/>
    </format>
    <format dxfId="74">
      <pivotArea dataOnly="0" labelOnly="1" fieldPosition="0">
        <references count="1">
          <reference field="9" count="1">
            <x v="1"/>
          </reference>
        </references>
      </pivotArea>
    </format>
    <format dxfId="75">
      <pivotArea collapsedLevelsAreSubtotals="1" fieldPosition="0">
        <references count="2">
          <reference field="7" count="1">
            <x v="13"/>
          </reference>
          <reference field="58" count="1" selected="0">
            <x v="5"/>
          </reference>
        </references>
      </pivotArea>
    </format>
    <format dxfId="76">
      <pivotArea dataOnly="0" labelOnly="1" fieldPosition="0">
        <references count="2">
          <reference field="7" count="1">
            <x v="13"/>
          </reference>
          <reference field="58" count="1" selected="0">
            <x v="5"/>
          </reference>
        </references>
      </pivotArea>
    </format>
    <format dxfId="77">
      <pivotArea collapsedLevelsAreSubtotals="1" fieldPosition="0">
        <references count="2">
          <reference field="7" count="1">
            <x v="0"/>
          </reference>
          <reference field="58" count="1" selected="0">
            <x v="5"/>
          </reference>
        </references>
      </pivotArea>
    </format>
    <format dxfId="78">
      <pivotArea dataOnly="0" labelOnly="1" fieldPosition="0">
        <references count="2">
          <reference field="7" count="1">
            <x v="0"/>
          </reference>
          <reference field="58" count="1" selected="0">
            <x v="5"/>
          </reference>
        </references>
      </pivotArea>
    </format>
    <format dxfId="79">
      <pivotArea collapsedLevelsAreSubtotals="1" fieldPosition="0">
        <references count="2">
          <reference field="7" count="1">
            <x v="0"/>
          </reference>
          <reference field="58" count="1" selected="0">
            <x v="5"/>
          </reference>
        </references>
      </pivotArea>
    </format>
    <format dxfId="80">
      <pivotArea dataOnly="0" labelOnly="1" fieldPosition="0">
        <references count="2">
          <reference field="7" count="1">
            <x v="0"/>
          </reference>
          <reference field="58" count="1" selected="0">
            <x v="5"/>
          </reference>
        </references>
      </pivotArea>
    </format>
    <format dxfId="81">
      <pivotArea collapsedLevelsAreSubtotals="1" fieldPosition="0">
        <references count="2">
          <reference field="7" count="1">
            <x v="13"/>
          </reference>
          <reference field="58" count="1" selected="0">
            <x v="5"/>
          </reference>
        </references>
      </pivotArea>
    </format>
    <format dxfId="82">
      <pivotArea dataOnly="0" labelOnly="1" fieldPosition="0">
        <references count="2">
          <reference field="7" count="1">
            <x v="13"/>
          </reference>
          <reference field="58" count="1" selected="0">
            <x v="5"/>
          </reference>
        </references>
      </pivotArea>
    </format>
    <format dxfId="83">
      <pivotArea collapsedLevelsAreSubtotals="1" fieldPosition="0">
        <references count="2">
          <reference field="7" count="1">
            <x v="13"/>
          </reference>
          <reference field="58" count="1" selected="0">
            <x v="5"/>
          </reference>
        </references>
      </pivotArea>
    </format>
    <format dxfId="84">
      <pivotArea dataOnly="0" labelOnly="1" fieldPosition="0">
        <references count="2">
          <reference field="7" count="1">
            <x v="13"/>
          </reference>
          <reference field="58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F25ADA-A82B-4FA7-8163-8E6F4BBF24D9}" name="TablaDinámica3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0:D37" firstHeaderRow="1" firstDataRow="2" firstDataCol="1"/>
  <pivotFields count="59">
    <pivotField showAll="0"/>
    <pivotField showAll="0"/>
    <pivotField showAll="0"/>
    <pivotField dataField="1" showAll="0"/>
    <pivotField showAll="0"/>
    <pivotField showAll="0"/>
    <pivotField showAll="0"/>
    <pivotField axis="axisRow" multipleItemSelectionAllowed="1" showAll="0">
      <items count="19">
        <item x="1"/>
        <item x="9"/>
        <item m="1" x="17"/>
        <item x="10"/>
        <item x="8"/>
        <item x="6"/>
        <item x="14"/>
        <item x="13"/>
        <item x="11"/>
        <item x="4"/>
        <item x="7"/>
        <item x="15"/>
        <item x="2"/>
        <item x="12"/>
        <item x="0"/>
        <item x="3"/>
        <item h="1" x="16"/>
        <item h="1" x="5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>
      <items count="6">
        <item m="1" x="3"/>
        <item m="1" x="4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58"/>
    <field x="7"/>
  </rowFields>
  <rowItems count="16">
    <i>
      <x v="4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5"/>
    </i>
    <i>
      <x v="6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uenta de SALDO_INSOLUTO_INI" fld="3" subtotal="count" baseField="58" baseItem="4"/>
  </dataFields>
  <formats count="19">
    <format dxfId="50">
      <pivotArea outline="0" collapsedLevelsAreSubtotals="1" fieldPosition="0">
        <references count="1">
          <reference field="9" count="1" selected="0">
            <x v="0"/>
          </reference>
        </references>
      </pivotArea>
    </format>
    <format dxfId="51">
      <pivotArea field="9" type="button" dataOnly="0" labelOnly="1" outline="0" axis="axisCol" fieldPosition="0"/>
    </format>
    <format dxfId="52">
      <pivotArea dataOnly="0" labelOnly="1" fieldPosition="0">
        <references count="1">
          <reference field="9" count="1">
            <x v="0"/>
          </reference>
        </references>
      </pivotArea>
    </format>
    <format dxfId="53">
      <pivotArea outline="0" collapsedLevelsAreSubtotals="1" fieldPosition="0">
        <references count="1">
          <reference field="9" count="1" selected="0">
            <x v="1"/>
          </reference>
        </references>
      </pivotArea>
    </format>
    <format dxfId="54">
      <pivotArea type="topRight" dataOnly="0" labelOnly="1" outline="0" fieldPosition="0"/>
    </format>
    <format dxfId="55">
      <pivotArea dataOnly="0" labelOnly="1" fieldPosition="0">
        <references count="1">
          <reference field="9" count="1">
            <x v="1"/>
          </reference>
        </references>
      </pivotArea>
    </format>
    <format dxfId="56">
      <pivotArea collapsedLevelsAreSubtotals="1" fieldPosition="0">
        <references count="2">
          <reference field="7" count="1">
            <x v="13"/>
          </reference>
          <reference field="58" count="1" selected="0">
            <x v="5"/>
          </reference>
        </references>
      </pivotArea>
    </format>
    <format dxfId="57">
      <pivotArea dataOnly="0" labelOnly="1" fieldPosition="0">
        <references count="2">
          <reference field="7" count="1">
            <x v="13"/>
          </reference>
          <reference field="58" count="1" selected="0">
            <x v="5"/>
          </reference>
        </references>
      </pivotArea>
    </format>
    <format dxfId="58">
      <pivotArea collapsedLevelsAreSubtotals="1" fieldPosition="0">
        <references count="2">
          <reference field="7" count="1">
            <x v="0"/>
          </reference>
          <reference field="58" count="1" selected="0">
            <x v="5"/>
          </reference>
        </references>
      </pivotArea>
    </format>
    <format dxfId="59">
      <pivotArea dataOnly="0" labelOnly="1" fieldPosition="0">
        <references count="2">
          <reference field="7" count="1">
            <x v="0"/>
          </reference>
          <reference field="58" count="1" selected="0">
            <x v="5"/>
          </reference>
        </references>
      </pivotArea>
    </format>
    <format dxfId="60">
      <pivotArea collapsedLevelsAreSubtotals="1" fieldPosition="0">
        <references count="2">
          <reference field="7" count="1">
            <x v="0"/>
          </reference>
          <reference field="58" count="1" selected="0">
            <x v="5"/>
          </reference>
        </references>
      </pivotArea>
    </format>
    <format dxfId="61">
      <pivotArea dataOnly="0" labelOnly="1" fieldPosition="0">
        <references count="2">
          <reference field="7" count="1">
            <x v="0"/>
          </reference>
          <reference field="58" count="1" selected="0">
            <x v="5"/>
          </reference>
        </references>
      </pivotArea>
    </format>
    <format dxfId="62">
      <pivotArea dataOnly="0" labelOnly="1" fieldPosition="0">
        <references count="1">
          <reference field="58" count="0"/>
        </references>
      </pivotArea>
    </format>
    <format dxfId="63">
      <pivotArea dataOnly="0" labelOnly="1" fieldPosition="0">
        <references count="1">
          <reference field="58" count="0"/>
        </references>
      </pivotArea>
    </format>
    <format dxfId="64">
      <pivotArea dataOnly="0" labelOnly="1" fieldPosition="0">
        <references count="1">
          <reference field="58" count="0"/>
        </references>
      </pivotArea>
    </format>
    <format dxfId="65">
      <pivotArea collapsedLevelsAreSubtotals="1" fieldPosition="0">
        <references count="2">
          <reference field="7" count="1">
            <x v="13"/>
          </reference>
          <reference field="58" count="1" selected="0">
            <x v="5"/>
          </reference>
        </references>
      </pivotArea>
    </format>
    <format dxfId="66">
      <pivotArea dataOnly="0" labelOnly="1" fieldPosition="0">
        <references count="2">
          <reference field="7" count="1">
            <x v="13"/>
          </reference>
          <reference field="58" count="1" selected="0">
            <x v="5"/>
          </reference>
        </references>
      </pivotArea>
    </format>
    <format dxfId="67">
      <pivotArea collapsedLevelsAreSubtotals="1" fieldPosition="0">
        <references count="2">
          <reference field="7" count="1">
            <x v="13"/>
          </reference>
          <reference field="58" count="1" selected="0">
            <x v="5"/>
          </reference>
        </references>
      </pivotArea>
    </format>
    <format dxfId="68">
      <pivotArea dataOnly="0" labelOnly="1" fieldPosition="0">
        <references count="2">
          <reference field="7" count="1">
            <x v="13"/>
          </reference>
          <reference field="58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58616A-0EE3-4625-B6DD-6826DE12E7DF}" name="TablaDinámica2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2:D16" firstHeaderRow="1" firstDataRow="2" firstDataCol="1" rowPageCount="1" colPageCount="1"/>
  <pivotFields count="59">
    <pivotField showAll="0"/>
    <pivotField showAll="0"/>
    <pivotField showAll="0"/>
    <pivotField dataField="1" showAll="0"/>
    <pivotField showAll="0"/>
    <pivotField showAll="0"/>
    <pivotField showAll="0"/>
    <pivotField axis="axisPage" multipleItemSelectionAllowed="1" showAll="0">
      <items count="19">
        <item x="1"/>
        <item x="9"/>
        <item m="1" x="17"/>
        <item x="10"/>
        <item x="8"/>
        <item x="6"/>
        <item x="14"/>
        <item x="13"/>
        <item x="11"/>
        <item x="4"/>
        <item x="7"/>
        <item x="15"/>
        <item x="2"/>
        <item x="12"/>
        <item x="0"/>
        <item x="3"/>
        <item h="1" x="16"/>
        <item h="1" x="5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6">
        <item m="1" x="3"/>
        <item m="1" x="4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58"/>
    <field x="57"/>
    <field x="11"/>
  </rowFields>
  <rowItems count="3">
    <i>
      <x v="4"/>
    </i>
    <i>
      <x v="6"/>
    </i>
    <i t="grand">
      <x/>
    </i>
  </rowItems>
  <colFields count="1">
    <field x="9"/>
  </colFields>
  <colItems count="3">
    <i>
      <x/>
    </i>
    <i>
      <x v="1"/>
    </i>
    <i t="grand">
      <x/>
    </i>
  </colItems>
  <pageFields count="1">
    <pageField fld="7" hier="-1"/>
  </pageFields>
  <dataFields count="1">
    <dataField name="Cuenta de SALDO_INSOLUTO_INI" fld="3" subtotal="count" baseField="58" baseItem="4"/>
  </dataFields>
  <formats count="6">
    <format dxfId="44">
      <pivotArea outline="0" collapsedLevelsAreSubtotals="1" fieldPosition="0">
        <references count="1">
          <reference field="9" count="1" selected="0">
            <x v="0"/>
          </reference>
        </references>
      </pivotArea>
    </format>
    <format dxfId="45">
      <pivotArea field="9" type="button" dataOnly="0" labelOnly="1" outline="0" axis="axisCol" fieldPosition="0"/>
    </format>
    <format dxfId="46">
      <pivotArea dataOnly="0" labelOnly="1" fieldPosition="0">
        <references count="1">
          <reference field="9" count="1">
            <x v="0"/>
          </reference>
        </references>
      </pivotArea>
    </format>
    <format dxfId="47">
      <pivotArea outline="0" collapsedLevelsAreSubtotals="1" fieldPosition="0">
        <references count="1">
          <reference field="9" count="1" selected="0">
            <x v="1"/>
          </reference>
        </references>
      </pivotArea>
    </format>
    <format dxfId="48">
      <pivotArea type="topRight" dataOnly="0" labelOnly="1" outline="0" fieldPosition="0"/>
    </format>
    <format dxfId="49">
      <pivotArea dataOnly="0" labelOnly="1" fieldPosition="0">
        <references count="1">
          <reference field="9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ev.bigbytes.cc/row/gestion?idCartera=519&amp;rut=8457326&amp;fono=998503973&amp;idMandante=6&amp;campanaDocumentoVi=16460253&amp;leadId=23514252&amp;recordingId=&amp;uniqueId=1784306791.1408933&amp;callid=V7171246290023514252&amp;campana=13414" TargetMode="External"/><Relationship Id="rId2" Type="http://schemas.openxmlformats.org/officeDocument/2006/relationships/hyperlink" Target="https://dev.bigbytes.cc/row/gestion?idCartera=519&amp;rut=19898341&amp;fono=965066157&amp;idMandante=6&amp;campanaDocumentoVi=16400735&amp;leadId=23425362&amp;recordingId=&amp;uniqueId=1784147273.1290416&amp;callid=V7151627530023425362&amp;campana=13376" TargetMode="External"/><Relationship Id="rId1" Type="http://schemas.openxmlformats.org/officeDocument/2006/relationships/hyperlink" Target="https://dev.bigbytes.cc/row/gestion?rut=25810620&amp;idCartera=519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dev.bigbytes.cc/row/gestion?rut=19142335&amp;idCartera=519&amp;fono=939647922&amp;leadId=21702945&amp;recordingId=&amp;uniqueId=&amp;callid=M6121608490021702945&amp;sess_id=8600098&amp;campana=12528" TargetMode="External"/><Relationship Id="rId3" Type="http://schemas.openxmlformats.org/officeDocument/2006/relationships/hyperlink" Target="https://dev.bigbytes.cc/row/gestion?rut=11643628&amp;campana=12528&amp;idMandante=6" TargetMode="External"/><Relationship Id="rId7" Type="http://schemas.openxmlformats.org/officeDocument/2006/relationships/hyperlink" Target="https://dev.bigbytes.cc/row/gestion?rut=24745850&amp;campana=12528&amp;idMandante=6" TargetMode="External"/><Relationship Id="rId2" Type="http://schemas.openxmlformats.org/officeDocument/2006/relationships/hyperlink" Target="https://dev.bigbytes.cc/row/gestion?rut=12264068&amp;idCartera=519&amp;fono=988290732&amp;leadId=21693978&amp;recordingId=&amp;uniqueId=&amp;callid=M6121403320021693978&amp;sess_id=8600098&amp;campana=12528" TargetMode="External"/><Relationship Id="rId1" Type="http://schemas.openxmlformats.org/officeDocument/2006/relationships/hyperlink" Target="https://dev.bigbytes.cc/row/gestion?rut=12264068&amp;idCartera=519&amp;fono=988290732&amp;leadId=21693978&amp;recordingId=&amp;uniqueId=&amp;callid=M6121403320021693978&amp;sess_id=8600098&amp;campana=12528" TargetMode="External"/><Relationship Id="rId6" Type="http://schemas.openxmlformats.org/officeDocument/2006/relationships/hyperlink" Target="https://dev.bigbytes.cc/row/gestion?rut=18119175&amp;idCartera=519&amp;fono=942739640&amp;leadId=21699666&amp;recordingId=&amp;uniqueId=&amp;callid=M6121545430021699666&amp;sess_id=8600098&amp;campana=12528" TargetMode="External"/><Relationship Id="rId5" Type="http://schemas.openxmlformats.org/officeDocument/2006/relationships/hyperlink" Target="https://dev.bigbytes.cc/row/gestion?rut=77176502&amp;campana=12528&amp;idMandante=6" TargetMode="External"/><Relationship Id="rId4" Type="http://schemas.openxmlformats.org/officeDocument/2006/relationships/hyperlink" Target="https://dev.bigbytes.cc/row/gestion?rut=76789764&amp;campana=12528&amp;idMandante=6" TargetMode="External"/><Relationship Id="rId9" Type="http://schemas.openxmlformats.org/officeDocument/2006/relationships/hyperlink" Target="https://dev.bigbytes.cc/row/gestion?rut=19142335&amp;idCartera=519&amp;fono=939647922&amp;leadId=21702945&amp;recordingId=&amp;uniqueId=&amp;callid=M6121608490021702945&amp;sess_id=8600098&amp;campana=125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BA83-97BE-44C0-8867-6B411BE990D2}">
  <dimension ref="A1:H72"/>
  <sheetViews>
    <sheetView showGridLines="0" topLeftCell="A25" workbookViewId="0">
      <selection activeCell="H27" sqref="H27"/>
    </sheetView>
  </sheetViews>
  <sheetFormatPr defaultColWidth="11.42578125" defaultRowHeight="15"/>
  <cols>
    <col min="1" max="1" width="30.85546875" bestFit="1" customWidth="1"/>
    <col min="2" max="2" width="22.85546875" style="158" bestFit="1" customWidth="1"/>
    <col min="3" max="3" width="8.85546875" style="157" bestFit="1" customWidth="1"/>
    <col min="4" max="4" width="12.5703125" style="43" bestFit="1" customWidth="1"/>
    <col min="5" max="5" width="27.28515625" style="43" hidden="1" customWidth="1"/>
    <col min="6" max="6" width="22.85546875" style="43" bestFit="1" customWidth="1"/>
    <col min="7" max="7" width="11" style="43" bestFit="1" customWidth="1"/>
    <col min="8" max="8" width="12.5703125" style="43" bestFit="1" customWidth="1"/>
  </cols>
  <sheetData>
    <row r="1" spans="1:5">
      <c r="A1" s="155" t="s">
        <v>0</v>
      </c>
      <c r="B1" t="s">
        <v>1</v>
      </c>
    </row>
    <row r="3" spans="1:5">
      <c r="A3" s="155" t="s">
        <v>2</v>
      </c>
      <c r="B3" s="159" t="s">
        <v>3</v>
      </c>
      <c r="C3" s="7"/>
      <c r="D3" s="7"/>
      <c r="E3"/>
    </row>
    <row r="4" spans="1:5">
      <c r="A4" s="155" t="s">
        <v>4</v>
      </c>
      <c r="B4" s="73" t="s">
        <v>5</v>
      </c>
      <c r="C4" s="7" t="s">
        <v>6</v>
      </c>
      <c r="D4" t="s">
        <v>7</v>
      </c>
      <c r="E4"/>
    </row>
    <row r="5" spans="1:5">
      <c r="A5" s="73" t="s">
        <v>8</v>
      </c>
      <c r="B5" s="160">
        <v>98266240</v>
      </c>
      <c r="C5" s="74">
        <v>2254105721</v>
      </c>
      <c r="D5" s="8">
        <v>2352371961</v>
      </c>
      <c r="E5"/>
    </row>
    <row r="6" spans="1:5">
      <c r="A6" s="73" t="s">
        <v>9</v>
      </c>
      <c r="B6" s="160">
        <v>1607206191</v>
      </c>
      <c r="C6" s="74"/>
      <c r="D6" s="8">
        <v>1607206191</v>
      </c>
      <c r="E6"/>
    </row>
    <row r="7" spans="1:5">
      <c r="A7" s="73" t="s">
        <v>7</v>
      </c>
      <c r="B7" s="160">
        <v>1705472431</v>
      </c>
      <c r="C7" s="74">
        <v>2254105721</v>
      </c>
      <c r="D7" s="8">
        <v>3959578152</v>
      </c>
      <c r="E7"/>
    </row>
    <row r="8" spans="1:5">
      <c r="B8"/>
      <c r="C8"/>
      <c r="D8"/>
      <c r="E8"/>
    </row>
    <row r="9" spans="1:5">
      <c r="B9"/>
      <c r="C9"/>
      <c r="D9"/>
      <c r="E9"/>
    </row>
    <row r="10" spans="1:5">
      <c r="A10" s="155" t="s">
        <v>0</v>
      </c>
      <c r="B10" t="s">
        <v>1</v>
      </c>
      <c r="E10"/>
    </row>
    <row r="11" spans="1:5">
      <c r="E11"/>
    </row>
    <row r="12" spans="1:5">
      <c r="A12" s="155" t="s">
        <v>10</v>
      </c>
      <c r="B12" s="159" t="s">
        <v>3</v>
      </c>
      <c r="C12" s="7"/>
      <c r="D12" s="7"/>
      <c r="E12"/>
    </row>
    <row r="13" spans="1:5">
      <c r="A13" s="155" t="s">
        <v>4</v>
      </c>
      <c r="B13" s="73" t="s">
        <v>5</v>
      </c>
      <c r="C13" s="7" t="s">
        <v>6</v>
      </c>
      <c r="D13" t="s">
        <v>7</v>
      </c>
      <c r="E13"/>
    </row>
    <row r="14" spans="1:5">
      <c r="A14" s="73" t="s">
        <v>8</v>
      </c>
      <c r="B14" s="73">
        <v>9</v>
      </c>
      <c r="C14" s="7">
        <v>302</v>
      </c>
      <c r="D14">
        <v>311</v>
      </c>
      <c r="E14"/>
    </row>
    <row r="15" spans="1:5">
      <c r="A15" s="73" t="s">
        <v>9</v>
      </c>
      <c r="B15" s="73">
        <v>171</v>
      </c>
      <c r="C15" s="7"/>
      <c r="D15">
        <v>171</v>
      </c>
      <c r="E15"/>
    </row>
    <row r="16" spans="1:5">
      <c r="A16" s="73" t="s">
        <v>7</v>
      </c>
      <c r="B16" s="73">
        <v>180</v>
      </c>
      <c r="C16" s="7">
        <v>302</v>
      </c>
      <c r="D16">
        <v>482</v>
      </c>
      <c r="E16"/>
    </row>
    <row r="17" spans="1:8">
      <c r="B17"/>
      <c r="C17"/>
      <c r="D17"/>
      <c r="E17"/>
    </row>
    <row r="18" spans="1:8">
      <c r="B18"/>
      <c r="E18"/>
    </row>
    <row r="19" spans="1:8">
      <c r="E19"/>
    </row>
    <row r="20" spans="1:8">
      <c r="A20" s="155" t="s">
        <v>10</v>
      </c>
      <c r="B20" s="159" t="s">
        <v>3</v>
      </c>
      <c r="C20" s="7"/>
      <c r="D20" s="7"/>
      <c r="E20" s="155" t="s">
        <v>2</v>
      </c>
      <c r="F20" s="159" t="s">
        <v>3</v>
      </c>
      <c r="G20" s="7"/>
      <c r="H20" s="7"/>
    </row>
    <row r="21" spans="1:8">
      <c r="A21" s="155" t="s">
        <v>4</v>
      </c>
      <c r="B21" s="73" t="s">
        <v>5</v>
      </c>
      <c r="C21" s="7" t="s">
        <v>6</v>
      </c>
      <c r="D21" t="s">
        <v>7</v>
      </c>
      <c r="E21" s="155" t="s">
        <v>4</v>
      </c>
      <c r="F21" s="73" t="s">
        <v>5</v>
      </c>
      <c r="G21" s="7" t="s">
        <v>6</v>
      </c>
      <c r="H21" t="s">
        <v>7</v>
      </c>
    </row>
    <row r="22" spans="1:8">
      <c r="A22" s="172" t="s">
        <v>8</v>
      </c>
      <c r="B22" s="73">
        <v>9</v>
      </c>
      <c r="C22" s="7">
        <v>302</v>
      </c>
      <c r="D22">
        <v>311</v>
      </c>
      <c r="E22" s="73" t="s">
        <v>8</v>
      </c>
      <c r="F22" s="73">
        <v>98266240</v>
      </c>
      <c r="G22" s="7">
        <v>2254105721</v>
      </c>
      <c r="H22">
        <v>2352371961</v>
      </c>
    </row>
    <row r="23" spans="1:8">
      <c r="A23" s="156" t="s">
        <v>11</v>
      </c>
      <c r="B23" s="73">
        <v>9</v>
      </c>
      <c r="C23" s="7"/>
      <c r="D23">
        <v>9</v>
      </c>
      <c r="E23" s="156" t="s">
        <v>11</v>
      </c>
      <c r="F23" s="73">
        <v>98266240</v>
      </c>
      <c r="G23" s="7"/>
      <c r="H23">
        <v>98266240</v>
      </c>
    </row>
    <row r="24" spans="1:8">
      <c r="A24" s="156" t="s">
        <v>12</v>
      </c>
      <c r="B24" s="73"/>
      <c r="C24" s="7">
        <v>24</v>
      </c>
      <c r="D24">
        <v>24</v>
      </c>
      <c r="E24" s="156" t="s">
        <v>12</v>
      </c>
      <c r="F24" s="73"/>
      <c r="G24" s="7">
        <v>211511353</v>
      </c>
      <c r="H24">
        <v>211511353</v>
      </c>
    </row>
    <row r="25" spans="1:8">
      <c r="A25" s="156" t="s">
        <v>13</v>
      </c>
      <c r="B25" s="73"/>
      <c r="C25" s="7">
        <v>39</v>
      </c>
      <c r="D25">
        <v>39</v>
      </c>
      <c r="E25" s="156" t="s">
        <v>13</v>
      </c>
      <c r="F25" s="73"/>
      <c r="G25" s="7">
        <v>270077139</v>
      </c>
      <c r="H25">
        <v>270077139</v>
      </c>
    </row>
    <row r="26" spans="1:8">
      <c r="A26" s="156" t="s">
        <v>14</v>
      </c>
      <c r="B26" s="73"/>
      <c r="C26" s="7">
        <v>31</v>
      </c>
      <c r="D26">
        <v>31</v>
      </c>
      <c r="E26" s="156" t="s">
        <v>14</v>
      </c>
      <c r="F26" s="73"/>
      <c r="G26" s="7">
        <v>235826485</v>
      </c>
      <c r="H26">
        <v>235826485</v>
      </c>
    </row>
    <row r="27" spans="1:8">
      <c r="A27" s="156" t="s">
        <v>15</v>
      </c>
      <c r="B27" s="73"/>
      <c r="C27" s="7">
        <v>21</v>
      </c>
      <c r="D27">
        <v>21</v>
      </c>
      <c r="E27" s="156" t="s">
        <v>15</v>
      </c>
      <c r="F27" s="73"/>
      <c r="G27" s="7">
        <v>264288632</v>
      </c>
      <c r="H27">
        <v>264288632</v>
      </c>
    </row>
    <row r="28" spans="1:8">
      <c r="A28" s="156" t="s">
        <v>16</v>
      </c>
      <c r="B28" s="73"/>
      <c r="C28" s="7">
        <v>30</v>
      </c>
      <c r="D28">
        <v>30</v>
      </c>
      <c r="E28" s="156" t="s">
        <v>16</v>
      </c>
      <c r="F28" s="73"/>
      <c r="G28" s="7">
        <v>236386021</v>
      </c>
      <c r="H28">
        <v>236386021</v>
      </c>
    </row>
    <row r="29" spans="1:8">
      <c r="A29" s="156" t="s">
        <v>17</v>
      </c>
      <c r="B29" s="73"/>
      <c r="C29" s="7">
        <v>25</v>
      </c>
      <c r="D29">
        <v>25</v>
      </c>
      <c r="E29" s="156" t="s">
        <v>17</v>
      </c>
      <c r="F29" s="73"/>
      <c r="G29" s="7">
        <v>170650233</v>
      </c>
      <c r="H29">
        <v>170650233</v>
      </c>
    </row>
    <row r="30" spans="1:8">
      <c r="A30" s="156" t="s">
        <v>18</v>
      </c>
      <c r="B30" s="73"/>
      <c r="C30" s="7">
        <v>21</v>
      </c>
      <c r="D30">
        <v>21</v>
      </c>
      <c r="E30" s="156" t="s">
        <v>18</v>
      </c>
      <c r="F30" s="73"/>
      <c r="G30" s="7">
        <v>162708140</v>
      </c>
      <c r="H30">
        <v>162708140</v>
      </c>
    </row>
    <row r="31" spans="1:8">
      <c r="A31" s="156" t="s">
        <v>19</v>
      </c>
      <c r="B31" s="73"/>
      <c r="C31" s="7">
        <v>41</v>
      </c>
      <c r="D31">
        <v>41</v>
      </c>
      <c r="E31" s="156" t="s">
        <v>19</v>
      </c>
      <c r="F31" s="73"/>
      <c r="G31" s="7">
        <v>261949003</v>
      </c>
      <c r="H31">
        <v>261949003</v>
      </c>
    </row>
    <row r="32" spans="1:8">
      <c r="A32" s="156" t="s">
        <v>20</v>
      </c>
      <c r="B32" s="73"/>
      <c r="C32" s="7">
        <v>13</v>
      </c>
      <c r="D32">
        <v>13</v>
      </c>
      <c r="E32" s="156" t="s">
        <v>20</v>
      </c>
      <c r="F32" s="73"/>
      <c r="G32" s="7">
        <v>92105312</v>
      </c>
      <c r="H32">
        <v>92105312</v>
      </c>
    </row>
    <row r="33" spans="1:8">
      <c r="A33" s="156" t="s">
        <v>21</v>
      </c>
      <c r="B33" s="73"/>
      <c r="C33" s="7">
        <v>4</v>
      </c>
      <c r="D33">
        <v>4</v>
      </c>
      <c r="E33" s="156" t="s">
        <v>21</v>
      </c>
      <c r="F33" s="73"/>
      <c r="G33" s="7">
        <v>30915537</v>
      </c>
      <c r="H33">
        <v>30915537</v>
      </c>
    </row>
    <row r="34" spans="1:8">
      <c r="A34" s="156" t="s">
        <v>22</v>
      </c>
      <c r="B34" s="73"/>
      <c r="C34" s="7">
        <v>37</v>
      </c>
      <c r="D34">
        <v>37</v>
      </c>
      <c r="E34" s="156" t="s">
        <v>22</v>
      </c>
      <c r="F34" s="73"/>
      <c r="G34" s="7">
        <v>196467819</v>
      </c>
      <c r="H34">
        <v>196467819</v>
      </c>
    </row>
    <row r="35" spans="1:8">
      <c r="A35" s="156" t="s">
        <v>23</v>
      </c>
      <c r="B35" s="73"/>
      <c r="C35" s="7">
        <v>16</v>
      </c>
      <c r="D35">
        <v>16</v>
      </c>
      <c r="E35" s="156" t="s">
        <v>23</v>
      </c>
      <c r="F35" s="73"/>
      <c r="G35" s="7">
        <v>121220047</v>
      </c>
      <c r="H35">
        <v>121220047</v>
      </c>
    </row>
    <row r="36" spans="1:8">
      <c r="A36" s="172" t="s">
        <v>9</v>
      </c>
      <c r="B36" s="73">
        <v>171</v>
      </c>
      <c r="C36" s="7"/>
      <c r="D36">
        <v>171</v>
      </c>
      <c r="E36" s="73" t="s">
        <v>9</v>
      </c>
      <c r="F36" s="73">
        <v>1607206191</v>
      </c>
      <c r="G36" s="7"/>
      <c r="H36">
        <v>1607206191</v>
      </c>
    </row>
    <row r="37" spans="1:8">
      <c r="A37" s="73" t="s">
        <v>7</v>
      </c>
      <c r="B37" s="73">
        <v>180</v>
      </c>
      <c r="C37" s="7">
        <v>302</v>
      </c>
      <c r="D37">
        <v>482</v>
      </c>
      <c r="E37" s="73" t="s">
        <v>7</v>
      </c>
      <c r="F37" s="73">
        <v>1705472431</v>
      </c>
      <c r="G37" s="7">
        <v>2254105721</v>
      </c>
      <c r="H37">
        <v>3959578152</v>
      </c>
    </row>
    <row r="38" spans="1:8">
      <c r="B38"/>
      <c r="C38"/>
      <c r="D38"/>
      <c r="E38"/>
      <c r="F38"/>
      <c r="G38"/>
      <c r="H38"/>
    </row>
    <row r="39" spans="1:8">
      <c r="B39"/>
      <c r="C39"/>
      <c r="D39"/>
      <c r="E39"/>
      <c r="F39"/>
      <c r="G39"/>
      <c r="H39"/>
    </row>
    <row r="40" spans="1:8">
      <c r="B40"/>
      <c r="C40"/>
      <c r="D40"/>
      <c r="E40"/>
      <c r="F40"/>
      <c r="G40"/>
      <c r="H40"/>
    </row>
    <row r="41" spans="1:8">
      <c r="B41"/>
      <c r="C41"/>
      <c r="D41"/>
      <c r="E41"/>
      <c r="F41"/>
      <c r="G41"/>
      <c r="H41"/>
    </row>
    <row r="42" spans="1:8">
      <c r="B42"/>
      <c r="C42"/>
      <c r="D42"/>
    </row>
    <row r="43" spans="1:8">
      <c r="B43"/>
      <c r="C43"/>
      <c r="D43"/>
    </row>
    <row r="44" spans="1:8">
      <c r="B44"/>
      <c r="C44"/>
      <c r="D44"/>
    </row>
    <row r="45" spans="1:8">
      <c r="B45"/>
      <c r="C45"/>
      <c r="D45"/>
    </row>
    <row r="46" spans="1:8">
      <c r="B46"/>
      <c r="C46"/>
      <c r="D46"/>
    </row>
    <row r="47" spans="1:8">
      <c r="B47"/>
      <c r="C47"/>
      <c r="D47"/>
    </row>
    <row r="48" spans="1:8">
      <c r="B48"/>
      <c r="C48"/>
      <c r="D48"/>
    </row>
    <row r="49" spans="2:4">
      <c r="B49"/>
      <c r="C49"/>
      <c r="D49"/>
    </row>
    <row r="50" spans="2:4">
      <c r="B50"/>
      <c r="C50"/>
      <c r="D50"/>
    </row>
    <row r="51" spans="2:4">
      <c r="B51"/>
      <c r="C51"/>
      <c r="D51"/>
    </row>
    <row r="52" spans="2:4">
      <c r="B52"/>
      <c r="C52"/>
      <c r="D52"/>
    </row>
    <row r="53" spans="2:4">
      <c r="B53"/>
      <c r="C53"/>
      <c r="D53"/>
    </row>
    <row r="54" spans="2:4">
      <c r="B54"/>
      <c r="C54"/>
      <c r="D54"/>
    </row>
    <row r="55" spans="2:4">
      <c r="B55"/>
      <c r="C55"/>
      <c r="D55"/>
    </row>
    <row r="56" spans="2:4">
      <c r="B56"/>
      <c r="C56"/>
      <c r="D56"/>
    </row>
    <row r="57" spans="2:4">
      <c r="B57"/>
      <c r="C57"/>
      <c r="D57"/>
    </row>
    <row r="58" spans="2:4">
      <c r="B58"/>
      <c r="C58"/>
      <c r="D58"/>
    </row>
    <row r="59" spans="2:4">
      <c r="B59"/>
      <c r="C59"/>
      <c r="D59"/>
    </row>
    <row r="60" spans="2:4">
      <c r="B60"/>
      <c r="C60"/>
      <c r="D60"/>
    </row>
    <row r="61" spans="2:4">
      <c r="B61"/>
      <c r="C61"/>
      <c r="D61"/>
    </row>
    <row r="62" spans="2:4">
      <c r="B62"/>
      <c r="C62"/>
      <c r="D62"/>
    </row>
    <row r="63" spans="2:4">
      <c r="B63"/>
      <c r="C63"/>
      <c r="D63"/>
    </row>
    <row r="64" spans="2:4">
      <c r="B64"/>
      <c r="C64"/>
      <c r="D64"/>
    </row>
    <row r="65" spans="2:4">
      <c r="B65"/>
      <c r="C65"/>
      <c r="D65"/>
    </row>
    <row r="66" spans="2:4">
      <c r="B66"/>
      <c r="C66"/>
      <c r="D66"/>
    </row>
    <row r="67" spans="2:4">
      <c r="B67"/>
      <c r="C67"/>
      <c r="D67"/>
    </row>
    <row r="68" spans="2:4">
      <c r="B68"/>
      <c r="C68"/>
      <c r="D68"/>
    </row>
    <row r="69" spans="2:4">
      <c r="B69"/>
      <c r="C69"/>
      <c r="D69"/>
    </row>
    <row r="70" spans="2:4">
      <c r="B70"/>
      <c r="C70"/>
      <c r="D70"/>
    </row>
    <row r="71" spans="2:4">
      <c r="B71"/>
      <c r="C71"/>
      <c r="D71"/>
    </row>
    <row r="72" spans="2:4">
      <c r="B72"/>
      <c r="C72"/>
      <c r="D7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555"/>
  <sheetViews>
    <sheetView topLeftCell="A205" workbookViewId="0">
      <selection activeCell="A215" sqref="A215"/>
    </sheetView>
  </sheetViews>
  <sheetFormatPr defaultColWidth="11.42578125" defaultRowHeight="15"/>
  <cols>
    <col min="1" max="4" width="11.5703125" bestFit="1" customWidth="1"/>
    <col min="8" max="9" width="11.5703125" bestFit="1" customWidth="1"/>
    <col min="12" max="12" width="11.5703125" bestFit="1" customWidth="1"/>
    <col min="14" max="15" width="11.5703125" bestFit="1" customWidth="1"/>
    <col min="16" max="16" width="24.28515625" customWidth="1"/>
    <col min="17" max="22" width="11.5703125" bestFit="1" customWidth="1"/>
    <col min="25" max="26" width="11.5703125" bestFit="1" customWidth="1"/>
    <col min="28" max="30" width="11.5703125" bestFit="1" customWidth="1"/>
    <col min="35" max="36" width="11.5703125" bestFit="1" customWidth="1"/>
    <col min="37" max="37" width="12" bestFit="1" customWidth="1"/>
    <col min="41" max="41" width="11.5703125" bestFit="1" customWidth="1"/>
    <col min="51" max="51" width="11.5703125" bestFit="1" customWidth="1"/>
    <col min="56" max="57" width="11.5703125" bestFit="1" customWidth="1"/>
  </cols>
  <sheetData>
    <row r="1" spans="1:58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79</v>
      </c>
    </row>
    <row r="2" spans="1:58">
      <c r="A2">
        <v>134218</v>
      </c>
      <c r="B2">
        <v>3638</v>
      </c>
      <c r="D2">
        <v>9957095</v>
      </c>
      <c r="F2" t="s">
        <v>80</v>
      </c>
      <c r="G2" t="s">
        <v>81</v>
      </c>
      <c r="H2" t="s">
        <v>82</v>
      </c>
      <c r="I2" t="s">
        <v>82</v>
      </c>
      <c r="J2" t="s">
        <v>5</v>
      </c>
      <c r="K2" t="s">
        <v>83</v>
      </c>
      <c r="L2" s="3">
        <v>46180</v>
      </c>
      <c r="N2">
        <v>12269228</v>
      </c>
      <c r="O2">
        <v>0</v>
      </c>
      <c r="P2" t="s">
        <v>84</v>
      </c>
      <c r="R2">
        <v>331.459</v>
      </c>
      <c r="S2" t="s">
        <v>85</v>
      </c>
      <c r="W2" t="s">
        <v>86</v>
      </c>
      <c r="X2" t="s">
        <v>87</v>
      </c>
      <c r="Y2">
        <v>0</v>
      </c>
      <c r="Z2">
        <v>0</v>
      </c>
      <c r="AC2">
        <v>5018962</v>
      </c>
      <c r="AH2" t="s">
        <v>5</v>
      </c>
      <c r="AI2" t="s">
        <v>88</v>
      </c>
      <c r="AL2" t="s">
        <v>89</v>
      </c>
      <c r="AO2" t="s">
        <v>90</v>
      </c>
      <c r="AP2" t="s">
        <v>91</v>
      </c>
      <c r="AQ2" t="s">
        <v>92</v>
      </c>
      <c r="AR2" t="s">
        <v>93</v>
      </c>
      <c r="AS2" t="s">
        <v>94</v>
      </c>
      <c r="AT2" t="s">
        <v>95</v>
      </c>
      <c r="AU2" t="s">
        <v>96</v>
      </c>
      <c r="AV2" t="s">
        <v>97</v>
      </c>
      <c r="AZ2" t="s">
        <v>98</v>
      </c>
      <c r="BA2" t="s">
        <v>99</v>
      </c>
      <c r="BB2" t="s">
        <v>100</v>
      </c>
      <c r="BC2" t="s">
        <v>101</v>
      </c>
      <c r="BD2" t="s">
        <v>102</v>
      </c>
      <c r="BE2">
        <v>2012</v>
      </c>
      <c r="BF2">
        <v>2012</v>
      </c>
    </row>
    <row r="3" spans="1:58">
      <c r="A3">
        <v>585590</v>
      </c>
      <c r="B3">
        <v>1081</v>
      </c>
      <c r="D3">
        <v>5293774</v>
      </c>
      <c r="F3" t="s">
        <v>80</v>
      </c>
      <c r="G3" t="s">
        <v>81</v>
      </c>
      <c r="H3" t="s">
        <v>103</v>
      </c>
      <c r="I3" t="s">
        <v>103</v>
      </c>
      <c r="J3" t="s">
        <v>5</v>
      </c>
      <c r="K3" t="s">
        <v>83</v>
      </c>
      <c r="L3" s="3">
        <v>46180</v>
      </c>
      <c r="N3">
        <v>14191047</v>
      </c>
      <c r="O3">
        <v>7</v>
      </c>
      <c r="P3" t="s">
        <v>104</v>
      </c>
      <c r="R3">
        <v>232.33199999999999</v>
      </c>
      <c r="S3" s="3">
        <v>44934</v>
      </c>
      <c r="W3" t="s">
        <v>86</v>
      </c>
      <c r="Y3">
        <v>0</v>
      </c>
      <c r="Z3">
        <v>0</v>
      </c>
      <c r="AC3">
        <v>2393774</v>
      </c>
      <c r="AH3" t="s">
        <v>5</v>
      </c>
      <c r="AI3">
        <v>988631685</v>
      </c>
      <c r="AL3" t="s">
        <v>105</v>
      </c>
      <c r="AO3" t="s">
        <v>106</v>
      </c>
      <c r="AP3" t="s">
        <v>107</v>
      </c>
      <c r="AQ3" t="s">
        <v>92</v>
      </c>
      <c r="AR3" t="s">
        <v>108</v>
      </c>
      <c r="AS3" t="s">
        <v>109</v>
      </c>
      <c r="AT3" t="s">
        <v>110</v>
      </c>
      <c r="AU3" t="s">
        <v>96</v>
      </c>
      <c r="AZ3" t="s">
        <v>111</v>
      </c>
      <c r="BA3" t="s">
        <v>99</v>
      </c>
      <c r="BB3" t="s">
        <v>112</v>
      </c>
      <c r="BC3" t="s">
        <v>113</v>
      </c>
      <c r="BD3" t="s">
        <v>114</v>
      </c>
      <c r="BE3">
        <v>2016</v>
      </c>
      <c r="BF3">
        <v>2016</v>
      </c>
    </row>
    <row r="4" spans="1:58">
      <c r="A4">
        <v>1344919</v>
      </c>
      <c r="B4">
        <v>411</v>
      </c>
      <c r="D4">
        <v>6716000</v>
      </c>
      <c r="F4" t="s">
        <v>80</v>
      </c>
      <c r="G4" t="s">
        <v>81</v>
      </c>
      <c r="H4" t="s">
        <v>115</v>
      </c>
      <c r="I4" t="s">
        <v>115</v>
      </c>
      <c r="J4" t="s">
        <v>5</v>
      </c>
      <c r="K4" t="s">
        <v>83</v>
      </c>
      <c r="L4" s="3">
        <v>46180</v>
      </c>
      <c r="N4">
        <v>16746764</v>
      </c>
      <c r="O4">
        <v>4</v>
      </c>
      <c r="P4" t="s">
        <v>116</v>
      </c>
      <c r="R4">
        <v>292.84699999999998</v>
      </c>
      <c r="S4" s="3">
        <v>45663</v>
      </c>
      <c r="W4" t="s">
        <v>86</v>
      </c>
      <c r="X4" t="s">
        <v>87</v>
      </c>
      <c r="Y4">
        <v>0</v>
      </c>
      <c r="Z4">
        <v>0</v>
      </c>
      <c r="AC4">
        <v>6716000</v>
      </c>
      <c r="AH4" t="s">
        <v>5</v>
      </c>
      <c r="AI4">
        <v>999134883</v>
      </c>
      <c r="AL4" t="s">
        <v>117</v>
      </c>
      <c r="AO4" t="s">
        <v>118</v>
      </c>
      <c r="AP4" t="s">
        <v>119</v>
      </c>
      <c r="AQ4" t="s">
        <v>92</v>
      </c>
      <c r="AR4" t="s">
        <v>120</v>
      </c>
      <c r="AS4" t="s">
        <v>121</v>
      </c>
      <c r="AT4" t="s">
        <v>122</v>
      </c>
      <c r="AU4" t="s">
        <v>96</v>
      </c>
      <c r="AZ4" t="s">
        <v>111</v>
      </c>
      <c r="BA4" t="s">
        <v>99</v>
      </c>
      <c r="BB4" t="s">
        <v>123</v>
      </c>
      <c r="BC4" t="s">
        <v>124</v>
      </c>
      <c r="BD4" t="s">
        <v>125</v>
      </c>
      <c r="BE4">
        <v>2021</v>
      </c>
      <c r="BF4">
        <v>2021</v>
      </c>
    </row>
    <row r="5" spans="1:58">
      <c r="A5">
        <v>1371362</v>
      </c>
      <c r="B5">
        <v>381</v>
      </c>
      <c r="D5">
        <v>8434800</v>
      </c>
      <c r="F5" t="s">
        <v>80</v>
      </c>
      <c r="G5" t="s">
        <v>81</v>
      </c>
      <c r="H5" t="s">
        <v>115</v>
      </c>
      <c r="I5" t="s">
        <v>115</v>
      </c>
      <c r="J5" t="s">
        <v>5</v>
      </c>
      <c r="K5" t="s">
        <v>83</v>
      </c>
      <c r="L5" s="3">
        <v>46180</v>
      </c>
      <c r="N5">
        <v>17777736</v>
      </c>
      <c r="O5">
        <v>6</v>
      </c>
      <c r="P5" t="s">
        <v>126</v>
      </c>
      <c r="R5">
        <v>486.85899999999998</v>
      </c>
      <c r="S5" s="3">
        <v>45664</v>
      </c>
      <c r="W5" t="s">
        <v>86</v>
      </c>
      <c r="X5" t="s">
        <v>87</v>
      </c>
      <c r="Y5">
        <v>0</v>
      </c>
      <c r="Z5">
        <v>0</v>
      </c>
      <c r="AC5">
        <v>8434800</v>
      </c>
      <c r="AH5" t="s">
        <v>5</v>
      </c>
      <c r="AI5">
        <v>228544308</v>
      </c>
      <c r="AL5" t="s">
        <v>127</v>
      </c>
      <c r="AO5" t="s">
        <v>128</v>
      </c>
      <c r="AP5" t="s">
        <v>129</v>
      </c>
      <c r="AQ5" t="s">
        <v>92</v>
      </c>
      <c r="AR5" t="s">
        <v>130</v>
      </c>
      <c r="AS5" t="s">
        <v>131</v>
      </c>
      <c r="AT5" t="s">
        <v>74</v>
      </c>
      <c r="AU5" t="s">
        <v>96</v>
      </c>
      <c r="AZ5" t="s">
        <v>111</v>
      </c>
      <c r="BA5" t="s">
        <v>99</v>
      </c>
      <c r="BB5" t="s">
        <v>132</v>
      </c>
      <c r="BC5" t="s">
        <v>133</v>
      </c>
      <c r="BD5" t="s">
        <v>134</v>
      </c>
      <c r="BE5">
        <v>2021</v>
      </c>
      <c r="BF5">
        <v>2021</v>
      </c>
    </row>
    <row r="6" spans="1:58">
      <c r="A6">
        <v>1421319</v>
      </c>
      <c r="B6">
        <v>411</v>
      </c>
      <c r="D6">
        <v>4230316</v>
      </c>
      <c r="F6" t="s">
        <v>80</v>
      </c>
      <c r="G6" t="s">
        <v>81</v>
      </c>
      <c r="H6" t="s">
        <v>115</v>
      </c>
      <c r="I6" t="s">
        <v>115</v>
      </c>
      <c r="J6" t="s">
        <v>5</v>
      </c>
      <c r="K6" t="s">
        <v>83</v>
      </c>
      <c r="L6" s="3">
        <v>46180</v>
      </c>
      <c r="N6">
        <v>9386766</v>
      </c>
      <c r="O6">
        <v>1</v>
      </c>
      <c r="P6" t="s">
        <v>135</v>
      </c>
      <c r="R6">
        <v>283.17</v>
      </c>
      <c r="S6" s="3">
        <v>45663</v>
      </c>
      <c r="W6" t="s">
        <v>86</v>
      </c>
      <c r="X6" t="s">
        <v>87</v>
      </c>
      <c r="Y6">
        <v>0</v>
      </c>
      <c r="Z6">
        <v>0</v>
      </c>
      <c r="AC6">
        <v>4230316</v>
      </c>
      <c r="AH6" t="s">
        <v>5</v>
      </c>
      <c r="AI6">
        <v>998656951</v>
      </c>
      <c r="AL6" t="s">
        <v>136</v>
      </c>
      <c r="AO6" t="s">
        <v>137</v>
      </c>
      <c r="AP6" t="s">
        <v>138</v>
      </c>
      <c r="AQ6" t="s">
        <v>92</v>
      </c>
      <c r="AR6" t="s">
        <v>139</v>
      </c>
      <c r="AS6" t="s">
        <v>140</v>
      </c>
      <c r="AT6" t="s">
        <v>141</v>
      </c>
      <c r="AU6" t="s">
        <v>96</v>
      </c>
      <c r="AZ6" t="s">
        <v>98</v>
      </c>
      <c r="BA6" t="s">
        <v>99</v>
      </c>
      <c r="BB6" t="s">
        <v>142</v>
      </c>
      <c r="BC6" t="s">
        <v>143</v>
      </c>
      <c r="BD6" t="s">
        <v>144</v>
      </c>
      <c r="BE6">
        <v>2021</v>
      </c>
      <c r="BF6">
        <v>2021</v>
      </c>
    </row>
    <row r="7" spans="1:58">
      <c r="A7">
        <v>1444864</v>
      </c>
      <c r="B7">
        <v>411</v>
      </c>
      <c r="D7">
        <v>5112777</v>
      </c>
      <c r="F7" t="s">
        <v>80</v>
      </c>
      <c r="G7" t="s">
        <v>81</v>
      </c>
      <c r="H7" t="s">
        <v>115</v>
      </c>
      <c r="I7" t="s">
        <v>115</v>
      </c>
      <c r="J7" t="s">
        <v>5</v>
      </c>
      <c r="K7" t="s">
        <v>83</v>
      </c>
      <c r="L7" s="3">
        <v>46180</v>
      </c>
      <c r="N7">
        <v>18135936</v>
      </c>
      <c r="O7">
        <v>6</v>
      </c>
      <c r="P7" t="s">
        <v>145</v>
      </c>
      <c r="R7">
        <v>207.85900000000001</v>
      </c>
      <c r="S7" s="3">
        <v>45663</v>
      </c>
      <c r="W7" t="s">
        <v>86</v>
      </c>
      <c r="X7" t="s">
        <v>87</v>
      </c>
      <c r="Y7">
        <v>0</v>
      </c>
      <c r="Z7">
        <v>0</v>
      </c>
      <c r="AC7">
        <v>5112777</v>
      </c>
      <c r="AH7" t="s">
        <v>5</v>
      </c>
      <c r="AI7">
        <v>956375289</v>
      </c>
      <c r="AL7" t="s">
        <v>146</v>
      </c>
      <c r="AO7" t="s">
        <v>147</v>
      </c>
      <c r="AP7" t="s">
        <v>148</v>
      </c>
      <c r="AQ7" t="s">
        <v>149</v>
      </c>
      <c r="AR7" t="s">
        <v>150</v>
      </c>
      <c r="AS7" t="s">
        <v>151</v>
      </c>
      <c r="AT7" t="s">
        <v>122</v>
      </c>
      <c r="AU7" t="s">
        <v>96</v>
      </c>
      <c r="AZ7" t="s">
        <v>111</v>
      </c>
      <c r="BA7" t="s">
        <v>99</v>
      </c>
      <c r="BB7" t="s">
        <v>152</v>
      </c>
      <c r="BC7" t="s">
        <v>153</v>
      </c>
      <c r="BD7" t="s">
        <v>154</v>
      </c>
      <c r="BE7">
        <v>2022</v>
      </c>
      <c r="BF7">
        <v>2022</v>
      </c>
    </row>
    <row r="8" spans="1:58">
      <c r="A8">
        <v>1446743</v>
      </c>
      <c r="B8">
        <v>319</v>
      </c>
      <c r="D8">
        <v>3879999</v>
      </c>
      <c r="F8" t="s">
        <v>80</v>
      </c>
      <c r="G8" t="s">
        <v>81</v>
      </c>
      <c r="H8" t="s">
        <v>11</v>
      </c>
      <c r="I8" t="s">
        <v>11</v>
      </c>
      <c r="J8" t="s">
        <v>5</v>
      </c>
      <c r="K8" t="s">
        <v>83</v>
      </c>
      <c r="L8" s="3">
        <v>46180</v>
      </c>
      <c r="N8">
        <v>14463964</v>
      </c>
      <c r="O8">
        <v>2</v>
      </c>
      <c r="P8" t="s">
        <v>155</v>
      </c>
      <c r="R8">
        <v>260.39600000000002</v>
      </c>
      <c r="S8" s="3">
        <v>45666</v>
      </c>
      <c r="W8" t="s">
        <v>156</v>
      </c>
      <c r="X8" t="s">
        <v>87</v>
      </c>
      <c r="Y8">
        <v>0</v>
      </c>
      <c r="Z8">
        <v>0</v>
      </c>
      <c r="AC8">
        <v>3879999</v>
      </c>
      <c r="AH8" t="s">
        <v>5</v>
      </c>
      <c r="AI8">
        <v>964062894</v>
      </c>
      <c r="AL8" t="s">
        <v>157</v>
      </c>
      <c r="AO8" t="s">
        <v>158</v>
      </c>
      <c r="AP8" t="s">
        <v>159</v>
      </c>
      <c r="AQ8" t="s">
        <v>160</v>
      </c>
      <c r="AR8" t="s">
        <v>161</v>
      </c>
      <c r="AS8" t="s">
        <v>162</v>
      </c>
      <c r="AT8" t="s">
        <v>141</v>
      </c>
      <c r="AU8" t="s">
        <v>96</v>
      </c>
      <c r="AZ8" t="s">
        <v>98</v>
      </c>
      <c r="BA8" t="s">
        <v>99</v>
      </c>
      <c r="BB8" t="s">
        <v>163</v>
      </c>
      <c r="BC8" t="s">
        <v>164</v>
      </c>
      <c r="BD8" t="s">
        <v>165</v>
      </c>
      <c r="BE8">
        <v>2021</v>
      </c>
      <c r="BF8">
        <v>2021</v>
      </c>
    </row>
    <row r="9" spans="1:58">
      <c r="A9">
        <v>1447663</v>
      </c>
      <c r="B9">
        <v>442</v>
      </c>
      <c r="D9">
        <v>8889221</v>
      </c>
      <c r="F9" t="s">
        <v>80</v>
      </c>
      <c r="G9" t="s">
        <v>81</v>
      </c>
      <c r="H9" t="s">
        <v>115</v>
      </c>
      <c r="I9" t="s">
        <v>115</v>
      </c>
      <c r="J9" t="s">
        <v>5</v>
      </c>
      <c r="K9" t="s">
        <v>83</v>
      </c>
      <c r="L9" s="3">
        <v>46180</v>
      </c>
      <c r="N9">
        <v>12756661</v>
      </c>
      <c r="O9">
        <v>5</v>
      </c>
      <c r="P9" t="s">
        <v>166</v>
      </c>
      <c r="R9">
        <v>337.74</v>
      </c>
      <c r="S9" s="3">
        <v>45662</v>
      </c>
      <c r="W9" t="s">
        <v>86</v>
      </c>
      <c r="X9" t="s">
        <v>87</v>
      </c>
      <c r="Y9">
        <v>0</v>
      </c>
      <c r="Z9">
        <v>0</v>
      </c>
      <c r="AC9">
        <v>8889221</v>
      </c>
      <c r="AH9" t="s">
        <v>5</v>
      </c>
      <c r="AI9">
        <v>995471634</v>
      </c>
      <c r="AL9" t="s">
        <v>167</v>
      </c>
      <c r="AO9" t="s">
        <v>168</v>
      </c>
      <c r="AP9" t="s">
        <v>169</v>
      </c>
      <c r="AQ9" t="s">
        <v>160</v>
      </c>
      <c r="AR9" t="s">
        <v>170</v>
      </c>
      <c r="AS9" t="s">
        <v>171</v>
      </c>
      <c r="AT9" t="s">
        <v>122</v>
      </c>
      <c r="AU9" t="s">
        <v>96</v>
      </c>
      <c r="AZ9" t="s">
        <v>111</v>
      </c>
      <c r="BA9" t="s">
        <v>99</v>
      </c>
      <c r="BB9" t="s">
        <v>172</v>
      </c>
      <c r="BC9" t="s">
        <v>124</v>
      </c>
      <c r="BD9" t="s">
        <v>173</v>
      </c>
      <c r="BE9">
        <v>2021</v>
      </c>
      <c r="BF9">
        <v>2021</v>
      </c>
    </row>
    <row r="10" spans="1:58">
      <c r="A10">
        <v>1479919</v>
      </c>
      <c r="B10">
        <v>258</v>
      </c>
      <c r="D10">
        <v>4032000</v>
      </c>
      <c r="F10" t="s">
        <v>80</v>
      </c>
      <c r="G10" t="s">
        <v>81</v>
      </c>
      <c r="H10" t="s">
        <v>11</v>
      </c>
      <c r="I10" t="s">
        <v>11</v>
      </c>
      <c r="J10" t="s">
        <v>5</v>
      </c>
      <c r="K10" t="s">
        <v>83</v>
      </c>
      <c r="L10" s="3">
        <v>46180</v>
      </c>
      <c r="N10">
        <v>8878648</v>
      </c>
      <c r="O10">
        <v>3</v>
      </c>
      <c r="P10" t="s">
        <v>174</v>
      </c>
      <c r="R10">
        <v>209.32499999999999</v>
      </c>
      <c r="S10" s="3">
        <v>45668</v>
      </c>
      <c r="W10" t="s">
        <v>86</v>
      </c>
      <c r="X10" t="s">
        <v>87</v>
      </c>
      <c r="Y10">
        <v>0</v>
      </c>
      <c r="Z10">
        <v>0</v>
      </c>
      <c r="AC10">
        <v>4032000</v>
      </c>
      <c r="AH10" t="s">
        <v>5</v>
      </c>
      <c r="AI10">
        <v>997950973</v>
      </c>
      <c r="AL10" t="s">
        <v>175</v>
      </c>
      <c r="AO10" t="s">
        <v>176</v>
      </c>
      <c r="AP10" t="s">
        <v>177</v>
      </c>
      <c r="AQ10" t="s">
        <v>178</v>
      </c>
      <c r="AR10" t="s">
        <v>179</v>
      </c>
      <c r="AS10" t="s">
        <v>180</v>
      </c>
      <c r="AT10" t="s">
        <v>141</v>
      </c>
      <c r="AU10" t="s">
        <v>96</v>
      </c>
      <c r="AZ10" t="s">
        <v>98</v>
      </c>
      <c r="BA10" t="s">
        <v>99</v>
      </c>
      <c r="BB10" t="s">
        <v>181</v>
      </c>
      <c r="BC10" t="s">
        <v>182</v>
      </c>
      <c r="BD10" t="s">
        <v>183</v>
      </c>
      <c r="BE10">
        <v>2021</v>
      </c>
      <c r="BF10">
        <v>2021</v>
      </c>
    </row>
    <row r="11" spans="1:58">
      <c r="A11">
        <v>1493544</v>
      </c>
      <c r="B11">
        <v>228</v>
      </c>
      <c r="D11">
        <v>10161255</v>
      </c>
      <c r="F11" t="s">
        <v>80</v>
      </c>
      <c r="G11" t="s">
        <v>81</v>
      </c>
      <c r="H11" t="s">
        <v>11</v>
      </c>
      <c r="I11" t="s">
        <v>11</v>
      </c>
      <c r="J11" t="s">
        <v>5</v>
      </c>
      <c r="K11" t="s">
        <v>83</v>
      </c>
      <c r="L11" s="3">
        <v>46180</v>
      </c>
      <c r="N11">
        <v>15621497</v>
      </c>
      <c r="O11">
        <v>3</v>
      </c>
      <c r="P11" t="s">
        <v>184</v>
      </c>
      <c r="R11">
        <v>497.85599999999999</v>
      </c>
      <c r="S11" s="3">
        <v>45669</v>
      </c>
      <c r="W11" t="s">
        <v>86</v>
      </c>
      <c r="X11" t="s">
        <v>87</v>
      </c>
      <c r="Y11">
        <v>0</v>
      </c>
      <c r="Z11">
        <v>0</v>
      </c>
      <c r="AC11">
        <v>10161255</v>
      </c>
      <c r="AH11" t="s">
        <v>5</v>
      </c>
      <c r="AI11">
        <v>968731785</v>
      </c>
      <c r="AL11" t="s">
        <v>185</v>
      </c>
      <c r="AO11" t="s">
        <v>186</v>
      </c>
      <c r="AP11" t="s">
        <v>187</v>
      </c>
      <c r="AQ11" t="s">
        <v>188</v>
      </c>
      <c r="AR11" t="s">
        <v>179</v>
      </c>
      <c r="AS11" t="s">
        <v>189</v>
      </c>
      <c r="AT11" t="s">
        <v>122</v>
      </c>
      <c r="AU11" t="s">
        <v>96</v>
      </c>
      <c r="AZ11" t="s">
        <v>111</v>
      </c>
      <c r="BA11" t="s">
        <v>99</v>
      </c>
      <c r="BB11" t="s">
        <v>190</v>
      </c>
      <c r="BC11" t="s">
        <v>191</v>
      </c>
      <c r="BD11" t="s">
        <v>192</v>
      </c>
      <c r="BE11">
        <v>2019</v>
      </c>
      <c r="BF11">
        <v>2019</v>
      </c>
    </row>
    <row r="12" spans="1:58">
      <c r="A12">
        <v>1494440</v>
      </c>
      <c r="B12">
        <v>138</v>
      </c>
      <c r="D12">
        <v>3819552</v>
      </c>
      <c r="F12" t="s">
        <v>80</v>
      </c>
      <c r="G12" t="s">
        <v>81</v>
      </c>
      <c r="H12" t="s">
        <v>11</v>
      </c>
      <c r="I12" t="s">
        <v>11</v>
      </c>
      <c r="J12" t="s">
        <v>5</v>
      </c>
      <c r="K12" t="s">
        <v>83</v>
      </c>
      <c r="L12" s="3">
        <v>46180</v>
      </c>
      <c r="M12" t="s">
        <v>193</v>
      </c>
      <c r="N12">
        <v>14085342</v>
      </c>
      <c r="O12">
        <v>9</v>
      </c>
      <c r="P12" t="s">
        <v>194</v>
      </c>
      <c r="R12">
        <v>155.31899999999999</v>
      </c>
      <c r="S12" s="3">
        <v>46025</v>
      </c>
      <c r="W12" t="s">
        <v>86</v>
      </c>
      <c r="X12" t="s">
        <v>87</v>
      </c>
      <c r="Y12">
        <v>0</v>
      </c>
      <c r="Z12">
        <v>0</v>
      </c>
      <c r="AC12">
        <v>3819552</v>
      </c>
      <c r="AH12" t="s">
        <v>5</v>
      </c>
      <c r="AI12">
        <v>978991743</v>
      </c>
      <c r="AL12" t="s">
        <v>195</v>
      </c>
      <c r="AO12" t="s">
        <v>196</v>
      </c>
      <c r="AP12" t="s">
        <v>159</v>
      </c>
      <c r="AQ12" t="s">
        <v>160</v>
      </c>
      <c r="AR12" t="s">
        <v>197</v>
      </c>
      <c r="AS12" t="s">
        <v>198</v>
      </c>
      <c r="AT12" t="s">
        <v>122</v>
      </c>
      <c r="AU12" t="s">
        <v>96</v>
      </c>
      <c r="AZ12" t="s">
        <v>111</v>
      </c>
      <c r="BA12" t="s">
        <v>99</v>
      </c>
      <c r="BB12" t="s">
        <v>199</v>
      </c>
      <c r="BC12" t="s">
        <v>200</v>
      </c>
      <c r="BD12" t="s">
        <v>201</v>
      </c>
      <c r="BE12">
        <v>2022</v>
      </c>
      <c r="BF12">
        <v>2022</v>
      </c>
    </row>
    <row r="13" spans="1:58">
      <c r="A13">
        <v>1524638</v>
      </c>
      <c r="B13">
        <v>228</v>
      </c>
      <c r="D13">
        <v>3499999</v>
      </c>
      <c r="F13" t="s">
        <v>80</v>
      </c>
      <c r="G13" t="s">
        <v>81</v>
      </c>
      <c r="H13" t="s">
        <v>11</v>
      </c>
      <c r="I13" t="s">
        <v>11</v>
      </c>
      <c r="J13" t="s">
        <v>5</v>
      </c>
      <c r="K13" t="s">
        <v>83</v>
      </c>
      <c r="L13" s="3">
        <v>46180</v>
      </c>
      <c r="N13">
        <v>12712897</v>
      </c>
      <c r="O13">
        <v>9</v>
      </c>
      <c r="P13" t="s">
        <v>202</v>
      </c>
      <c r="R13">
        <v>358.44099999999997</v>
      </c>
      <c r="S13" s="3">
        <v>45669</v>
      </c>
      <c r="W13" t="s">
        <v>156</v>
      </c>
      <c r="X13" t="s">
        <v>87</v>
      </c>
      <c r="Y13">
        <v>0</v>
      </c>
      <c r="Z13">
        <v>0</v>
      </c>
      <c r="AC13">
        <v>2624999</v>
      </c>
      <c r="AE13" t="s">
        <v>203</v>
      </c>
      <c r="AF13" t="s">
        <v>80</v>
      </c>
      <c r="AH13" t="s">
        <v>5</v>
      </c>
      <c r="AI13">
        <v>998656256</v>
      </c>
      <c r="AL13" t="s">
        <v>204</v>
      </c>
      <c r="AO13" t="s">
        <v>205</v>
      </c>
      <c r="AP13" t="s">
        <v>206</v>
      </c>
      <c r="AQ13" t="s">
        <v>160</v>
      </c>
      <c r="AR13" t="s">
        <v>207</v>
      </c>
      <c r="AS13" t="s">
        <v>208</v>
      </c>
      <c r="AT13" t="s">
        <v>141</v>
      </c>
      <c r="AU13" t="s">
        <v>96</v>
      </c>
      <c r="AZ13" t="s">
        <v>98</v>
      </c>
      <c r="BA13" t="s">
        <v>99</v>
      </c>
      <c r="BB13" t="s">
        <v>209</v>
      </c>
      <c r="BC13" t="s">
        <v>164</v>
      </c>
      <c r="BD13" t="s">
        <v>210</v>
      </c>
      <c r="BE13">
        <v>2022</v>
      </c>
      <c r="BF13">
        <v>2022</v>
      </c>
    </row>
    <row r="14" spans="1:58">
      <c r="A14">
        <v>1530466</v>
      </c>
      <c r="B14">
        <v>411</v>
      </c>
      <c r="D14">
        <v>4391250</v>
      </c>
      <c r="F14" t="s">
        <v>80</v>
      </c>
      <c r="G14" t="s">
        <v>81</v>
      </c>
      <c r="H14" t="s">
        <v>115</v>
      </c>
      <c r="I14" t="s">
        <v>115</v>
      </c>
      <c r="J14" t="s">
        <v>5</v>
      </c>
      <c r="K14" t="s">
        <v>83</v>
      </c>
      <c r="L14" s="3">
        <v>46180</v>
      </c>
      <c r="N14">
        <v>15741073</v>
      </c>
      <c r="O14">
        <v>3</v>
      </c>
      <c r="P14" t="s">
        <v>211</v>
      </c>
      <c r="R14">
        <v>201.50200000000001</v>
      </c>
      <c r="S14" s="3">
        <v>45663</v>
      </c>
      <c r="W14" t="s">
        <v>86</v>
      </c>
      <c r="X14" t="s">
        <v>87</v>
      </c>
      <c r="Y14">
        <v>0</v>
      </c>
      <c r="Z14">
        <v>0</v>
      </c>
      <c r="AC14">
        <v>4391250</v>
      </c>
      <c r="AH14" t="s">
        <v>5</v>
      </c>
      <c r="AI14">
        <v>948905338</v>
      </c>
      <c r="AL14" t="s">
        <v>212</v>
      </c>
      <c r="AO14" t="s">
        <v>213</v>
      </c>
      <c r="AP14" t="s">
        <v>214</v>
      </c>
      <c r="AQ14" t="s">
        <v>215</v>
      </c>
      <c r="AR14" t="s">
        <v>216</v>
      </c>
      <c r="AS14" t="s">
        <v>217</v>
      </c>
      <c r="AT14" t="s">
        <v>122</v>
      </c>
      <c r="AU14" t="s">
        <v>96</v>
      </c>
      <c r="AW14" t="s">
        <v>218</v>
      </c>
      <c r="AX14" t="s">
        <v>219</v>
      </c>
      <c r="AY14" t="s">
        <v>220</v>
      </c>
      <c r="AZ14" t="s">
        <v>111</v>
      </c>
      <c r="BA14" t="s">
        <v>221</v>
      </c>
      <c r="BB14" t="s">
        <v>222</v>
      </c>
      <c r="BC14" t="s">
        <v>200</v>
      </c>
      <c r="BD14" t="s">
        <v>201</v>
      </c>
      <c r="BE14">
        <v>2021</v>
      </c>
      <c r="BF14">
        <v>2021</v>
      </c>
    </row>
    <row r="15" spans="1:58">
      <c r="A15">
        <v>1540238</v>
      </c>
      <c r="B15">
        <v>77</v>
      </c>
      <c r="D15">
        <v>6394950</v>
      </c>
      <c r="F15" t="s">
        <v>80</v>
      </c>
      <c r="G15" t="s">
        <v>81</v>
      </c>
      <c r="H15" t="s">
        <v>11</v>
      </c>
      <c r="I15" t="s">
        <v>11</v>
      </c>
      <c r="J15" t="s">
        <v>5</v>
      </c>
      <c r="K15" t="s">
        <v>83</v>
      </c>
      <c r="L15" s="3">
        <v>46180</v>
      </c>
      <c r="M15" t="s">
        <v>193</v>
      </c>
      <c r="N15">
        <v>16552562</v>
      </c>
      <c r="O15">
        <v>0</v>
      </c>
      <c r="P15" t="s">
        <v>223</v>
      </c>
      <c r="R15">
        <v>344.32499999999999</v>
      </c>
      <c r="S15" s="3">
        <v>46027</v>
      </c>
      <c r="W15" t="s">
        <v>86</v>
      </c>
      <c r="X15" t="s">
        <v>87</v>
      </c>
      <c r="Y15">
        <v>0</v>
      </c>
      <c r="Z15">
        <v>0</v>
      </c>
      <c r="AC15">
        <v>6394950</v>
      </c>
      <c r="AH15" t="s">
        <v>5</v>
      </c>
      <c r="AI15">
        <v>948571269</v>
      </c>
      <c r="AL15" t="s">
        <v>224</v>
      </c>
      <c r="AO15" t="s">
        <v>225</v>
      </c>
      <c r="AP15" t="s">
        <v>226</v>
      </c>
      <c r="AQ15" t="s">
        <v>92</v>
      </c>
      <c r="AR15" t="s">
        <v>227</v>
      </c>
      <c r="AS15" t="s">
        <v>228</v>
      </c>
      <c r="AT15" t="s">
        <v>122</v>
      </c>
      <c r="AU15" t="s">
        <v>96</v>
      </c>
      <c r="AZ15" t="s">
        <v>111</v>
      </c>
      <c r="BA15" t="s">
        <v>99</v>
      </c>
      <c r="BB15" t="s">
        <v>229</v>
      </c>
      <c r="BC15" t="s">
        <v>230</v>
      </c>
      <c r="BD15" t="s">
        <v>231</v>
      </c>
      <c r="BE15">
        <v>2022</v>
      </c>
      <c r="BF15">
        <v>2022</v>
      </c>
    </row>
    <row r="16" spans="1:58">
      <c r="A16">
        <v>1542074</v>
      </c>
      <c r="B16">
        <v>319</v>
      </c>
      <c r="D16">
        <v>6733739</v>
      </c>
      <c r="F16" t="s">
        <v>80</v>
      </c>
      <c r="G16" t="s">
        <v>81</v>
      </c>
      <c r="H16" t="s">
        <v>11</v>
      </c>
      <c r="I16" t="s">
        <v>11</v>
      </c>
      <c r="J16" t="s">
        <v>5</v>
      </c>
      <c r="K16" t="s">
        <v>83</v>
      </c>
      <c r="L16" s="3">
        <v>46180</v>
      </c>
      <c r="N16">
        <v>10887679</v>
      </c>
      <c r="O16">
        <v>4</v>
      </c>
      <c r="P16" t="s">
        <v>232</v>
      </c>
      <c r="R16">
        <v>268.87099999999998</v>
      </c>
      <c r="S16" s="3">
        <v>45666</v>
      </c>
      <c r="W16" t="s">
        <v>156</v>
      </c>
      <c r="X16" t="s">
        <v>87</v>
      </c>
      <c r="Y16">
        <v>0</v>
      </c>
      <c r="Z16">
        <v>0</v>
      </c>
      <c r="AC16">
        <v>6733739</v>
      </c>
      <c r="AH16" t="s">
        <v>5</v>
      </c>
      <c r="AI16">
        <v>995635971</v>
      </c>
      <c r="AL16" t="s">
        <v>233</v>
      </c>
      <c r="AO16" t="s">
        <v>234</v>
      </c>
      <c r="AP16" t="s">
        <v>214</v>
      </c>
      <c r="AQ16" t="s">
        <v>215</v>
      </c>
      <c r="AR16" t="s">
        <v>235</v>
      </c>
      <c r="AS16" t="s">
        <v>236</v>
      </c>
      <c r="AT16" t="s">
        <v>141</v>
      </c>
      <c r="AU16" t="s">
        <v>96</v>
      </c>
      <c r="AZ16" t="s">
        <v>98</v>
      </c>
      <c r="BA16" t="s">
        <v>99</v>
      </c>
      <c r="BB16" t="s">
        <v>237</v>
      </c>
      <c r="BC16" t="s">
        <v>164</v>
      </c>
      <c r="BD16" t="s">
        <v>238</v>
      </c>
      <c r="BE16">
        <v>2022</v>
      </c>
      <c r="BF16">
        <v>2022</v>
      </c>
    </row>
    <row r="17" spans="1:58">
      <c r="A17">
        <v>1563013</v>
      </c>
      <c r="B17">
        <v>411</v>
      </c>
      <c r="D17">
        <v>4818807</v>
      </c>
      <c r="F17" t="s">
        <v>80</v>
      </c>
      <c r="G17" t="s">
        <v>81</v>
      </c>
      <c r="H17" t="s">
        <v>115</v>
      </c>
      <c r="I17" t="s">
        <v>115</v>
      </c>
      <c r="J17" t="s">
        <v>5</v>
      </c>
      <c r="K17" t="s">
        <v>83</v>
      </c>
      <c r="L17" s="3">
        <v>46180</v>
      </c>
      <c r="N17">
        <v>19902496</v>
      </c>
      <c r="O17">
        <v>5</v>
      </c>
      <c r="P17" t="s">
        <v>239</v>
      </c>
      <c r="R17">
        <v>223.059</v>
      </c>
      <c r="S17" s="3">
        <v>45663</v>
      </c>
      <c r="W17" t="s">
        <v>86</v>
      </c>
      <c r="Y17">
        <v>0</v>
      </c>
      <c r="Z17">
        <v>0</v>
      </c>
      <c r="AC17">
        <v>794218</v>
      </c>
      <c r="AH17" t="s">
        <v>5</v>
      </c>
      <c r="AI17">
        <v>988691761</v>
      </c>
      <c r="AL17" t="s">
        <v>240</v>
      </c>
      <c r="AO17" t="s">
        <v>241</v>
      </c>
      <c r="AQ17" t="s">
        <v>92</v>
      </c>
      <c r="AR17" t="s">
        <v>242</v>
      </c>
      <c r="AS17" t="s">
        <v>243</v>
      </c>
      <c r="AT17" t="s">
        <v>244</v>
      </c>
      <c r="AU17" t="s">
        <v>96</v>
      </c>
      <c r="AZ17" t="s">
        <v>111</v>
      </c>
      <c r="BA17" t="s">
        <v>99</v>
      </c>
      <c r="BB17" t="s">
        <v>245</v>
      </c>
      <c r="BC17" t="s">
        <v>200</v>
      </c>
      <c r="BD17" t="s">
        <v>246</v>
      </c>
      <c r="BE17">
        <v>2022</v>
      </c>
      <c r="BF17">
        <v>2022</v>
      </c>
    </row>
    <row r="18" spans="1:58">
      <c r="A18">
        <v>1571122</v>
      </c>
      <c r="B18">
        <v>258</v>
      </c>
      <c r="D18">
        <v>5920000</v>
      </c>
      <c r="F18" t="s">
        <v>80</v>
      </c>
      <c r="G18" t="s">
        <v>81</v>
      </c>
      <c r="H18" t="s">
        <v>11</v>
      </c>
      <c r="I18" t="s">
        <v>11</v>
      </c>
      <c r="J18" t="s">
        <v>5</v>
      </c>
      <c r="K18" t="s">
        <v>83</v>
      </c>
      <c r="L18" s="3">
        <v>46180</v>
      </c>
      <c r="N18">
        <v>11641745</v>
      </c>
      <c r="O18">
        <v>6</v>
      </c>
      <c r="P18" t="s">
        <v>247</v>
      </c>
      <c r="R18">
        <v>275.62799999999999</v>
      </c>
      <c r="S18" s="3">
        <v>45668</v>
      </c>
      <c r="W18" t="s">
        <v>86</v>
      </c>
      <c r="Y18">
        <v>0</v>
      </c>
      <c r="Z18">
        <v>0</v>
      </c>
      <c r="AC18">
        <v>676430</v>
      </c>
      <c r="AE18" t="s">
        <v>248</v>
      </c>
      <c r="AF18" t="s">
        <v>80</v>
      </c>
      <c r="AH18" t="s">
        <v>5</v>
      </c>
      <c r="AI18">
        <v>959863045</v>
      </c>
      <c r="AL18" t="s">
        <v>249</v>
      </c>
      <c r="AO18" t="s">
        <v>250</v>
      </c>
      <c r="AQ18" t="s">
        <v>92</v>
      </c>
      <c r="AR18" t="s">
        <v>251</v>
      </c>
      <c r="AS18" t="s">
        <v>208</v>
      </c>
      <c r="AT18" t="s">
        <v>141</v>
      </c>
      <c r="AU18" t="s">
        <v>96</v>
      </c>
      <c r="AZ18" t="s">
        <v>98</v>
      </c>
      <c r="BA18" t="s">
        <v>99</v>
      </c>
      <c r="BB18" t="s">
        <v>252</v>
      </c>
      <c r="BC18" t="s">
        <v>182</v>
      </c>
      <c r="BD18" t="s">
        <v>253</v>
      </c>
      <c r="BE18">
        <v>2022</v>
      </c>
      <c r="BF18">
        <v>2022</v>
      </c>
    </row>
    <row r="19" spans="1:58">
      <c r="A19">
        <v>1579447</v>
      </c>
      <c r="B19">
        <v>258</v>
      </c>
      <c r="D19">
        <v>3774859</v>
      </c>
      <c r="F19" t="s">
        <v>80</v>
      </c>
      <c r="G19" t="s">
        <v>81</v>
      </c>
      <c r="H19" t="s">
        <v>11</v>
      </c>
      <c r="I19" t="s">
        <v>11</v>
      </c>
      <c r="J19" t="s">
        <v>5</v>
      </c>
      <c r="K19" t="s">
        <v>83</v>
      </c>
      <c r="L19" s="3">
        <v>46180</v>
      </c>
      <c r="N19">
        <v>18563424</v>
      </c>
      <c r="O19">
        <v>8</v>
      </c>
      <c r="P19" t="s">
        <v>254</v>
      </c>
      <c r="R19">
        <v>218.85900000000001</v>
      </c>
      <c r="S19" s="3">
        <v>45668</v>
      </c>
      <c r="W19" t="s">
        <v>86</v>
      </c>
      <c r="X19" t="s">
        <v>87</v>
      </c>
      <c r="Y19">
        <v>0</v>
      </c>
      <c r="Z19">
        <v>0</v>
      </c>
      <c r="AC19">
        <v>3774859</v>
      </c>
      <c r="AH19" t="s">
        <v>5</v>
      </c>
      <c r="AI19">
        <v>962903608</v>
      </c>
      <c r="AL19" t="s">
        <v>255</v>
      </c>
      <c r="AO19" t="s">
        <v>256</v>
      </c>
      <c r="AQ19" t="s">
        <v>188</v>
      </c>
      <c r="AR19" t="s">
        <v>257</v>
      </c>
      <c r="AS19" t="s">
        <v>180</v>
      </c>
      <c r="AT19" t="s">
        <v>122</v>
      </c>
      <c r="AU19" t="s">
        <v>96</v>
      </c>
      <c r="AZ19" t="s">
        <v>111</v>
      </c>
      <c r="BA19" t="s">
        <v>99</v>
      </c>
      <c r="BB19" t="s">
        <v>258</v>
      </c>
      <c r="BC19" t="s">
        <v>182</v>
      </c>
      <c r="BD19" t="s">
        <v>259</v>
      </c>
      <c r="BE19">
        <v>2022</v>
      </c>
      <c r="BF19">
        <v>2022</v>
      </c>
    </row>
    <row r="20" spans="1:58">
      <c r="A20">
        <v>1585963</v>
      </c>
      <c r="B20">
        <v>381</v>
      </c>
      <c r="D20">
        <v>6878855</v>
      </c>
      <c r="F20" t="s">
        <v>80</v>
      </c>
      <c r="G20" t="s">
        <v>81</v>
      </c>
      <c r="H20" t="s">
        <v>115</v>
      </c>
      <c r="I20" t="s">
        <v>115</v>
      </c>
      <c r="J20" t="s">
        <v>5</v>
      </c>
      <c r="K20" t="s">
        <v>83</v>
      </c>
      <c r="L20" s="3">
        <v>46180</v>
      </c>
      <c r="N20">
        <v>18051143</v>
      </c>
      <c r="O20">
        <v>1</v>
      </c>
      <c r="P20" t="s">
        <v>260</v>
      </c>
      <c r="R20">
        <v>209.57400000000001</v>
      </c>
      <c r="S20" s="3">
        <v>45664</v>
      </c>
      <c r="W20" t="s">
        <v>86</v>
      </c>
      <c r="X20" t="s">
        <v>87</v>
      </c>
      <c r="Y20">
        <v>0</v>
      </c>
      <c r="Z20">
        <v>0</v>
      </c>
      <c r="AC20">
        <v>6878855</v>
      </c>
      <c r="AH20" t="s">
        <v>5</v>
      </c>
      <c r="AI20">
        <v>971792389</v>
      </c>
      <c r="AL20" t="s">
        <v>261</v>
      </c>
      <c r="AO20" t="s">
        <v>262</v>
      </c>
      <c r="AQ20" t="s">
        <v>92</v>
      </c>
      <c r="AR20" t="s">
        <v>263</v>
      </c>
      <c r="AS20" t="s">
        <v>208</v>
      </c>
      <c r="AT20" t="s">
        <v>122</v>
      </c>
      <c r="AU20" t="s">
        <v>96</v>
      </c>
      <c r="AZ20" t="s">
        <v>111</v>
      </c>
      <c r="BA20" t="s">
        <v>99</v>
      </c>
      <c r="BB20" t="s">
        <v>264</v>
      </c>
      <c r="BC20" t="s">
        <v>200</v>
      </c>
      <c r="BD20" t="s">
        <v>265</v>
      </c>
      <c r="BE20">
        <v>2022</v>
      </c>
      <c r="BF20">
        <v>2022</v>
      </c>
    </row>
    <row r="21" spans="1:58">
      <c r="A21">
        <v>1603752</v>
      </c>
      <c r="B21">
        <v>228</v>
      </c>
      <c r="D21">
        <v>3882712</v>
      </c>
      <c r="F21" t="s">
        <v>80</v>
      </c>
      <c r="G21" t="s">
        <v>81</v>
      </c>
      <c r="H21" t="s">
        <v>11</v>
      </c>
      <c r="I21" t="s">
        <v>11</v>
      </c>
      <c r="J21" t="s">
        <v>5</v>
      </c>
      <c r="K21" t="s">
        <v>83</v>
      </c>
      <c r="L21" s="3">
        <v>46180</v>
      </c>
      <c r="N21">
        <v>26445123</v>
      </c>
      <c r="O21" t="s">
        <v>266</v>
      </c>
      <c r="P21" t="s">
        <v>267</v>
      </c>
      <c r="R21">
        <v>206.71199999999999</v>
      </c>
      <c r="S21" s="3">
        <v>45669</v>
      </c>
      <c r="W21" t="s">
        <v>86</v>
      </c>
      <c r="X21" t="s">
        <v>87</v>
      </c>
      <c r="Y21">
        <v>0</v>
      </c>
      <c r="Z21">
        <v>0</v>
      </c>
      <c r="AC21">
        <v>3882712</v>
      </c>
      <c r="AH21" t="s">
        <v>5</v>
      </c>
      <c r="AI21">
        <v>985379739</v>
      </c>
      <c r="AL21" t="s">
        <v>268</v>
      </c>
      <c r="AO21" t="s">
        <v>269</v>
      </c>
      <c r="AQ21" t="s">
        <v>92</v>
      </c>
      <c r="AR21" t="s">
        <v>270</v>
      </c>
      <c r="AS21" t="s">
        <v>271</v>
      </c>
      <c r="AT21" t="s">
        <v>122</v>
      </c>
      <c r="AU21" t="s">
        <v>96</v>
      </c>
      <c r="AZ21" t="s">
        <v>111</v>
      </c>
      <c r="BA21" t="s">
        <v>99</v>
      </c>
      <c r="BB21" t="s">
        <v>272</v>
      </c>
      <c r="BC21" t="s">
        <v>200</v>
      </c>
      <c r="BD21" t="s">
        <v>246</v>
      </c>
      <c r="BE21">
        <v>2022</v>
      </c>
      <c r="BF21">
        <v>2022</v>
      </c>
    </row>
    <row r="22" spans="1:58">
      <c r="A22">
        <v>1609974</v>
      </c>
      <c r="B22">
        <v>197</v>
      </c>
      <c r="D22">
        <v>3596000</v>
      </c>
      <c r="F22" t="s">
        <v>80</v>
      </c>
      <c r="G22" t="s">
        <v>81</v>
      </c>
      <c r="H22" t="s">
        <v>11</v>
      </c>
      <c r="I22" t="s">
        <v>11</v>
      </c>
      <c r="J22" t="s">
        <v>5</v>
      </c>
      <c r="K22" t="s">
        <v>83</v>
      </c>
      <c r="L22" s="3">
        <v>46180</v>
      </c>
      <c r="N22">
        <v>26454470</v>
      </c>
      <c r="O22" t="s">
        <v>266</v>
      </c>
      <c r="P22" t="s">
        <v>273</v>
      </c>
      <c r="R22">
        <v>182.095</v>
      </c>
      <c r="S22" s="3">
        <v>46023</v>
      </c>
      <c r="W22" t="s">
        <v>86</v>
      </c>
      <c r="X22" t="s">
        <v>87</v>
      </c>
      <c r="Y22">
        <v>0</v>
      </c>
      <c r="Z22">
        <v>0</v>
      </c>
      <c r="AC22">
        <v>3596000</v>
      </c>
      <c r="AH22" t="s">
        <v>5</v>
      </c>
      <c r="AI22">
        <v>933189626</v>
      </c>
      <c r="AL22" t="s">
        <v>274</v>
      </c>
      <c r="AO22" t="s">
        <v>275</v>
      </c>
      <c r="AQ22" t="s">
        <v>188</v>
      </c>
      <c r="AR22" t="s">
        <v>276</v>
      </c>
      <c r="AS22" t="s">
        <v>121</v>
      </c>
      <c r="AT22" t="s">
        <v>141</v>
      </c>
      <c r="AU22" t="s">
        <v>96</v>
      </c>
      <c r="AZ22" t="s">
        <v>98</v>
      </c>
      <c r="BA22" t="s">
        <v>99</v>
      </c>
      <c r="BB22" t="s">
        <v>277</v>
      </c>
      <c r="BC22" t="s">
        <v>278</v>
      </c>
      <c r="BD22" t="s">
        <v>279</v>
      </c>
      <c r="BE22">
        <v>2022</v>
      </c>
      <c r="BF22">
        <v>2022</v>
      </c>
    </row>
    <row r="23" spans="1:58">
      <c r="A23">
        <v>1638465</v>
      </c>
      <c r="B23">
        <v>411</v>
      </c>
      <c r="D23">
        <v>3871396</v>
      </c>
      <c r="F23" t="s">
        <v>80</v>
      </c>
      <c r="G23" t="s">
        <v>81</v>
      </c>
      <c r="H23" t="s">
        <v>115</v>
      </c>
      <c r="I23" t="s">
        <v>115</v>
      </c>
      <c r="J23" t="s">
        <v>5</v>
      </c>
      <c r="K23" t="s">
        <v>83</v>
      </c>
      <c r="L23" s="3">
        <v>46180</v>
      </c>
      <c r="N23">
        <v>27070326</v>
      </c>
      <c r="O23">
        <v>7</v>
      </c>
      <c r="P23" t="s">
        <v>280</v>
      </c>
      <c r="R23">
        <v>198.55</v>
      </c>
      <c r="S23" s="3">
        <v>45663</v>
      </c>
      <c r="W23" t="s">
        <v>86</v>
      </c>
      <c r="Y23">
        <v>0</v>
      </c>
      <c r="Z23">
        <v>0</v>
      </c>
      <c r="AC23">
        <v>1254198</v>
      </c>
      <c r="AE23" t="s">
        <v>248</v>
      </c>
      <c r="AF23" t="s">
        <v>80</v>
      </c>
      <c r="AH23" t="s">
        <v>5</v>
      </c>
      <c r="AI23">
        <v>962588898</v>
      </c>
      <c r="AL23" t="s">
        <v>281</v>
      </c>
      <c r="AO23" t="s">
        <v>282</v>
      </c>
      <c r="AQ23" t="s">
        <v>92</v>
      </c>
      <c r="AR23" t="s">
        <v>283</v>
      </c>
      <c r="AS23" t="s">
        <v>284</v>
      </c>
      <c r="AT23" t="s">
        <v>141</v>
      </c>
      <c r="AU23" t="s">
        <v>285</v>
      </c>
      <c r="AZ23" t="s">
        <v>98</v>
      </c>
      <c r="BA23" t="s">
        <v>285</v>
      </c>
      <c r="BB23" t="s">
        <v>286</v>
      </c>
      <c r="BC23" t="s">
        <v>287</v>
      </c>
      <c r="BD23" t="s">
        <v>288</v>
      </c>
      <c r="BE23">
        <v>2022</v>
      </c>
      <c r="BF23">
        <v>2022</v>
      </c>
    </row>
    <row r="24" spans="1:58">
      <c r="A24">
        <v>1642440</v>
      </c>
      <c r="B24">
        <v>381</v>
      </c>
      <c r="D24">
        <v>14121919</v>
      </c>
      <c r="F24" t="s">
        <v>80</v>
      </c>
      <c r="G24" t="s">
        <v>81</v>
      </c>
      <c r="H24" t="s">
        <v>115</v>
      </c>
      <c r="I24" t="s">
        <v>115</v>
      </c>
      <c r="J24" t="s">
        <v>5</v>
      </c>
      <c r="K24" t="s">
        <v>83</v>
      </c>
      <c r="L24" s="3">
        <v>46180</v>
      </c>
      <c r="N24">
        <v>16121390</v>
      </c>
      <c r="O24" t="s">
        <v>266</v>
      </c>
      <c r="P24" t="s">
        <v>289</v>
      </c>
      <c r="R24">
        <v>460.81599999999997</v>
      </c>
      <c r="S24" s="3">
        <v>45664</v>
      </c>
      <c r="W24" t="s">
        <v>86</v>
      </c>
      <c r="X24" t="s">
        <v>87</v>
      </c>
      <c r="Y24">
        <v>0</v>
      </c>
      <c r="Z24">
        <v>0</v>
      </c>
      <c r="AC24">
        <v>14121919</v>
      </c>
      <c r="AH24" t="s">
        <v>5</v>
      </c>
      <c r="AI24">
        <v>994898377</v>
      </c>
      <c r="AL24" t="s">
        <v>290</v>
      </c>
      <c r="AO24" t="s">
        <v>291</v>
      </c>
      <c r="AQ24" t="s">
        <v>92</v>
      </c>
      <c r="AR24" t="s">
        <v>292</v>
      </c>
      <c r="AS24" t="s">
        <v>293</v>
      </c>
      <c r="AT24" t="s">
        <v>122</v>
      </c>
      <c r="AU24" t="s">
        <v>96</v>
      </c>
      <c r="AZ24" t="s">
        <v>111</v>
      </c>
      <c r="BA24" t="s">
        <v>99</v>
      </c>
      <c r="BB24" t="s">
        <v>294</v>
      </c>
      <c r="BC24" t="s">
        <v>133</v>
      </c>
      <c r="BD24" t="s">
        <v>295</v>
      </c>
      <c r="BE24">
        <v>2022</v>
      </c>
      <c r="BF24">
        <v>2022</v>
      </c>
    </row>
    <row r="25" spans="1:58">
      <c r="A25">
        <v>1644932</v>
      </c>
      <c r="B25">
        <v>442</v>
      </c>
      <c r="D25">
        <v>4868802</v>
      </c>
      <c r="F25" t="s">
        <v>80</v>
      </c>
      <c r="G25" t="s">
        <v>81</v>
      </c>
      <c r="H25" t="s">
        <v>115</v>
      </c>
      <c r="I25" t="s">
        <v>115</v>
      </c>
      <c r="J25" t="s">
        <v>5</v>
      </c>
      <c r="K25" t="s">
        <v>83</v>
      </c>
      <c r="L25" s="3">
        <v>46180</v>
      </c>
      <c r="N25">
        <v>16002296</v>
      </c>
      <c r="O25">
        <v>5</v>
      </c>
      <c r="P25" t="s">
        <v>296</v>
      </c>
      <c r="R25">
        <v>196.97800000000001</v>
      </c>
      <c r="S25" s="3">
        <v>45662</v>
      </c>
      <c r="W25" t="s">
        <v>86</v>
      </c>
      <c r="X25" t="s">
        <v>87</v>
      </c>
      <c r="Y25">
        <v>0</v>
      </c>
      <c r="Z25">
        <v>0</v>
      </c>
      <c r="AC25">
        <v>2974002</v>
      </c>
      <c r="AE25" t="s">
        <v>248</v>
      </c>
      <c r="AF25" t="s">
        <v>80</v>
      </c>
      <c r="AH25" t="s">
        <v>5</v>
      </c>
      <c r="AI25">
        <v>9987229864</v>
      </c>
      <c r="AL25" t="s">
        <v>297</v>
      </c>
      <c r="AO25" t="s">
        <v>298</v>
      </c>
      <c r="AQ25" t="s">
        <v>299</v>
      </c>
      <c r="AR25" t="s">
        <v>300</v>
      </c>
      <c r="AS25" t="s">
        <v>301</v>
      </c>
      <c r="AT25" t="s">
        <v>122</v>
      </c>
      <c r="AU25" t="s">
        <v>285</v>
      </c>
      <c r="AZ25" t="s">
        <v>111</v>
      </c>
      <c r="BA25" t="s">
        <v>285</v>
      </c>
      <c r="BB25" t="s">
        <v>302</v>
      </c>
      <c r="BC25" t="s">
        <v>182</v>
      </c>
      <c r="BD25" t="s">
        <v>303</v>
      </c>
      <c r="BE25">
        <v>2022</v>
      </c>
      <c r="BF25">
        <v>2022</v>
      </c>
    </row>
    <row r="26" spans="1:58">
      <c r="A26">
        <v>1645952</v>
      </c>
      <c r="B26">
        <v>1</v>
      </c>
      <c r="D26">
        <v>9019928</v>
      </c>
      <c r="F26" t="s">
        <v>80</v>
      </c>
      <c r="G26" t="s">
        <v>81</v>
      </c>
      <c r="H26" t="s">
        <v>11</v>
      </c>
      <c r="I26" t="s">
        <v>11</v>
      </c>
      <c r="J26" t="s">
        <v>5</v>
      </c>
      <c r="K26" t="s">
        <v>83</v>
      </c>
      <c r="L26" s="3">
        <v>46180</v>
      </c>
      <c r="M26" t="s">
        <v>193</v>
      </c>
      <c r="N26">
        <v>15189992</v>
      </c>
      <c r="O26">
        <v>7</v>
      </c>
      <c r="P26" t="s">
        <v>304</v>
      </c>
      <c r="R26">
        <v>381.24099999999999</v>
      </c>
      <c r="S26" s="3">
        <v>46028</v>
      </c>
      <c r="W26" t="s">
        <v>86</v>
      </c>
      <c r="Y26">
        <v>0</v>
      </c>
      <c r="Z26">
        <v>0</v>
      </c>
      <c r="AC26">
        <v>9019928</v>
      </c>
      <c r="AH26" t="s">
        <v>5</v>
      </c>
      <c r="AI26">
        <v>977573123</v>
      </c>
      <c r="AL26" t="s">
        <v>305</v>
      </c>
      <c r="AO26" t="s">
        <v>306</v>
      </c>
      <c r="AQ26" t="s">
        <v>149</v>
      </c>
      <c r="AR26" t="s">
        <v>307</v>
      </c>
      <c r="AS26" t="s">
        <v>293</v>
      </c>
      <c r="AT26" t="s">
        <v>141</v>
      </c>
      <c r="AU26" t="s">
        <v>96</v>
      </c>
      <c r="AZ26" t="s">
        <v>98</v>
      </c>
      <c r="BA26" t="s">
        <v>99</v>
      </c>
      <c r="BB26" t="s">
        <v>308</v>
      </c>
      <c r="BC26" t="s">
        <v>309</v>
      </c>
      <c r="BD26" t="s">
        <v>310</v>
      </c>
      <c r="BE26">
        <v>2022</v>
      </c>
      <c r="BF26">
        <v>2022</v>
      </c>
    </row>
    <row r="27" spans="1:58">
      <c r="A27">
        <v>1670767</v>
      </c>
      <c r="B27">
        <v>166</v>
      </c>
      <c r="D27">
        <v>6378399</v>
      </c>
      <c r="F27" t="s">
        <v>80</v>
      </c>
      <c r="G27" t="s">
        <v>81</v>
      </c>
      <c r="H27" t="s">
        <v>11</v>
      </c>
      <c r="I27" t="s">
        <v>11</v>
      </c>
      <c r="J27" t="s">
        <v>5</v>
      </c>
      <c r="K27" t="s">
        <v>83</v>
      </c>
      <c r="L27" s="3">
        <v>46180</v>
      </c>
      <c r="N27">
        <v>17484899</v>
      </c>
      <c r="O27">
        <v>8</v>
      </c>
      <c r="P27" t="s">
        <v>311</v>
      </c>
      <c r="R27">
        <v>337.10899999999998</v>
      </c>
      <c r="S27" s="3">
        <v>46024</v>
      </c>
      <c r="W27" t="s">
        <v>156</v>
      </c>
      <c r="Y27">
        <v>0</v>
      </c>
      <c r="Z27">
        <v>0</v>
      </c>
      <c r="AC27">
        <v>2385892</v>
      </c>
      <c r="AH27" t="s">
        <v>5</v>
      </c>
      <c r="AI27">
        <v>945865081</v>
      </c>
      <c r="AL27" t="s">
        <v>312</v>
      </c>
      <c r="AO27" t="s">
        <v>313</v>
      </c>
      <c r="AP27" t="s">
        <v>314</v>
      </c>
      <c r="AQ27" t="s">
        <v>92</v>
      </c>
      <c r="AR27" t="s">
        <v>315</v>
      </c>
      <c r="AS27" t="s">
        <v>131</v>
      </c>
      <c r="AT27" t="s">
        <v>244</v>
      </c>
      <c r="AU27" t="s">
        <v>96</v>
      </c>
      <c r="AZ27" t="s">
        <v>111</v>
      </c>
      <c r="BA27" t="s">
        <v>99</v>
      </c>
      <c r="BB27" t="s">
        <v>316</v>
      </c>
      <c r="BC27" t="s">
        <v>164</v>
      </c>
      <c r="BD27" t="s">
        <v>317</v>
      </c>
      <c r="BE27">
        <v>2022</v>
      </c>
      <c r="BF27">
        <v>2022</v>
      </c>
    </row>
    <row r="28" spans="1:58">
      <c r="A28">
        <v>1700218</v>
      </c>
      <c r="B28">
        <v>166</v>
      </c>
      <c r="D28">
        <v>6879999</v>
      </c>
      <c r="F28" t="s">
        <v>80</v>
      </c>
      <c r="G28" t="s">
        <v>81</v>
      </c>
      <c r="H28" t="s">
        <v>11</v>
      </c>
      <c r="I28" t="s">
        <v>11</v>
      </c>
      <c r="J28" t="s">
        <v>5</v>
      </c>
      <c r="K28" t="s">
        <v>83</v>
      </c>
      <c r="L28" s="3">
        <v>46180</v>
      </c>
      <c r="N28">
        <v>12218160</v>
      </c>
      <c r="O28" t="s">
        <v>266</v>
      </c>
      <c r="P28" t="s">
        <v>318</v>
      </c>
      <c r="R28">
        <v>362.214</v>
      </c>
      <c r="S28" s="3">
        <v>46024</v>
      </c>
      <c r="W28" t="s">
        <v>156</v>
      </c>
      <c r="X28" t="s">
        <v>87</v>
      </c>
      <c r="Y28">
        <v>0</v>
      </c>
      <c r="Z28">
        <v>0</v>
      </c>
      <c r="AC28">
        <v>5108469</v>
      </c>
      <c r="AE28" t="s">
        <v>248</v>
      </c>
      <c r="AF28" t="s">
        <v>80</v>
      </c>
      <c r="AH28" t="s">
        <v>5</v>
      </c>
      <c r="AI28">
        <v>957500333</v>
      </c>
      <c r="AL28" t="s">
        <v>319</v>
      </c>
      <c r="AO28" t="s">
        <v>320</v>
      </c>
      <c r="AP28" t="s">
        <v>321</v>
      </c>
      <c r="AQ28" t="s">
        <v>322</v>
      </c>
      <c r="AR28" t="s">
        <v>323</v>
      </c>
      <c r="AS28" t="s">
        <v>324</v>
      </c>
      <c r="AT28" t="s">
        <v>141</v>
      </c>
      <c r="AU28" t="s">
        <v>96</v>
      </c>
      <c r="AZ28" t="s">
        <v>98</v>
      </c>
      <c r="BA28" t="s">
        <v>99</v>
      </c>
      <c r="BB28" t="s">
        <v>325</v>
      </c>
      <c r="BC28" t="s">
        <v>164</v>
      </c>
      <c r="BD28" t="s">
        <v>326</v>
      </c>
      <c r="BE28">
        <v>2022</v>
      </c>
      <c r="BF28">
        <v>2022</v>
      </c>
    </row>
    <row r="29" spans="1:58">
      <c r="A29">
        <v>1721051</v>
      </c>
      <c r="B29">
        <v>350</v>
      </c>
      <c r="D29">
        <v>9984524</v>
      </c>
      <c r="F29" t="s">
        <v>80</v>
      </c>
      <c r="G29" t="s">
        <v>81</v>
      </c>
      <c r="H29" t="s">
        <v>11</v>
      </c>
      <c r="I29" t="s">
        <v>11</v>
      </c>
      <c r="J29" t="s">
        <v>5</v>
      </c>
      <c r="K29" t="s">
        <v>83</v>
      </c>
      <c r="L29" s="3">
        <v>46180</v>
      </c>
      <c r="N29">
        <v>16409957</v>
      </c>
      <c r="O29">
        <v>1</v>
      </c>
      <c r="P29" t="s">
        <v>327</v>
      </c>
      <c r="R29">
        <v>313.96899999999999</v>
      </c>
      <c r="S29" s="3">
        <v>45665</v>
      </c>
      <c r="W29" t="s">
        <v>86</v>
      </c>
      <c r="X29" t="s">
        <v>87</v>
      </c>
      <c r="Y29">
        <v>0</v>
      </c>
      <c r="Z29">
        <v>0</v>
      </c>
      <c r="AC29">
        <v>9984524</v>
      </c>
      <c r="AH29" t="s">
        <v>5</v>
      </c>
      <c r="AI29">
        <v>93241652</v>
      </c>
      <c r="AL29" t="s">
        <v>328</v>
      </c>
      <c r="AO29" t="s">
        <v>329</v>
      </c>
      <c r="AP29" t="s">
        <v>330</v>
      </c>
      <c r="AQ29" t="s">
        <v>92</v>
      </c>
      <c r="AR29" t="s">
        <v>331</v>
      </c>
      <c r="AS29" t="s">
        <v>323</v>
      </c>
      <c r="AT29" t="s">
        <v>122</v>
      </c>
      <c r="AU29" t="s">
        <v>96</v>
      </c>
      <c r="AZ29" t="s">
        <v>111</v>
      </c>
      <c r="BA29" t="s">
        <v>99</v>
      </c>
      <c r="BB29" t="s">
        <v>332</v>
      </c>
      <c r="BC29" t="s">
        <v>200</v>
      </c>
      <c r="BD29" t="s">
        <v>333</v>
      </c>
      <c r="BE29">
        <v>2022</v>
      </c>
      <c r="BF29">
        <v>2022</v>
      </c>
    </row>
    <row r="30" spans="1:58">
      <c r="A30">
        <v>1729656</v>
      </c>
      <c r="B30">
        <v>411</v>
      </c>
      <c r="D30">
        <v>4994124</v>
      </c>
      <c r="F30" t="s">
        <v>80</v>
      </c>
      <c r="G30" t="s">
        <v>81</v>
      </c>
      <c r="H30" t="s">
        <v>115</v>
      </c>
      <c r="I30" t="s">
        <v>115</v>
      </c>
      <c r="J30" t="s">
        <v>5</v>
      </c>
      <c r="K30" t="s">
        <v>83</v>
      </c>
      <c r="L30" s="3">
        <v>46180</v>
      </c>
      <c r="N30">
        <v>13621515</v>
      </c>
      <c r="O30">
        <v>9</v>
      </c>
      <c r="P30" t="s">
        <v>334</v>
      </c>
      <c r="R30">
        <v>256.83600000000001</v>
      </c>
      <c r="S30" s="3">
        <v>45663</v>
      </c>
      <c r="W30" t="s">
        <v>86</v>
      </c>
      <c r="X30" t="s">
        <v>87</v>
      </c>
      <c r="Y30">
        <v>0</v>
      </c>
      <c r="Z30">
        <v>0</v>
      </c>
      <c r="AC30">
        <v>4994124</v>
      </c>
      <c r="AH30" t="s">
        <v>5</v>
      </c>
      <c r="AI30">
        <v>991355756</v>
      </c>
      <c r="AL30" t="s">
        <v>335</v>
      </c>
      <c r="AO30" t="s">
        <v>336</v>
      </c>
      <c r="AP30" t="s">
        <v>337</v>
      </c>
      <c r="AQ30" t="s">
        <v>338</v>
      </c>
      <c r="AR30" t="s">
        <v>283</v>
      </c>
      <c r="AS30" t="s">
        <v>339</v>
      </c>
      <c r="AT30" t="s">
        <v>141</v>
      </c>
      <c r="AU30" t="s">
        <v>96</v>
      </c>
      <c r="AZ30" t="s">
        <v>98</v>
      </c>
      <c r="BA30" t="s">
        <v>99</v>
      </c>
      <c r="BB30" t="s">
        <v>340</v>
      </c>
      <c r="BC30" t="s">
        <v>278</v>
      </c>
      <c r="BD30" t="s">
        <v>341</v>
      </c>
      <c r="BE30">
        <v>2016</v>
      </c>
      <c r="BF30">
        <v>2016</v>
      </c>
    </row>
    <row r="31" spans="1:58">
      <c r="A31">
        <v>1735638</v>
      </c>
      <c r="B31">
        <v>197</v>
      </c>
      <c r="D31">
        <v>4850702</v>
      </c>
      <c r="F31" t="s">
        <v>80</v>
      </c>
      <c r="G31" t="s">
        <v>81</v>
      </c>
      <c r="H31" t="s">
        <v>11</v>
      </c>
      <c r="I31" t="s">
        <v>11</v>
      </c>
      <c r="J31" t="s">
        <v>5</v>
      </c>
      <c r="K31" t="s">
        <v>83</v>
      </c>
      <c r="L31" s="3">
        <v>46180</v>
      </c>
      <c r="N31">
        <v>15656935</v>
      </c>
      <c r="O31">
        <v>6</v>
      </c>
      <c r="P31" t="s">
        <v>342</v>
      </c>
      <c r="R31">
        <v>347.26</v>
      </c>
      <c r="S31" s="3">
        <v>46023</v>
      </c>
      <c r="W31" t="s">
        <v>86</v>
      </c>
      <c r="X31" t="s">
        <v>87</v>
      </c>
      <c r="Y31">
        <v>0</v>
      </c>
      <c r="Z31">
        <v>0</v>
      </c>
      <c r="AC31">
        <v>4850702</v>
      </c>
      <c r="AE31" t="s">
        <v>248</v>
      </c>
      <c r="AF31" t="s">
        <v>80</v>
      </c>
      <c r="AH31" t="s">
        <v>5</v>
      </c>
      <c r="AI31">
        <v>9930097642</v>
      </c>
      <c r="AL31" t="s">
        <v>343</v>
      </c>
      <c r="AO31" t="s">
        <v>344</v>
      </c>
      <c r="AP31" t="s">
        <v>177</v>
      </c>
      <c r="AQ31" t="s">
        <v>178</v>
      </c>
      <c r="AR31" t="s">
        <v>345</v>
      </c>
      <c r="AS31" t="s">
        <v>346</v>
      </c>
      <c r="AT31" t="s">
        <v>141</v>
      </c>
      <c r="AU31" t="s">
        <v>96</v>
      </c>
      <c r="AZ31" t="s">
        <v>98</v>
      </c>
      <c r="BA31" t="s">
        <v>99</v>
      </c>
      <c r="BB31" t="s">
        <v>347</v>
      </c>
      <c r="BC31" t="s">
        <v>348</v>
      </c>
      <c r="BD31" t="s">
        <v>349</v>
      </c>
      <c r="BE31">
        <v>2015</v>
      </c>
      <c r="BF31">
        <v>2015</v>
      </c>
    </row>
    <row r="32" spans="1:58">
      <c r="A32">
        <v>1746743</v>
      </c>
      <c r="B32">
        <v>472</v>
      </c>
      <c r="D32">
        <v>4502714</v>
      </c>
      <c r="F32" t="s">
        <v>80</v>
      </c>
      <c r="G32" t="s">
        <v>81</v>
      </c>
      <c r="H32" t="s">
        <v>115</v>
      </c>
      <c r="I32" t="s">
        <v>115</v>
      </c>
      <c r="J32" t="s">
        <v>5</v>
      </c>
      <c r="K32" t="s">
        <v>83</v>
      </c>
      <c r="L32" s="3">
        <v>46180</v>
      </c>
      <c r="N32">
        <v>26896838</v>
      </c>
      <c r="O32">
        <v>5</v>
      </c>
      <c r="P32" t="s">
        <v>350</v>
      </c>
      <c r="R32">
        <v>197.00700000000001</v>
      </c>
      <c r="S32" s="3">
        <v>45661</v>
      </c>
      <c r="W32" t="s">
        <v>86</v>
      </c>
      <c r="X32" t="s">
        <v>87</v>
      </c>
      <c r="Y32">
        <v>0</v>
      </c>
      <c r="Z32">
        <v>0</v>
      </c>
      <c r="AC32">
        <v>4502714</v>
      </c>
      <c r="AH32" t="s">
        <v>5</v>
      </c>
      <c r="AI32">
        <v>9935804367</v>
      </c>
      <c r="AL32" t="s">
        <v>351</v>
      </c>
      <c r="AO32" t="s">
        <v>352</v>
      </c>
      <c r="AP32" t="s">
        <v>353</v>
      </c>
      <c r="AQ32" t="s">
        <v>92</v>
      </c>
      <c r="AR32" t="s">
        <v>121</v>
      </c>
      <c r="AS32" t="s">
        <v>354</v>
      </c>
      <c r="AT32" t="s">
        <v>122</v>
      </c>
      <c r="AU32" t="s">
        <v>96</v>
      </c>
      <c r="AZ32" t="s">
        <v>111</v>
      </c>
      <c r="BA32" t="s">
        <v>99</v>
      </c>
      <c r="BB32" t="s">
        <v>355</v>
      </c>
      <c r="BC32" t="s">
        <v>287</v>
      </c>
      <c r="BD32" t="s">
        <v>356</v>
      </c>
      <c r="BE32">
        <v>2022</v>
      </c>
      <c r="BF32">
        <v>2022</v>
      </c>
    </row>
    <row r="33" spans="1:58">
      <c r="A33">
        <v>1749842</v>
      </c>
      <c r="B33">
        <v>166</v>
      </c>
      <c r="D33">
        <v>4940063</v>
      </c>
      <c r="F33" t="s">
        <v>80</v>
      </c>
      <c r="G33" t="s">
        <v>81</v>
      </c>
      <c r="H33" t="s">
        <v>11</v>
      </c>
      <c r="I33" t="s">
        <v>11</v>
      </c>
      <c r="J33" t="s">
        <v>5</v>
      </c>
      <c r="K33" t="s">
        <v>83</v>
      </c>
      <c r="L33" s="3">
        <v>46180</v>
      </c>
      <c r="N33">
        <v>16823710</v>
      </c>
      <c r="O33">
        <v>3</v>
      </c>
      <c r="P33" t="s">
        <v>357</v>
      </c>
      <c r="R33">
        <v>380.19799999999998</v>
      </c>
      <c r="S33" s="3">
        <v>46024</v>
      </c>
      <c r="W33" t="s">
        <v>156</v>
      </c>
      <c r="X33" t="s">
        <v>87</v>
      </c>
      <c r="Y33">
        <v>0</v>
      </c>
      <c r="Z33">
        <v>0</v>
      </c>
      <c r="AC33">
        <v>4940063</v>
      </c>
      <c r="AH33" t="s">
        <v>5</v>
      </c>
      <c r="AI33">
        <v>981496520</v>
      </c>
      <c r="AL33" t="s">
        <v>358</v>
      </c>
      <c r="AO33" t="s">
        <v>359</v>
      </c>
      <c r="AP33" t="s">
        <v>177</v>
      </c>
      <c r="AQ33" t="s">
        <v>178</v>
      </c>
      <c r="AR33" t="s">
        <v>360</v>
      </c>
      <c r="AS33" t="s">
        <v>151</v>
      </c>
      <c r="AT33" t="s">
        <v>122</v>
      </c>
      <c r="AU33" t="s">
        <v>96</v>
      </c>
      <c r="AZ33" t="s">
        <v>111</v>
      </c>
      <c r="BA33" t="s">
        <v>99</v>
      </c>
      <c r="BB33" t="s">
        <v>361</v>
      </c>
      <c r="BC33" t="s">
        <v>164</v>
      </c>
      <c r="BD33" t="s">
        <v>317</v>
      </c>
      <c r="BE33">
        <v>2022</v>
      </c>
      <c r="BF33">
        <v>2022</v>
      </c>
    </row>
    <row r="34" spans="1:58">
      <c r="A34">
        <v>1752476</v>
      </c>
      <c r="B34">
        <v>411</v>
      </c>
      <c r="D34">
        <v>6198242</v>
      </c>
      <c r="F34" t="s">
        <v>80</v>
      </c>
      <c r="G34" t="s">
        <v>81</v>
      </c>
      <c r="H34" t="s">
        <v>115</v>
      </c>
      <c r="I34" t="s">
        <v>115</v>
      </c>
      <c r="J34" t="s">
        <v>5</v>
      </c>
      <c r="K34" t="s">
        <v>83</v>
      </c>
      <c r="L34" s="3">
        <v>46180</v>
      </c>
      <c r="N34">
        <v>18957719</v>
      </c>
      <c r="O34">
        <v>2</v>
      </c>
      <c r="P34" t="s">
        <v>362</v>
      </c>
      <c r="R34">
        <v>190.56200000000001</v>
      </c>
      <c r="S34" s="3">
        <v>45663</v>
      </c>
      <c r="W34" t="s">
        <v>86</v>
      </c>
      <c r="X34" t="s">
        <v>87</v>
      </c>
      <c r="Y34">
        <v>0</v>
      </c>
      <c r="Z34">
        <v>0</v>
      </c>
      <c r="AC34">
        <v>6198242</v>
      </c>
      <c r="AH34" t="s">
        <v>5</v>
      </c>
      <c r="AI34">
        <v>978819922</v>
      </c>
      <c r="AL34" t="s">
        <v>363</v>
      </c>
      <c r="AO34" t="s">
        <v>364</v>
      </c>
      <c r="AP34" t="s">
        <v>365</v>
      </c>
      <c r="AQ34" t="s">
        <v>149</v>
      </c>
      <c r="AR34" t="s">
        <v>366</v>
      </c>
      <c r="AS34" t="s">
        <v>367</v>
      </c>
      <c r="AT34" t="s">
        <v>122</v>
      </c>
      <c r="AU34" t="s">
        <v>96</v>
      </c>
      <c r="AZ34" t="s">
        <v>111</v>
      </c>
      <c r="BA34" t="s">
        <v>99</v>
      </c>
      <c r="BB34" t="s">
        <v>368</v>
      </c>
      <c r="BC34" t="s">
        <v>182</v>
      </c>
      <c r="BD34" t="s">
        <v>369</v>
      </c>
      <c r="BE34">
        <v>2022</v>
      </c>
      <c r="BF34">
        <v>2022</v>
      </c>
    </row>
    <row r="35" spans="1:58">
      <c r="A35">
        <v>1763682</v>
      </c>
      <c r="B35">
        <v>228</v>
      </c>
      <c r="D35">
        <v>6001534</v>
      </c>
      <c r="F35" t="s">
        <v>80</v>
      </c>
      <c r="G35" t="s">
        <v>81</v>
      </c>
      <c r="H35" t="s">
        <v>11</v>
      </c>
      <c r="I35" t="s">
        <v>11</v>
      </c>
      <c r="J35" t="s">
        <v>5</v>
      </c>
      <c r="K35" t="s">
        <v>83</v>
      </c>
      <c r="L35" s="3">
        <v>46180</v>
      </c>
      <c r="N35">
        <v>17941976</v>
      </c>
      <c r="O35">
        <v>9</v>
      </c>
      <c r="P35" t="s">
        <v>370</v>
      </c>
      <c r="R35">
        <v>401.78199999999998</v>
      </c>
      <c r="S35" s="3">
        <v>45669</v>
      </c>
      <c r="W35" t="s">
        <v>86</v>
      </c>
      <c r="X35" t="s">
        <v>87</v>
      </c>
      <c r="Y35">
        <v>0</v>
      </c>
      <c r="Z35">
        <v>0</v>
      </c>
      <c r="AC35">
        <v>6001534</v>
      </c>
      <c r="AH35" t="s">
        <v>5</v>
      </c>
      <c r="AI35">
        <v>965291697</v>
      </c>
      <c r="AL35" t="s">
        <v>371</v>
      </c>
      <c r="AO35" t="s">
        <v>372</v>
      </c>
      <c r="AP35" t="s">
        <v>119</v>
      </c>
      <c r="AQ35" t="s">
        <v>92</v>
      </c>
      <c r="AR35" t="s">
        <v>373</v>
      </c>
      <c r="AS35" t="s">
        <v>284</v>
      </c>
      <c r="AT35" t="s">
        <v>122</v>
      </c>
      <c r="AU35" t="s">
        <v>96</v>
      </c>
      <c r="AZ35" t="s">
        <v>111</v>
      </c>
      <c r="BA35" t="s">
        <v>99</v>
      </c>
      <c r="BB35" t="s">
        <v>374</v>
      </c>
      <c r="BC35" t="s">
        <v>375</v>
      </c>
      <c r="BD35" t="s">
        <v>376</v>
      </c>
      <c r="BE35">
        <v>2016</v>
      </c>
      <c r="BF35">
        <v>2016</v>
      </c>
    </row>
    <row r="36" spans="1:58">
      <c r="A36">
        <v>1769156</v>
      </c>
      <c r="B36">
        <v>472</v>
      </c>
      <c r="D36">
        <v>7241243</v>
      </c>
      <c r="F36" t="s">
        <v>80</v>
      </c>
      <c r="G36" t="s">
        <v>81</v>
      </c>
      <c r="H36" t="s">
        <v>115</v>
      </c>
      <c r="I36" t="s">
        <v>115</v>
      </c>
      <c r="J36" t="s">
        <v>5</v>
      </c>
      <c r="K36" t="s">
        <v>83</v>
      </c>
      <c r="L36" s="3">
        <v>46180</v>
      </c>
      <c r="N36">
        <v>7710884</v>
      </c>
      <c r="O36" t="s">
        <v>266</v>
      </c>
      <c r="P36" t="s">
        <v>377</v>
      </c>
      <c r="R36">
        <v>330.06900000000002</v>
      </c>
      <c r="S36" s="3">
        <v>45661</v>
      </c>
      <c r="W36" t="s">
        <v>86</v>
      </c>
      <c r="X36" t="s">
        <v>87</v>
      </c>
      <c r="Y36">
        <v>0</v>
      </c>
      <c r="Z36">
        <v>0</v>
      </c>
      <c r="AC36">
        <v>2765723</v>
      </c>
      <c r="AE36" t="s">
        <v>248</v>
      </c>
      <c r="AF36" t="s">
        <v>80</v>
      </c>
      <c r="AH36" t="s">
        <v>5</v>
      </c>
      <c r="AI36">
        <v>944758247</v>
      </c>
      <c r="AL36" t="s">
        <v>378</v>
      </c>
      <c r="AO36" t="s">
        <v>379</v>
      </c>
      <c r="AP36" t="s">
        <v>380</v>
      </c>
      <c r="AQ36" t="s">
        <v>381</v>
      </c>
      <c r="AR36" t="s">
        <v>236</v>
      </c>
      <c r="AS36" t="s">
        <v>382</v>
      </c>
      <c r="AT36" t="s">
        <v>141</v>
      </c>
      <c r="AU36" t="s">
        <v>285</v>
      </c>
      <c r="AZ36" t="s">
        <v>98</v>
      </c>
      <c r="BA36" t="s">
        <v>285</v>
      </c>
      <c r="BB36" t="s">
        <v>383</v>
      </c>
      <c r="BC36" t="s">
        <v>278</v>
      </c>
      <c r="BD36" t="s">
        <v>384</v>
      </c>
      <c r="BE36">
        <v>2014</v>
      </c>
      <c r="BF36">
        <v>2014</v>
      </c>
    </row>
    <row r="37" spans="1:58">
      <c r="A37">
        <v>1777539</v>
      </c>
      <c r="B37">
        <v>166</v>
      </c>
      <c r="D37">
        <v>9123246</v>
      </c>
      <c r="F37" t="s">
        <v>80</v>
      </c>
      <c r="G37" t="s">
        <v>81</v>
      </c>
      <c r="H37" t="s">
        <v>11</v>
      </c>
      <c r="I37" t="s">
        <v>11</v>
      </c>
      <c r="J37" t="s">
        <v>5</v>
      </c>
      <c r="K37" t="s">
        <v>83</v>
      </c>
      <c r="L37" s="3">
        <v>46180</v>
      </c>
      <c r="N37">
        <v>12002438</v>
      </c>
      <c r="O37">
        <v>8</v>
      </c>
      <c r="P37" t="s">
        <v>385</v>
      </c>
      <c r="R37">
        <v>375.18</v>
      </c>
      <c r="S37" s="3">
        <v>46024</v>
      </c>
      <c r="W37" t="s">
        <v>86</v>
      </c>
      <c r="X37" t="s">
        <v>87</v>
      </c>
      <c r="Y37">
        <v>0</v>
      </c>
      <c r="Z37">
        <v>0</v>
      </c>
      <c r="AC37">
        <v>9123246</v>
      </c>
      <c r="AH37" t="s">
        <v>5</v>
      </c>
      <c r="AI37">
        <v>56995083890</v>
      </c>
      <c r="AL37" t="s">
        <v>386</v>
      </c>
      <c r="AO37" t="s">
        <v>387</v>
      </c>
      <c r="AQ37" t="s">
        <v>322</v>
      </c>
      <c r="AR37" t="s">
        <v>197</v>
      </c>
      <c r="AS37" t="s">
        <v>388</v>
      </c>
      <c r="AT37" t="s">
        <v>141</v>
      </c>
      <c r="AU37" t="s">
        <v>96</v>
      </c>
      <c r="AZ37" t="s">
        <v>98</v>
      </c>
      <c r="BA37" t="s">
        <v>99</v>
      </c>
      <c r="BB37" t="s">
        <v>389</v>
      </c>
      <c r="BC37" t="s">
        <v>390</v>
      </c>
      <c r="BD37" t="s">
        <v>391</v>
      </c>
      <c r="BE37">
        <v>2019</v>
      </c>
      <c r="BF37">
        <v>2019</v>
      </c>
    </row>
    <row r="38" spans="1:58">
      <c r="A38">
        <v>1782538</v>
      </c>
      <c r="B38">
        <v>350</v>
      </c>
      <c r="D38">
        <v>5247436</v>
      </c>
      <c r="F38" t="s">
        <v>80</v>
      </c>
      <c r="G38" t="s">
        <v>81</v>
      </c>
      <c r="H38" t="s">
        <v>11</v>
      </c>
      <c r="I38" t="s">
        <v>11</v>
      </c>
      <c r="J38" t="s">
        <v>5</v>
      </c>
      <c r="K38" t="s">
        <v>83</v>
      </c>
      <c r="L38" s="3">
        <v>46180</v>
      </c>
      <c r="N38">
        <v>16174268</v>
      </c>
      <c r="O38">
        <v>6</v>
      </c>
      <c r="P38" t="s">
        <v>392</v>
      </c>
      <c r="R38">
        <v>258.197</v>
      </c>
      <c r="S38" s="3">
        <v>45665</v>
      </c>
      <c r="W38" t="s">
        <v>86</v>
      </c>
      <c r="X38" t="s">
        <v>87</v>
      </c>
      <c r="Y38">
        <v>0</v>
      </c>
      <c r="Z38">
        <v>0</v>
      </c>
      <c r="AC38">
        <v>5247436</v>
      </c>
      <c r="AH38" t="s">
        <v>5</v>
      </c>
      <c r="AI38">
        <v>953673166</v>
      </c>
      <c r="AL38" t="s">
        <v>393</v>
      </c>
      <c r="AO38" t="s">
        <v>394</v>
      </c>
      <c r="AQ38" t="s">
        <v>92</v>
      </c>
      <c r="AR38" t="s">
        <v>395</v>
      </c>
      <c r="AS38" t="s">
        <v>396</v>
      </c>
      <c r="AT38" t="s">
        <v>122</v>
      </c>
      <c r="AU38" t="s">
        <v>96</v>
      </c>
      <c r="AZ38" t="s">
        <v>111</v>
      </c>
      <c r="BA38" t="s">
        <v>99</v>
      </c>
      <c r="BB38" t="s">
        <v>397</v>
      </c>
      <c r="BC38" t="s">
        <v>113</v>
      </c>
      <c r="BD38" t="s">
        <v>398</v>
      </c>
      <c r="BE38">
        <v>2019</v>
      </c>
      <c r="BF38">
        <v>2019</v>
      </c>
    </row>
    <row r="39" spans="1:58">
      <c r="A39">
        <v>1783098</v>
      </c>
      <c r="B39">
        <v>411</v>
      </c>
      <c r="D39">
        <v>5978132</v>
      </c>
      <c r="F39" t="s">
        <v>80</v>
      </c>
      <c r="G39" t="s">
        <v>81</v>
      </c>
      <c r="H39" t="s">
        <v>115</v>
      </c>
      <c r="I39" t="s">
        <v>115</v>
      </c>
      <c r="J39" t="s">
        <v>5</v>
      </c>
      <c r="K39" t="s">
        <v>83</v>
      </c>
      <c r="L39" s="3">
        <v>46180</v>
      </c>
      <c r="N39">
        <v>15642246</v>
      </c>
      <c r="O39">
        <v>0</v>
      </c>
      <c r="P39" t="s">
        <v>399</v>
      </c>
      <c r="R39">
        <v>272.81900000000002</v>
      </c>
      <c r="S39" s="3">
        <v>45663</v>
      </c>
      <c r="W39" t="s">
        <v>86</v>
      </c>
      <c r="Y39">
        <v>0</v>
      </c>
      <c r="Z39">
        <v>0</v>
      </c>
      <c r="AC39">
        <v>2471892</v>
      </c>
      <c r="AH39" t="s">
        <v>5</v>
      </c>
      <c r="AI39">
        <v>958355504</v>
      </c>
      <c r="AL39" t="s">
        <v>400</v>
      </c>
      <c r="AO39" t="s">
        <v>401</v>
      </c>
      <c r="AP39" t="s">
        <v>330</v>
      </c>
      <c r="AQ39" t="s">
        <v>92</v>
      </c>
      <c r="AR39" t="s">
        <v>180</v>
      </c>
      <c r="AS39" t="s">
        <v>402</v>
      </c>
      <c r="AT39" t="s">
        <v>244</v>
      </c>
      <c r="AU39" t="s">
        <v>96</v>
      </c>
      <c r="AZ39" t="s">
        <v>111</v>
      </c>
      <c r="BA39" t="s">
        <v>99</v>
      </c>
      <c r="BB39" t="s">
        <v>403</v>
      </c>
      <c r="BC39" t="s">
        <v>164</v>
      </c>
      <c r="BD39" t="s">
        <v>404</v>
      </c>
      <c r="BE39">
        <v>2017</v>
      </c>
      <c r="BF39">
        <v>2017</v>
      </c>
    </row>
    <row r="40" spans="1:58">
      <c r="A40">
        <v>1791083</v>
      </c>
      <c r="B40">
        <v>503</v>
      </c>
      <c r="D40">
        <v>7569433</v>
      </c>
      <c r="F40" t="s">
        <v>80</v>
      </c>
      <c r="G40" t="s">
        <v>81</v>
      </c>
      <c r="H40" t="s">
        <v>115</v>
      </c>
      <c r="I40" t="s">
        <v>115</v>
      </c>
      <c r="J40" t="s">
        <v>5</v>
      </c>
      <c r="K40" t="s">
        <v>83</v>
      </c>
      <c r="L40" s="3">
        <v>46180</v>
      </c>
      <c r="N40">
        <v>15236244</v>
      </c>
      <c r="O40">
        <v>7</v>
      </c>
      <c r="P40" t="s">
        <v>405</v>
      </c>
      <c r="R40">
        <v>322.35500000000002</v>
      </c>
      <c r="S40" s="3">
        <v>45660</v>
      </c>
      <c r="W40" t="s">
        <v>86</v>
      </c>
      <c r="X40" t="s">
        <v>87</v>
      </c>
      <c r="Y40">
        <v>0</v>
      </c>
      <c r="Z40">
        <v>0</v>
      </c>
      <c r="AC40">
        <v>5474529</v>
      </c>
      <c r="AE40" t="s">
        <v>248</v>
      </c>
      <c r="AF40" t="s">
        <v>80</v>
      </c>
      <c r="AH40" t="s">
        <v>5</v>
      </c>
      <c r="AI40">
        <v>968259519</v>
      </c>
      <c r="AL40" t="s">
        <v>406</v>
      </c>
      <c r="AO40" t="s">
        <v>407</v>
      </c>
      <c r="AP40" t="s">
        <v>408</v>
      </c>
      <c r="AQ40" t="s">
        <v>92</v>
      </c>
      <c r="AR40" t="s">
        <v>151</v>
      </c>
      <c r="AS40" t="s">
        <v>409</v>
      </c>
      <c r="AT40" t="s">
        <v>122</v>
      </c>
      <c r="AU40" t="s">
        <v>285</v>
      </c>
      <c r="AW40" t="s">
        <v>410</v>
      </c>
      <c r="AX40" t="s">
        <v>248</v>
      </c>
      <c r="AY40" t="s">
        <v>220</v>
      </c>
      <c r="AZ40" t="s">
        <v>111</v>
      </c>
      <c r="BA40" t="s">
        <v>285</v>
      </c>
      <c r="BB40" t="s">
        <v>411</v>
      </c>
      <c r="BC40" t="s">
        <v>412</v>
      </c>
      <c r="BD40" t="s">
        <v>413</v>
      </c>
      <c r="BE40">
        <v>2022</v>
      </c>
      <c r="BF40">
        <v>2022</v>
      </c>
    </row>
    <row r="41" spans="1:58">
      <c r="A41">
        <v>1797742</v>
      </c>
      <c r="B41">
        <v>442</v>
      </c>
      <c r="D41">
        <v>6783925</v>
      </c>
      <c r="F41" t="s">
        <v>80</v>
      </c>
      <c r="G41" t="s">
        <v>81</v>
      </c>
      <c r="H41" t="s">
        <v>115</v>
      </c>
      <c r="I41" t="s">
        <v>115</v>
      </c>
      <c r="J41" t="s">
        <v>5</v>
      </c>
      <c r="K41" t="s">
        <v>83</v>
      </c>
      <c r="L41" s="3">
        <v>46180</v>
      </c>
      <c r="N41">
        <v>9082995</v>
      </c>
      <c r="O41">
        <v>5</v>
      </c>
      <c r="P41" t="s">
        <v>414</v>
      </c>
      <c r="R41">
        <v>310.22000000000003</v>
      </c>
      <c r="S41" s="3">
        <v>45662</v>
      </c>
      <c r="W41" t="s">
        <v>86</v>
      </c>
      <c r="X41" t="s">
        <v>87</v>
      </c>
      <c r="Y41">
        <v>0</v>
      </c>
      <c r="Z41">
        <v>0</v>
      </c>
      <c r="AC41">
        <v>6783925</v>
      </c>
      <c r="AH41" t="s">
        <v>5</v>
      </c>
      <c r="AI41">
        <v>959935957</v>
      </c>
      <c r="AL41" t="s">
        <v>415</v>
      </c>
      <c r="AO41" t="s">
        <v>416</v>
      </c>
      <c r="AP41" t="s">
        <v>417</v>
      </c>
      <c r="AQ41" t="s">
        <v>160</v>
      </c>
      <c r="AR41" t="s">
        <v>418</v>
      </c>
      <c r="AS41" t="s">
        <v>419</v>
      </c>
      <c r="AT41" t="s">
        <v>141</v>
      </c>
      <c r="AU41" t="s">
        <v>96</v>
      </c>
      <c r="AZ41" t="s">
        <v>98</v>
      </c>
      <c r="BA41" t="s">
        <v>99</v>
      </c>
      <c r="BB41" t="s">
        <v>420</v>
      </c>
      <c r="BC41" t="s">
        <v>421</v>
      </c>
      <c r="BD41" t="s">
        <v>422</v>
      </c>
      <c r="BE41">
        <v>2022</v>
      </c>
      <c r="BF41">
        <v>2022</v>
      </c>
    </row>
    <row r="42" spans="1:58">
      <c r="A42">
        <v>1811663</v>
      </c>
      <c r="B42">
        <v>350</v>
      </c>
      <c r="D42">
        <v>8662240</v>
      </c>
      <c r="F42" t="s">
        <v>80</v>
      </c>
      <c r="G42" t="s">
        <v>81</v>
      </c>
      <c r="H42" t="s">
        <v>11</v>
      </c>
      <c r="I42" t="s">
        <v>11</v>
      </c>
      <c r="J42" t="s">
        <v>5</v>
      </c>
      <c r="K42" t="s">
        <v>83</v>
      </c>
      <c r="L42" s="3">
        <v>46180</v>
      </c>
      <c r="N42">
        <v>26030033</v>
      </c>
      <c r="O42">
        <v>4</v>
      </c>
      <c r="P42" t="s">
        <v>423</v>
      </c>
      <c r="R42">
        <v>285.38200000000001</v>
      </c>
      <c r="S42" s="3">
        <v>45665</v>
      </c>
      <c r="W42" t="s">
        <v>86</v>
      </c>
      <c r="X42" t="s">
        <v>87</v>
      </c>
      <c r="Y42">
        <v>0</v>
      </c>
      <c r="Z42">
        <v>0</v>
      </c>
      <c r="AC42">
        <v>8662240</v>
      </c>
      <c r="AH42" t="s">
        <v>5</v>
      </c>
      <c r="AI42">
        <v>950665878</v>
      </c>
      <c r="AL42" t="s">
        <v>424</v>
      </c>
      <c r="AO42" t="s">
        <v>425</v>
      </c>
      <c r="AP42" t="s">
        <v>426</v>
      </c>
      <c r="AQ42" t="s">
        <v>92</v>
      </c>
      <c r="AR42" t="s">
        <v>427</v>
      </c>
      <c r="AS42" t="s">
        <v>243</v>
      </c>
      <c r="AT42" t="s">
        <v>122</v>
      </c>
      <c r="AU42" t="s">
        <v>96</v>
      </c>
      <c r="AZ42" t="s">
        <v>111</v>
      </c>
      <c r="BA42" t="s">
        <v>99</v>
      </c>
      <c r="BB42" t="s">
        <v>428</v>
      </c>
      <c r="BC42" t="s">
        <v>278</v>
      </c>
      <c r="BD42" t="s">
        <v>429</v>
      </c>
      <c r="BE42">
        <v>2022</v>
      </c>
      <c r="BF42">
        <v>2022</v>
      </c>
    </row>
    <row r="43" spans="1:58">
      <c r="A43">
        <v>1811675</v>
      </c>
      <c r="B43">
        <v>381</v>
      </c>
      <c r="D43">
        <v>7827655</v>
      </c>
      <c r="F43" t="s">
        <v>80</v>
      </c>
      <c r="G43" t="s">
        <v>81</v>
      </c>
      <c r="H43" t="s">
        <v>115</v>
      </c>
      <c r="I43" t="s">
        <v>115</v>
      </c>
      <c r="J43" t="s">
        <v>5</v>
      </c>
      <c r="K43" t="s">
        <v>83</v>
      </c>
      <c r="L43" s="3">
        <v>46180</v>
      </c>
      <c r="N43">
        <v>16347411</v>
      </c>
      <c r="O43">
        <v>5</v>
      </c>
      <c r="P43" t="s">
        <v>430</v>
      </c>
      <c r="R43">
        <v>263.90600000000001</v>
      </c>
      <c r="S43" s="3">
        <v>45664</v>
      </c>
      <c r="W43" t="s">
        <v>86</v>
      </c>
      <c r="Y43">
        <v>0</v>
      </c>
      <c r="Z43">
        <v>0</v>
      </c>
      <c r="AC43">
        <v>4052835</v>
      </c>
      <c r="AH43" t="s">
        <v>5</v>
      </c>
      <c r="AI43">
        <v>986990937</v>
      </c>
      <c r="AL43" t="s">
        <v>431</v>
      </c>
      <c r="AO43" t="s">
        <v>432</v>
      </c>
      <c r="AP43" t="s">
        <v>433</v>
      </c>
      <c r="AQ43" t="s">
        <v>434</v>
      </c>
      <c r="AR43" t="s">
        <v>235</v>
      </c>
      <c r="AS43" t="s">
        <v>396</v>
      </c>
      <c r="AT43" t="s">
        <v>244</v>
      </c>
      <c r="AU43" t="s">
        <v>96</v>
      </c>
      <c r="AZ43" t="s">
        <v>111</v>
      </c>
      <c r="BA43" t="s">
        <v>99</v>
      </c>
      <c r="BB43" t="s">
        <v>435</v>
      </c>
      <c r="BC43" t="s">
        <v>230</v>
      </c>
      <c r="BD43" t="s">
        <v>436</v>
      </c>
      <c r="BE43">
        <v>2022</v>
      </c>
      <c r="BF43">
        <v>2022</v>
      </c>
    </row>
    <row r="44" spans="1:58">
      <c r="A44">
        <v>1813320</v>
      </c>
      <c r="B44">
        <v>166</v>
      </c>
      <c r="D44">
        <v>5190592</v>
      </c>
      <c r="F44" t="s">
        <v>80</v>
      </c>
      <c r="G44" t="s">
        <v>81</v>
      </c>
      <c r="H44" t="s">
        <v>11</v>
      </c>
      <c r="I44" t="s">
        <v>11</v>
      </c>
      <c r="J44" t="s">
        <v>5</v>
      </c>
      <c r="K44" t="s">
        <v>83</v>
      </c>
      <c r="L44" s="3">
        <v>46180</v>
      </c>
      <c r="N44">
        <v>12699843</v>
      </c>
      <c r="O44">
        <v>0</v>
      </c>
      <c r="P44" t="s">
        <v>437</v>
      </c>
      <c r="R44">
        <v>348.44400000000002</v>
      </c>
      <c r="S44" s="3">
        <v>46024</v>
      </c>
      <c r="W44" t="s">
        <v>86</v>
      </c>
      <c r="X44" t="s">
        <v>87</v>
      </c>
      <c r="Y44">
        <v>0</v>
      </c>
      <c r="Z44">
        <v>0</v>
      </c>
      <c r="AC44">
        <v>5190592</v>
      </c>
      <c r="AH44" t="s">
        <v>5</v>
      </c>
      <c r="AI44">
        <v>972660024</v>
      </c>
      <c r="AL44" t="s">
        <v>438</v>
      </c>
      <c r="AO44" t="s">
        <v>439</v>
      </c>
      <c r="AP44" t="s">
        <v>440</v>
      </c>
      <c r="AQ44" t="s">
        <v>149</v>
      </c>
      <c r="AR44" t="s">
        <v>284</v>
      </c>
      <c r="AS44" t="s">
        <v>441</v>
      </c>
      <c r="AT44" t="s">
        <v>122</v>
      </c>
      <c r="AU44" t="s">
        <v>96</v>
      </c>
      <c r="AZ44" t="s">
        <v>111</v>
      </c>
      <c r="BA44" t="s">
        <v>99</v>
      </c>
      <c r="BB44" t="s">
        <v>442</v>
      </c>
      <c r="BC44" t="s">
        <v>182</v>
      </c>
      <c r="BD44" t="s">
        <v>443</v>
      </c>
      <c r="BE44">
        <v>2022</v>
      </c>
      <c r="BF44">
        <v>2022</v>
      </c>
    </row>
    <row r="45" spans="1:58">
      <c r="A45">
        <v>1819340</v>
      </c>
      <c r="B45">
        <v>289</v>
      </c>
      <c r="D45">
        <v>13794259</v>
      </c>
      <c r="F45" t="s">
        <v>80</v>
      </c>
      <c r="G45" t="s">
        <v>81</v>
      </c>
      <c r="H45" t="s">
        <v>11</v>
      </c>
      <c r="I45" t="s">
        <v>11</v>
      </c>
      <c r="J45" t="s">
        <v>5</v>
      </c>
      <c r="K45" t="s">
        <v>83</v>
      </c>
      <c r="L45" s="3">
        <v>46180</v>
      </c>
      <c r="N45">
        <v>16520746</v>
      </c>
      <c r="O45">
        <v>7</v>
      </c>
      <c r="P45" t="s">
        <v>444</v>
      </c>
      <c r="R45">
        <v>439.56299999999999</v>
      </c>
      <c r="S45" s="3">
        <v>45667</v>
      </c>
      <c r="W45" t="s">
        <v>86</v>
      </c>
      <c r="X45" t="s">
        <v>87</v>
      </c>
      <c r="Y45">
        <v>0</v>
      </c>
      <c r="Z45">
        <v>0</v>
      </c>
      <c r="AC45">
        <v>13794259</v>
      </c>
      <c r="AH45" t="s">
        <v>5</v>
      </c>
      <c r="AI45">
        <v>56967693054</v>
      </c>
      <c r="AL45" t="s">
        <v>445</v>
      </c>
      <c r="AO45" t="s">
        <v>446</v>
      </c>
      <c r="AP45" t="s">
        <v>447</v>
      </c>
      <c r="AQ45" t="s">
        <v>92</v>
      </c>
      <c r="AR45" t="s">
        <v>448</v>
      </c>
      <c r="AS45" t="s">
        <v>449</v>
      </c>
      <c r="AT45" t="s">
        <v>122</v>
      </c>
      <c r="AU45" t="s">
        <v>96</v>
      </c>
      <c r="AZ45" t="s">
        <v>111</v>
      </c>
      <c r="BA45" t="s">
        <v>99</v>
      </c>
      <c r="BB45" t="s">
        <v>450</v>
      </c>
      <c r="BC45" t="s">
        <v>348</v>
      </c>
      <c r="BD45" t="s">
        <v>451</v>
      </c>
      <c r="BE45">
        <v>2022</v>
      </c>
      <c r="BF45">
        <v>2022</v>
      </c>
    </row>
    <row r="46" spans="1:58">
      <c r="A46">
        <v>1830966</v>
      </c>
      <c r="B46">
        <v>228</v>
      </c>
      <c r="D46">
        <v>3845322</v>
      </c>
      <c r="F46" t="s">
        <v>80</v>
      </c>
      <c r="G46" t="s">
        <v>81</v>
      </c>
      <c r="H46" t="s">
        <v>11</v>
      </c>
      <c r="I46" t="s">
        <v>11</v>
      </c>
      <c r="J46" t="s">
        <v>5</v>
      </c>
      <c r="K46" t="s">
        <v>83</v>
      </c>
      <c r="L46" s="3">
        <v>46180</v>
      </c>
      <c r="N46">
        <v>18790483</v>
      </c>
      <c r="O46">
        <v>8</v>
      </c>
      <c r="P46" t="s">
        <v>452</v>
      </c>
      <c r="R46">
        <v>229.36699999999999</v>
      </c>
      <c r="S46" s="3">
        <v>45669</v>
      </c>
      <c r="W46" t="s">
        <v>86</v>
      </c>
      <c r="Y46">
        <v>0</v>
      </c>
      <c r="Z46">
        <v>0</v>
      </c>
      <c r="AC46">
        <v>3845322</v>
      </c>
      <c r="AH46" t="s">
        <v>5</v>
      </c>
      <c r="AI46">
        <v>973758127</v>
      </c>
      <c r="AL46" t="s">
        <v>453</v>
      </c>
      <c r="AO46" t="s">
        <v>454</v>
      </c>
      <c r="AP46" t="s">
        <v>433</v>
      </c>
      <c r="AQ46" t="s">
        <v>434</v>
      </c>
      <c r="AR46" t="s">
        <v>455</v>
      </c>
      <c r="AS46" t="s">
        <v>456</v>
      </c>
      <c r="AT46" t="s">
        <v>244</v>
      </c>
      <c r="AU46" t="s">
        <v>96</v>
      </c>
      <c r="AZ46" t="s">
        <v>111</v>
      </c>
      <c r="BA46" t="s">
        <v>99</v>
      </c>
      <c r="BB46" t="s">
        <v>457</v>
      </c>
      <c r="BC46" t="s">
        <v>113</v>
      </c>
      <c r="BD46" t="s">
        <v>114</v>
      </c>
      <c r="BE46">
        <v>2015</v>
      </c>
      <c r="BF46">
        <v>2015</v>
      </c>
    </row>
    <row r="47" spans="1:58">
      <c r="A47">
        <v>1836390</v>
      </c>
      <c r="B47">
        <v>77</v>
      </c>
      <c r="D47">
        <v>4910610</v>
      </c>
      <c r="F47" t="s">
        <v>80</v>
      </c>
      <c r="G47" t="s">
        <v>81</v>
      </c>
      <c r="H47" t="s">
        <v>11</v>
      </c>
      <c r="I47" t="s">
        <v>11</v>
      </c>
      <c r="J47" t="s">
        <v>5</v>
      </c>
      <c r="K47" t="s">
        <v>83</v>
      </c>
      <c r="L47" s="3">
        <v>46180</v>
      </c>
      <c r="M47" t="s">
        <v>193</v>
      </c>
      <c r="N47">
        <v>17608529</v>
      </c>
      <c r="O47">
        <v>0</v>
      </c>
      <c r="P47" t="s">
        <v>458</v>
      </c>
      <c r="R47">
        <v>244.58099999999999</v>
      </c>
      <c r="S47" s="3">
        <v>46027</v>
      </c>
      <c r="W47" t="s">
        <v>86</v>
      </c>
      <c r="X47" t="s">
        <v>87</v>
      </c>
      <c r="Y47">
        <v>0</v>
      </c>
      <c r="Z47">
        <v>0</v>
      </c>
      <c r="AC47">
        <v>4910610</v>
      </c>
      <c r="AH47" t="s">
        <v>5</v>
      </c>
      <c r="AI47">
        <v>996418216</v>
      </c>
      <c r="AL47" t="s">
        <v>459</v>
      </c>
      <c r="AO47" t="s">
        <v>460</v>
      </c>
      <c r="AP47" t="s">
        <v>330</v>
      </c>
      <c r="AQ47" t="s">
        <v>92</v>
      </c>
      <c r="AR47" t="s">
        <v>461</v>
      </c>
      <c r="AS47" t="s">
        <v>418</v>
      </c>
      <c r="AT47" t="s">
        <v>122</v>
      </c>
      <c r="AU47" t="s">
        <v>96</v>
      </c>
      <c r="AZ47" t="s">
        <v>111</v>
      </c>
      <c r="BA47" t="s">
        <v>99</v>
      </c>
      <c r="BB47" t="s">
        <v>462</v>
      </c>
      <c r="BC47" t="s">
        <v>153</v>
      </c>
      <c r="BD47" t="s">
        <v>463</v>
      </c>
      <c r="BE47">
        <v>2019</v>
      </c>
      <c r="BF47">
        <v>2019</v>
      </c>
    </row>
    <row r="48" spans="1:58">
      <c r="A48">
        <v>1859462</v>
      </c>
      <c r="B48">
        <v>411</v>
      </c>
      <c r="D48">
        <v>5987860</v>
      </c>
      <c r="F48" t="s">
        <v>80</v>
      </c>
      <c r="G48" t="s">
        <v>81</v>
      </c>
      <c r="H48" t="s">
        <v>115</v>
      </c>
      <c r="I48" t="s">
        <v>115</v>
      </c>
      <c r="J48" t="s">
        <v>5</v>
      </c>
      <c r="K48" t="s">
        <v>83</v>
      </c>
      <c r="L48" s="3">
        <v>46180</v>
      </c>
      <c r="N48">
        <v>8253225</v>
      </c>
      <c r="O48">
        <v>0</v>
      </c>
      <c r="P48" t="s">
        <v>464</v>
      </c>
      <c r="R48">
        <v>271.57600000000002</v>
      </c>
      <c r="S48" s="3">
        <v>45663</v>
      </c>
      <c r="W48" t="s">
        <v>86</v>
      </c>
      <c r="X48" t="s">
        <v>87</v>
      </c>
      <c r="Y48">
        <v>0</v>
      </c>
      <c r="Z48">
        <v>0</v>
      </c>
      <c r="AC48">
        <v>5987860</v>
      </c>
      <c r="AH48" t="s">
        <v>5</v>
      </c>
      <c r="AI48">
        <v>976093422</v>
      </c>
      <c r="AL48" t="s">
        <v>465</v>
      </c>
      <c r="AO48" t="s">
        <v>466</v>
      </c>
      <c r="AP48" t="s">
        <v>337</v>
      </c>
      <c r="AQ48" t="s">
        <v>338</v>
      </c>
      <c r="AR48" t="s">
        <v>139</v>
      </c>
      <c r="AS48" t="s">
        <v>271</v>
      </c>
      <c r="AT48" t="s">
        <v>141</v>
      </c>
      <c r="AU48" t="s">
        <v>96</v>
      </c>
      <c r="AZ48" t="s">
        <v>98</v>
      </c>
      <c r="BA48" t="s">
        <v>99</v>
      </c>
      <c r="BB48" t="s">
        <v>467</v>
      </c>
      <c r="BC48" t="s">
        <v>468</v>
      </c>
      <c r="BD48" t="s">
        <v>469</v>
      </c>
      <c r="BE48">
        <v>2022</v>
      </c>
      <c r="BF48">
        <v>2022</v>
      </c>
    </row>
    <row r="49" spans="1:58">
      <c r="A49">
        <v>1865019</v>
      </c>
      <c r="B49">
        <v>289</v>
      </c>
      <c r="D49">
        <v>6723725</v>
      </c>
      <c r="F49" t="s">
        <v>80</v>
      </c>
      <c r="G49" t="s">
        <v>81</v>
      </c>
      <c r="H49" t="s">
        <v>11</v>
      </c>
      <c r="I49" t="s">
        <v>11</v>
      </c>
      <c r="J49" t="s">
        <v>5</v>
      </c>
      <c r="K49" t="s">
        <v>83</v>
      </c>
      <c r="L49" s="3">
        <v>46180</v>
      </c>
      <c r="N49">
        <v>25013996</v>
      </c>
      <c r="O49">
        <v>9</v>
      </c>
      <c r="P49" t="s">
        <v>470</v>
      </c>
      <c r="R49">
        <v>292.36900000000003</v>
      </c>
      <c r="S49" s="3">
        <v>45667</v>
      </c>
      <c r="W49" t="s">
        <v>86</v>
      </c>
      <c r="X49" t="s">
        <v>87</v>
      </c>
      <c r="Y49">
        <v>0</v>
      </c>
      <c r="Z49">
        <v>0</v>
      </c>
      <c r="AC49">
        <v>6723725</v>
      </c>
      <c r="AH49" t="s">
        <v>5</v>
      </c>
      <c r="AI49">
        <v>988545434</v>
      </c>
      <c r="AL49" t="s">
        <v>471</v>
      </c>
      <c r="AO49" t="s">
        <v>472</v>
      </c>
      <c r="AP49" t="s">
        <v>433</v>
      </c>
      <c r="AQ49" t="s">
        <v>434</v>
      </c>
      <c r="AR49" t="s">
        <v>473</v>
      </c>
      <c r="AS49" t="s">
        <v>339</v>
      </c>
      <c r="AT49" t="s">
        <v>122</v>
      </c>
      <c r="AU49" t="s">
        <v>96</v>
      </c>
      <c r="AZ49" t="s">
        <v>111</v>
      </c>
      <c r="BA49" t="s">
        <v>99</v>
      </c>
      <c r="BB49" t="s">
        <v>474</v>
      </c>
      <c r="BC49" t="s">
        <v>475</v>
      </c>
      <c r="BD49" t="s">
        <v>476</v>
      </c>
      <c r="BE49">
        <v>2022</v>
      </c>
      <c r="BF49">
        <v>2022</v>
      </c>
    </row>
    <row r="50" spans="1:58">
      <c r="A50">
        <v>1867963</v>
      </c>
      <c r="B50">
        <v>350</v>
      </c>
      <c r="D50">
        <v>15022221</v>
      </c>
      <c r="F50" t="s">
        <v>80</v>
      </c>
      <c r="G50" t="s">
        <v>81</v>
      </c>
      <c r="H50" t="s">
        <v>11</v>
      </c>
      <c r="I50" t="s">
        <v>11</v>
      </c>
      <c r="J50" t="s">
        <v>5</v>
      </c>
      <c r="K50" t="s">
        <v>83</v>
      </c>
      <c r="L50" s="3">
        <v>46180</v>
      </c>
      <c r="N50">
        <v>10631400</v>
      </c>
      <c r="O50">
        <v>4</v>
      </c>
      <c r="P50" t="s">
        <v>477</v>
      </c>
      <c r="R50">
        <v>425.13600000000002</v>
      </c>
      <c r="S50" s="3">
        <v>45665</v>
      </c>
      <c r="W50" t="s">
        <v>86</v>
      </c>
      <c r="X50" t="s">
        <v>87</v>
      </c>
      <c r="Y50">
        <v>0</v>
      </c>
      <c r="Z50">
        <v>0</v>
      </c>
      <c r="AC50">
        <v>15022221</v>
      </c>
      <c r="AH50" t="s">
        <v>5</v>
      </c>
      <c r="AI50">
        <v>993012461</v>
      </c>
      <c r="AL50" t="s">
        <v>478</v>
      </c>
      <c r="AM50" t="s">
        <v>479</v>
      </c>
      <c r="AO50" t="s">
        <v>480</v>
      </c>
      <c r="AP50" t="s">
        <v>481</v>
      </c>
      <c r="AQ50" t="s">
        <v>188</v>
      </c>
      <c r="AR50" t="s">
        <v>482</v>
      </c>
      <c r="AS50" t="s">
        <v>131</v>
      </c>
      <c r="AT50" t="s">
        <v>122</v>
      </c>
      <c r="AU50" t="s">
        <v>96</v>
      </c>
      <c r="AZ50" t="s">
        <v>111</v>
      </c>
      <c r="BA50" t="s">
        <v>99</v>
      </c>
      <c r="BB50" t="s">
        <v>483</v>
      </c>
      <c r="BC50" t="s">
        <v>475</v>
      </c>
      <c r="BD50" t="s">
        <v>484</v>
      </c>
      <c r="BE50">
        <v>2022</v>
      </c>
      <c r="BF50">
        <v>2022</v>
      </c>
    </row>
    <row r="51" spans="1:58">
      <c r="A51">
        <v>1882519</v>
      </c>
      <c r="B51">
        <v>197</v>
      </c>
      <c r="D51">
        <v>5542324</v>
      </c>
      <c r="F51" t="s">
        <v>80</v>
      </c>
      <c r="G51" t="s">
        <v>81</v>
      </c>
      <c r="H51" t="s">
        <v>11</v>
      </c>
      <c r="I51" t="s">
        <v>11</v>
      </c>
      <c r="J51" t="s">
        <v>5</v>
      </c>
      <c r="K51" t="s">
        <v>83</v>
      </c>
      <c r="L51" s="3">
        <v>46180</v>
      </c>
      <c r="N51">
        <v>17624476</v>
      </c>
      <c r="O51">
        <v>3</v>
      </c>
      <c r="P51" t="s">
        <v>485</v>
      </c>
      <c r="R51">
        <v>330.64100000000002</v>
      </c>
      <c r="S51" s="3">
        <v>46023</v>
      </c>
      <c r="W51" t="s">
        <v>86</v>
      </c>
      <c r="Y51">
        <v>0</v>
      </c>
      <c r="Z51">
        <v>0</v>
      </c>
      <c r="AC51">
        <v>1959984</v>
      </c>
      <c r="AH51" t="s">
        <v>5</v>
      </c>
      <c r="AI51">
        <v>964720331</v>
      </c>
      <c r="AL51" t="s">
        <v>486</v>
      </c>
      <c r="AO51" t="s">
        <v>487</v>
      </c>
      <c r="AP51" t="s">
        <v>488</v>
      </c>
      <c r="AQ51" t="s">
        <v>92</v>
      </c>
      <c r="AR51" t="s">
        <v>489</v>
      </c>
      <c r="AS51" t="s">
        <v>367</v>
      </c>
      <c r="AT51" t="s">
        <v>244</v>
      </c>
      <c r="AU51" t="s">
        <v>96</v>
      </c>
      <c r="AZ51" t="s">
        <v>111</v>
      </c>
      <c r="BA51" t="s">
        <v>99</v>
      </c>
      <c r="BB51" t="s">
        <v>490</v>
      </c>
      <c r="BC51" t="s">
        <v>230</v>
      </c>
      <c r="BD51" t="s">
        <v>491</v>
      </c>
      <c r="BE51">
        <v>2020</v>
      </c>
      <c r="BF51">
        <v>2020</v>
      </c>
    </row>
    <row r="52" spans="1:58">
      <c r="A52">
        <v>1891178</v>
      </c>
      <c r="B52">
        <v>258</v>
      </c>
      <c r="D52">
        <v>6382600</v>
      </c>
      <c r="F52" t="s">
        <v>80</v>
      </c>
      <c r="G52" t="s">
        <v>81</v>
      </c>
      <c r="H52" t="s">
        <v>11</v>
      </c>
      <c r="I52" t="s">
        <v>11</v>
      </c>
      <c r="J52" t="s">
        <v>5</v>
      </c>
      <c r="K52" t="s">
        <v>83</v>
      </c>
      <c r="L52" s="3">
        <v>46180</v>
      </c>
      <c r="N52">
        <v>26313552</v>
      </c>
      <c r="O52">
        <v>0</v>
      </c>
      <c r="P52" t="s">
        <v>492</v>
      </c>
      <c r="R52">
        <v>301.10000000000002</v>
      </c>
      <c r="S52" s="3">
        <v>45668</v>
      </c>
      <c r="W52" t="s">
        <v>86</v>
      </c>
      <c r="X52" t="s">
        <v>87</v>
      </c>
      <c r="Y52">
        <v>0</v>
      </c>
      <c r="Z52">
        <v>0</v>
      </c>
      <c r="AC52">
        <v>6382600</v>
      </c>
      <c r="AE52" t="s">
        <v>248</v>
      </c>
      <c r="AF52" t="s">
        <v>80</v>
      </c>
      <c r="AH52" t="s">
        <v>5</v>
      </c>
      <c r="AI52">
        <v>979125999</v>
      </c>
      <c r="AL52" t="s">
        <v>493</v>
      </c>
      <c r="AO52" t="s">
        <v>494</v>
      </c>
      <c r="AQ52" t="s">
        <v>92</v>
      </c>
      <c r="AR52" t="s">
        <v>495</v>
      </c>
      <c r="AS52" t="s">
        <v>228</v>
      </c>
      <c r="AT52" t="s">
        <v>122</v>
      </c>
      <c r="AU52" t="s">
        <v>96</v>
      </c>
      <c r="AZ52" t="s">
        <v>111</v>
      </c>
      <c r="BA52" t="s">
        <v>99</v>
      </c>
      <c r="BB52" t="s">
        <v>496</v>
      </c>
      <c r="BC52" t="s">
        <v>287</v>
      </c>
      <c r="BD52" t="s">
        <v>497</v>
      </c>
      <c r="BE52">
        <v>2022</v>
      </c>
      <c r="BF52">
        <v>2022</v>
      </c>
    </row>
    <row r="53" spans="1:58">
      <c r="A53">
        <v>1895109</v>
      </c>
      <c r="B53">
        <v>350</v>
      </c>
      <c r="D53">
        <v>9670566</v>
      </c>
      <c r="F53" t="s">
        <v>80</v>
      </c>
      <c r="G53" t="s">
        <v>81</v>
      </c>
      <c r="H53" t="s">
        <v>11</v>
      </c>
      <c r="I53" t="s">
        <v>11</v>
      </c>
      <c r="J53" t="s">
        <v>5</v>
      </c>
      <c r="K53" t="s">
        <v>83</v>
      </c>
      <c r="L53" s="3">
        <v>46180</v>
      </c>
      <c r="N53">
        <v>15074249</v>
      </c>
      <c r="O53">
        <v>8</v>
      </c>
      <c r="P53" t="s">
        <v>498</v>
      </c>
      <c r="R53">
        <v>367.05700000000002</v>
      </c>
      <c r="S53" s="3">
        <v>45665</v>
      </c>
      <c r="W53" t="s">
        <v>156</v>
      </c>
      <c r="Y53">
        <v>0</v>
      </c>
      <c r="Z53">
        <v>0</v>
      </c>
      <c r="AC53">
        <v>9670566</v>
      </c>
      <c r="AH53" t="s">
        <v>5</v>
      </c>
      <c r="AI53">
        <v>993897867</v>
      </c>
      <c r="AL53" t="s">
        <v>499</v>
      </c>
      <c r="AO53" t="s">
        <v>500</v>
      </c>
      <c r="AP53" t="s">
        <v>501</v>
      </c>
      <c r="AQ53" t="s">
        <v>188</v>
      </c>
      <c r="AR53" t="s">
        <v>502</v>
      </c>
      <c r="AS53" t="s">
        <v>396</v>
      </c>
      <c r="AT53" t="s">
        <v>503</v>
      </c>
      <c r="AU53" t="s">
        <v>96</v>
      </c>
      <c r="AZ53" t="s">
        <v>111</v>
      </c>
      <c r="BA53" t="s">
        <v>99</v>
      </c>
      <c r="BB53" t="s">
        <v>504</v>
      </c>
      <c r="BC53" t="s">
        <v>164</v>
      </c>
      <c r="BD53" t="s">
        <v>505</v>
      </c>
      <c r="BE53">
        <v>2022</v>
      </c>
      <c r="BF53">
        <v>2022</v>
      </c>
    </row>
    <row r="54" spans="1:58">
      <c r="A54">
        <v>1906037</v>
      </c>
      <c r="B54">
        <v>411</v>
      </c>
      <c r="D54">
        <v>11820205</v>
      </c>
      <c r="F54" t="s">
        <v>80</v>
      </c>
      <c r="G54" t="s">
        <v>81</v>
      </c>
      <c r="H54" t="s">
        <v>115</v>
      </c>
      <c r="I54" t="s">
        <v>115</v>
      </c>
      <c r="J54" t="s">
        <v>5</v>
      </c>
      <c r="K54" t="s">
        <v>83</v>
      </c>
      <c r="L54" s="3">
        <v>46180</v>
      </c>
      <c r="N54">
        <v>17989439</v>
      </c>
      <c r="O54">
        <v>4</v>
      </c>
      <c r="P54" t="s">
        <v>506</v>
      </c>
      <c r="R54">
        <v>469.79300000000001</v>
      </c>
      <c r="S54" s="3">
        <v>45663</v>
      </c>
      <c r="W54" t="s">
        <v>156</v>
      </c>
      <c r="X54" t="s">
        <v>87</v>
      </c>
      <c r="Y54">
        <v>0</v>
      </c>
      <c r="Z54">
        <v>0</v>
      </c>
      <c r="AC54">
        <v>11820205</v>
      </c>
      <c r="AH54" t="s">
        <v>5</v>
      </c>
      <c r="AI54">
        <v>944348344</v>
      </c>
      <c r="AL54" t="s">
        <v>507</v>
      </c>
      <c r="AO54" t="s">
        <v>508</v>
      </c>
      <c r="AP54" t="s">
        <v>509</v>
      </c>
      <c r="AQ54" t="s">
        <v>338</v>
      </c>
      <c r="AR54" t="s">
        <v>510</v>
      </c>
      <c r="AS54" t="s">
        <v>511</v>
      </c>
      <c r="AT54" t="s">
        <v>141</v>
      </c>
      <c r="AU54" t="s">
        <v>96</v>
      </c>
      <c r="AZ54" t="s">
        <v>98</v>
      </c>
      <c r="BA54" t="s">
        <v>99</v>
      </c>
      <c r="BB54" t="s">
        <v>512</v>
      </c>
      <c r="BC54" t="s">
        <v>164</v>
      </c>
      <c r="BD54" t="s">
        <v>513</v>
      </c>
      <c r="BE54">
        <v>2022</v>
      </c>
      <c r="BF54">
        <v>2022</v>
      </c>
    </row>
    <row r="55" spans="1:58">
      <c r="A55">
        <v>1923591</v>
      </c>
      <c r="B55">
        <v>350</v>
      </c>
      <c r="D55">
        <v>11082144</v>
      </c>
      <c r="F55" t="s">
        <v>80</v>
      </c>
      <c r="G55" t="s">
        <v>81</v>
      </c>
      <c r="H55" t="s">
        <v>11</v>
      </c>
      <c r="I55" t="s">
        <v>11</v>
      </c>
      <c r="J55" t="s">
        <v>5</v>
      </c>
      <c r="K55" t="s">
        <v>83</v>
      </c>
      <c r="L55" s="3">
        <v>46180</v>
      </c>
      <c r="N55">
        <v>16647012</v>
      </c>
      <c r="O55">
        <v>9</v>
      </c>
      <c r="P55" t="s">
        <v>514</v>
      </c>
      <c r="R55">
        <v>375.73500000000001</v>
      </c>
      <c r="S55" s="3">
        <v>45665</v>
      </c>
      <c r="W55" t="s">
        <v>86</v>
      </c>
      <c r="X55" t="s">
        <v>87</v>
      </c>
      <c r="Y55">
        <v>0</v>
      </c>
      <c r="Z55">
        <v>0</v>
      </c>
      <c r="AC55">
        <v>7544089</v>
      </c>
      <c r="AE55" t="s">
        <v>248</v>
      </c>
      <c r="AF55" t="s">
        <v>80</v>
      </c>
      <c r="AH55" t="s">
        <v>5</v>
      </c>
      <c r="AI55">
        <v>977915708</v>
      </c>
      <c r="AL55" t="s">
        <v>515</v>
      </c>
      <c r="AO55" t="s">
        <v>516</v>
      </c>
      <c r="AP55" t="s">
        <v>517</v>
      </c>
      <c r="AQ55" t="s">
        <v>92</v>
      </c>
      <c r="AR55" t="s">
        <v>518</v>
      </c>
      <c r="AS55" t="s">
        <v>339</v>
      </c>
      <c r="AT55" t="s">
        <v>141</v>
      </c>
      <c r="AU55" t="s">
        <v>285</v>
      </c>
      <c r="AW55" t="s">
        <v>410</v>
      </c>
      <c r="AX55" t="s">
        <v>248</v>
      </c>
      <c r="AY55" t="s">
        <v>519</v>
      </c>
      <c r="AZ55" t="s">
        <v>98</v>
      </c>
      <c r="BA55" t="s">
        <v>285</v>
      </c>
      <c r="BB55" t="s">
        <v>520</v>
      </c>
      <c r="BC55" t="s">
        <v>200</v>
      </c>
      <c r="BD55" t="s">
        <v>521</v>
      </c>
      <c r="BE55">
        <v>2022</v>
      </c>
      <c r="BF55">
        <v>2022</v>
      </c>
    </row>
    <row r="56" spans="1:58">
      <c r="A56">
        <v>1966918</v>
      </c>
      <c r="B56">
        <v>77</v>
      </c>
      <c r="D56">
        <v>6520106</v>
      </c>
      <c r="F56" t="s">
        <v>80</v>
      </c>
      <c r="G56" t="s">
        <v>81</v>
      </c>
      <c r="H56" t="s">
        <v>11</v>
      </c>
      <c r="I56" t="s">
        <v>11</v>
      </c>
      <c r="J56" t="s">
        <v>5</v>
      </c>
      <c r="K56" t="s">
        <v>83</v>
      </c>
      <c r="L56" s="3">
        <v>46180</v>
      </c>
      <c r="M56" t="s">
        <v>193</v>
      </c>
      <c r="N56">
        <v>15167058</v>
      </c>
      <c r="O56" t="s">
        <v>266</v>
      </c>
      <c r="P56" t="s">
        <v>522</v>
      </c>
      <c r="R56">
        <v>437.35399999999998</v>
      </c>
      <c r="S56" s="3">
        <v>46027</v>
      </c>
      <c r="W56" t="s">
        <v>156</v>
      </c>
      <c r="X56" t="s">
        <v>87</v>
      </c>
      <c r="Y56">
        <v>0</v>
      </c>
      <c r="Z56">
        <v>0</v>
      </c>
      <c r="AC56">
        <v>5020106</v>
      </c>
      <c r="AE56" t="s">
        <v>248</v>
      </c>
      <c r="AF56" t="s">
        <v>80</v>
      </c>
      <c r="AH56" t="s">
        <v>5</v>
      </c>
      <c r="AI56">
        <v>995151597</v>
      </c>
      <c r="AL56" t="s">
        <v>523</v>
      </c>
      <c r="AO56" t="s">
        <v>524</v>
      </c>
      <c r="AP56" t="s">
        <v>525</v>
      </c>
      <c r="AQ56" t="s">
        <v>149</v>
      </c>
      <c r="AR56" t="s">
        <v>526</v>
      </c>
      <c r="AS56" t="s">
        <v>418</v>
      </c>
      <c r="AT56" t="s">
        <v>122</v>
      </c>
      <c r="AU56" t="s">
        <v>527</v>
      </c>
      <c r="AW56" t="s">
        <v>410</v>
      </c>
      <c r="AX56" t="s">
        <v>248</v>
      </c>
      <c r="AY56" t="s">
        <v>519</v>
      </c>
      <c r="AZ56" t="s">
        <v>111</v>
      </c>
      <c r="BA56" t="s">
        <v>285</v>
      </c>
      <c r="BB56" t="s">
        <v>528</v>
      </c>
      <c r="BC56" t="s">
        <v>164</v>
      </c>
      <c r="BD56" t="s">
        <v>529</v>
      </c>
      <c r="BE56">
        <v>2022</v>
      </c>
      <c r="BF56">
        <v>2022</v>
      </c>
    </row>
    <row r="57" spans="1:58">
      <c r="A57">
        <v>1983306</v>
      </c>
      <c r="B57">
        <v>350</v>
      </c>
      <c r="D57">
        <v>11020924</v>
      </c>
      <c r="F57" t="s">
        <v>80</v>
      </c>
      <c r="G57" t="s">
        <v>81</v>
      </c>
      <c r="H57" t="s">
        <v>11</v>
      </c>
      <c r="I57" t="s">
        <v>11</v>
      </c>
      <c r="J57" t="s">
        <v>5</v>
      </c>
      <c r="K57" t="s">
        <v>83</v>
      </c>
      <c r="L57" s="3">
        <v>46180</v>
      </c>
      <c r="N57">
        <v>11421231</v>
      </c>
      <c r="O57">
        <v>8</v>
      </c>
      <c r="P57" t="s">
        <v>530</v>
      </c>
      <c r="R57">
        <v>483.24900000000002</v>
      </c>
      <c r="S57" s="3">
        <v>45665</v>
      </c>
      <c r="W57" t="s">
        <v>86</v>
      </c>
      <c r="Y57">
        <v>0</v>
      </c>
      <c r="Z57">
        <v>0</v>
      </c>
      <c r="AC57">
        <v>8583549</v>
      </c>
      <c r="AH57" t="s">
        <v>5</v>
      </c>
      <c r="AI57">
        <v>965349720</v>
      </c>
      <c r="AL57" t="s">
        <v>531</v>
      </c>
      <c r="AO57" t="s">
        <v>532</v>
      </c>
      <c r="AP57" t="s">
        <v>533</v>
      </c>
      <c r="AQ57" t="s">
        <v>534</v>
      </c>
      <c r="AR57" t="s">
        <v>535</v>
      </c>
      <c r="AS57" t="s">
        <v>346</v>
      </c>
      <c r="AT57" t="s">
        <v>244</v>
      </c>
      <c r="AU57" t="s">
        <v>96</v>
      </c>
      <c r="AZ57" t="s">
        <v>111</v>
      </c>
      <c r="BA57" t="s">
        <v>99</v>
      </c>
      <c r="BB57" t="s">
        <v>536</v>
      </c>
      <c r="BC57" t="s">
        <v>309</v>
      </c>
      <c r="BD57" t="s">
        <v>537</v>
      </c>
      <c r="BE57">
        <v>2022</v>
      </c>
      <c r="BF57">
        <v>2022</v>
      </c>
    </row>
    <row r="58" spans="1:58">
      <c r="A58">
        <v>1987553</v>
      </c>
      <c r="B58">
        <v>381</v>
      </c>
      <c r="D58">
        <v>10554087</v>
      </c>
      <c r="F58" t="s">
        <v>80</v>
      </c>
      <c r="G58" t="s">
        <v>81</v>
      </c>
      <c r="H58" t="s">
        <v>115</v>
      </c>
      <c r="I58" t="s">
        <v>115</v>
      </c>
      <c r="J58" t="s">
        <v>5</v>
      </c>
      <c r="K58" t="s">
        <v>83</v>
      </c>
      <c r="L58" s="3">
        <v>46180</v>
      </c>
      <c r="N58">
        <v>15242687</v>
      </c>
      <c r="O58">
        <v>9</v>
      </c>
      <c r="P58" t="s">
        <v>538</v>
      </c>
      <c r="R58">
        <v>317.14</v>
      </c>
      <c r="S58" s="3">
        <v>45664</v>
      </c>
      <c r="W58" t="s">
        <v>86</v>
      </c>
      <c r="X58" t="s">
        <v>87</v>
      </c>
      <c r="Y58">
        <v>0</v>
      </c>
      <c r="Z58">
        <v>0</v>
      </c>
      <c r="AC58">
        <v>5917478</v>
      </c>
      <c r="AE58" t="s">
        <v>248</v>
      </c>
      <c r="AF58" t="s">
        <v>80</v>
      </c>
      <c r="AH58" t="s">
        <v>5</v>
      </c>
      <c r="AI58">
        <v>975171907</v>
      </c>
      <c r="AL58" t="s">
        <v>539</v>
      </c>
      <c r="AO58" t="s">
        <v>540</v>
      </c>
      <c r="AP58" t="s">
        <v>541</v>
      </c>
      <c r="AQ58" t="s">
        <v>188</v>
      </c>
      <c r="AR58" t="s">
        <v>198</v>
      </c>
      <c r="AS58" t="s">
        <v>542</v>
      </c>
      <c r="AT58" t="s">
        <v>141</v>
      </c>
      <c r="AU58" t="s">
        <v>285</v>
      </c>
      <c r="AZ58" t="s">
        <v>98</v>
      </c>
      <c r="BA58" t="s">
        <v>285</v>
      </c>
      <c r="BB58" t="s">
        <v>543</v>
      </c>
      <c r="BC58" t="s">
        <v>133</v>
      </c>
      <c r="BD58" t="s">
        <v>544</v>
      </c>
      <c r="BE58">
        <v>2022</v>
      </c>
      <c r="BF58">
        <v>2022</v>
      </c>
    </row>
    <row r="59" spans="1:58">
      <c r="A59">
        <v>1993999</v>
      </c>
      <c r="B59">
        <v>472</v>
      </c>
      <c r="D59">
        <v>6480797</v>
      </c>
      <c r="F59" t="s">
        <v>80</v>
      </c>
      <c r="G59" t="s">
        <v>81</v>
      </c>
      <c r="H59" t="s">
        <v>115</v>
      </c>
      <c r="I59" t="s">
        <v>115</v>
      </c>
      <c r="J59" t="s">
        <v>5</v>
      </c>
      <c r="K59" t="s">
        <v>83</v>
      </c>
      <c r="L59" s="3">
        <v>46180</v>
      </c>
      <c r="N59">
        <v>26689839</v>
      </c>
      <c r="O59">
        <v>8</v>
      </c>
      <c r="P59" t="s">
        <v>545</v>
      </c>
      <c r="R59">
        <v>256.56099999999998</v>
      </c>
      <c r="S59" s="3">
        <v>45661</v>
      </c>
      <c r="W59" t="s">
        <v>86</v>
      </c>
      <c r="X59" t="s">
        <v>87</v>
      </c>
      <c r="Y59">
        <v>0</v>
      </c>
      <c r="Z59">
        <v>0</v>
      </c>
      <c r="AC59">
        <v>6480797</v>
      </c>
      <c r="AH59" t="s">
        <v>5</v>
      </c>
      <c r="AI59">
        <v>5694292242</v>
      </c>
      <c r="AL59" t="s">
        <v>546</v>
      </c>
      <c r="AO59" t="s">
        <v>547</v>
      </c>
      <c r="AP59" t="s">
        <v>119</v>
      </c>
      <c r="AQ59" t="s">
        <v>92</v>
      </c>
      <c r="AR59" t="s">
        <v>162</v>
      </c>
      <c r="AS59" t="s">
        <v>548</v>
      </c>
      <c r="AT59" t="s">
        <v>141</v>
      </c>
      <c r="AU59" t="s">
        <v>96</v>
      </c>
      <c r="AZ59" t="s">
        <v>98</v>
      </c>
      <c r="BA59" t="s">
        <v>99</v>
      </c>
      <c r="BB59" t="s">
        <v>549</v>
      </c>
      <c r="BC59" t="s">
        <v>550</v>
      </c>
      <c r="BD59" t="s">
        <v>551</v>
      </c>
      <c r="BE59">
        <v>2019</v>
      </c>
      <c r="BF59">
        <v>2019</v>
      </c>
    </row>
    <row r="60" spans="1:58">
      <c r="A60">
        <v>1996495</v>
      </c>
      <c r="B60">
        <v>411</v>
      </c>
      <c r="D60">
        <v>16285403</v>
      </c>
      <c r="F60" t="s">
        <v>80</v>
      </c>
      <c r="G60" t="s">
        <v>81</v>
      </c>
      <c r="H60" t="s">
        <v>115</v>
      </c>
      <c r="I60" t="s">
        <v>115</v>
      </c>
      <c r="J60" t="s">
        <v>5</v>
      </c>
      <c r="K60" t="s">
        <v>83</v>
      </c>
      <c r="L60" s="3">
        <v>46180</v>
      </c>
      <c r="N60">
        <v>16552478</v>
      </c>
      <c r="O60">
        <v>0</v>
      </c>
      <c r="P60" t="s">
        <v>552</v>
      </c>
      <c r="R60">
        <v>659.35400000000004</v>
      </c>
      <c r="S60" s="3">
        <v>45663</v>
      </c>
      <c r="W60" t="s">
        <v>86</v>
      </c>
      <c r="X60" t="s">
        <v>87</v>
      </c>
      <c r="Y60">
        <v>0</v>
      </c>
      <c r="Z60">
        <v>0</v>
      </c>
      <c r="AC60">
        <v>16285403</v>
      </c>
      <c r="AH60" t="s">
        <v>5</v>
      </c>
      <c r="AI60">
        <v>56936737903</v>
      </c>
      <c r="AL60" t="s">
        <v>553</v>
      </c>
      <c r="AO60" t="s">
        <v>554</v>
      </c>
      <c r="AP60" t="s">
        <v>555</v>
      </c>
      <c r="AQ60" t="s">
        <v>188</v>
      </c>
      <c r="AR60" t="s">
        <v>120</v>
      </c>
      <c r="AS60" t="s">
        <v>556</v>
      </c>
      <c r="AT60" t="s">
        <v>122</v>
      </c>
      <c r="AU60" t="s">
        <v>96</v>
      </c>
      <c r="AZ60" t="s">
        <v>111</v>
      </c>
      <c r="BA60" t="s">
        <v>99</v>
      </c>
      <c r="BB60" t="s">
        <v>557</v>
      </c>
      <c r="BC60" t="s">
        <v>200</v>
      </c>
      <c r="BD60" t="s">
        <v>558</v>
      </c>
      <c r="BE60">
        <v>2022</v>
      </c>
      <c r="BF60">
        <v>2022</v>
      </c>
    </row>
    <row r="61" spans="1:58">
      <c r="A61">
        <v>1999968</v>
      </c>
      <c r="B61">
        <v>381</v>
      </c>
      <c r="D61">
        <v>10385444</v>
      </c>
      <c r="F61" t="s">
        <v>80</v>
      </c>
      <c r="G61" t="s">
        <v>81</v>
      </c>
      <c r="H61" t="s">
        <v>115</v>
      </c>
      <c r="I61" t="s">
        <v>115</v>
      </c>
      <c r="J61" t="s">
        <v>5</v>
      </c>
      <c r="K61" t="s">
        <v>83</v>
      </c>
      <c r="L61" s="3">
        <v>46180</v>
      </c>
      <c r="N61">
        <v>25179124</v>
      </c>
      <c r="O61">
        <v>4</v>
      </c>
      <c r="P61" t="s">
        <v>559</v>
      </c>
      <c r="R61">
        <v>353.01400000000001</v>
      </c>
      <c r="S61" s="3">
        <v>45664</v>
      </c>
      <c r="W61" t="s">
        <v>86</v>
      </c>
      <c r="Y61">
        <v>0</v>
      </c>
      <c r="Z61">
        <v>0</v>
      </c>
      <c r="AC61">
        <v>5635994</v>
      </c>
      <c r="AH61" t="s">
        <v>5</v>
      </c>
      <c r="AQ61" t="s">
        <v>92</v>
      </c>
      <c r="AR61" t="s">
        <v>560</v>
      </c>
      <c r="AS61" t="s">
        <v>561</v>
      </c>
      <c r="AT61" t="s">
        <v>110</v>
      </c>
      <c r="AU61" t="s">
        <v>96</v>
      </c>
      <c r="AZ61" t="s">
        <v>111</v>
      </c>
      <c r="BA61" t="s">
        <v>221</v>
      </c>
      <c r="BC61" t="s">
        <v>562</v>
      </c>
      <c r="BD61" t="s">
        <v>562</v>
      </c>
      <c r="BE61">
        <v>0</v>
      </c>
      <c r="BF61">
        <v>0</v>
      </c>
    </row>
    <row r="62" spans="1:58">
      <c r="A62">
        <v>2003648</v>
      </c>
      <c r="B62">
        <v>442</v>
      </c>
      <c r="D62">
        <v>8935639</v>
      </c>
      <c r="F62" t="s">
        <v>80</v>
      </c>
      <c r="G62" t="s">
        <v>81</v>
      </c>
      <c r="H62" t="s">
        <v>115</v>
      </c>
      <c r="I62" t="s">
        <v>115</v>
      </c>
      <c r="J62" t="s">
        <v>5</v>
      </c>
      <c r="K62" t="s">
        <v>83</v>
      </c>
      <c r="L62" s="3">
        <v>46180</v>
      </c>
      <c r="N62">
        <v>16148240</v>
      </c>
      <c r="O62">
        <v>4</v>
      </c>
      <c r="P62" t="s">
        <v>563</v>
      </c>
      <c r="R62">
        <v>291.08100000000002</v>
      </c>
      <c r="S62" s="3">
        <v>45662</v>
      </c>
      <c r="W62" t="s">
        <v>86</v>
      </c>
      <c r="Y62">
        <v>0</v>
      </c>
      <c r="Z62">
        <v>0</v>
      </c>
      <c r="AC62">
        <v>4386861</v>
      </c>
      <c r="AH62" t="s">
        <v>5</v>
      </c>
      <c r="AI62">
        <v>999138721</v>
      </c>
      <c r="AL62" t="s">
        <v>564</v>
      </c>
      <c r="AO62" t="s">
        <v>565</v>
      </c>
      <c r="AP62" t="s">
        <v>566</v>
      </c>
      <c r="AQ62" t="s">
        <v>92</v>
      </c>
      <c r="AR62" t="s">
        <v>396</v>
      </c>
      <c r="AS62" t="s">
        <v>567</v>
      </c>
      <c r="AT62" t="s">
        <v>110</v>
      </c>
      <c r="AU62" t="s">
        <v>96</v>
      </c>
      <c r="AZ62" t="s">
        <v>111</v>
      </c>
      <c r="BA62" t="s">
        <v>221</v>
      </c>
      <c r="BB62" t="s">
        <v>568</v>
      </c>
      <c r="BC62" t="s">
        <v>182</v>
      </c>
      <c r="BD62" t="s">
        <v>569</v>
      </c>
      <c r="BE62">
        <v>2022</v>
      </c>
      <c r="BF62">
        <v>2022</v>
      </c>
    </row>
    <row r="63" spans="1:58">
      <c r="A63">
        <v>2005901</v>
      </c>
      <c r="B63">
        <v>350</v>
      </c>
      <c r="D63">
        <v>7052588</v>
      </c>
      <c r="F63" t="s">
        <v>80</v>
      </c>
      <c r="G63" t="s">
        <v>81</v>
      </c>
      <c r="H63" t="s">
        <v>11</v>
      </c>
      <c r="I63" t="s">
        <v>11</v>
      </c>
      <c r="J63" t="s">
        <v>5</v>
      </c>
      <c r="K63" t="s">
        <v>83</v>
      </c>
      <c r="L63" s="3">
        <v>46180</v>
      </c>
      <c r="N63">
        <v>76929091</v>
      </c>
      <c r="O63">
        <v>5</v>
      </c>
      <c r="P63" t="s">
        <v>570</v>
      </c>
      <c r="R63">
        <v>587.71600000000001</v>
      </c>
      <c r="S63" s="3">
        <v>45665</v>
      </c>
      <c r="W63" t="s">
        <v>86</v>
      </c>
      <c r="X63" t="s">
        <v>87</v>
      </c>
      <c r="Y63">
        <v>0</v>
      </c>
      <c r="Z63">
        <v>0</v>
      </c>
      <c r="AC63">
        <v>7052588</v>
      </c>
      <c r="AH63" t="s">
        <v>5</v>
      </c>
      <c r="AI63">
        <v>958351240</v>
      </c>
      <c r="AL63" t="s">
        <v>571</v>
      </c>
      <c r="AO63" t="s">
        <v>572</v>
      </c>
      <c r="AP63" t="s">
        <v>433</v>
      </c>
      <c r="AQ63" t="s">
        <v>434</v>
      </c>
      <c r="AR63" t="s">
        <v>573</v>
      </c>
      <c r="AS63" t="s">
        <v>217</v>
      </c>
      <c r="AT63" t="s">
        <v>141</v>
      </c>
      <c r="AU63" t="s">
        <v>96</v>
      </c>
      <c r="AZ63" t="s">
        <v>98</v>
      </c>
      <c r="BA63" t="s">
        <v>99</v>
      </c>
      <c r="BB63" t="s">
        <v>574</v>
      </c>
      <c r="BC63" t="s">
        <v>348</v>
      </c>
      <c r="BD63" t="s">
        <v>575</v>
      </c>
      <c r="BE63">
        <v>2017</v>
      </c>
      <c r="BF63">
        <v>2017</v>
      </c>
    </row>
    <row r="64" spans="1:58">
      <c r="A64">
        <v>2013176</v>
      </c>
      <c r="B64">
        <v>1</v>
      </c>
      <c r="D64">
        <v>8209795</v>
      </c>
      <c r="F64" t="s">
        <v>80</v>
      </c>
      <c r="G64" t="s">
        <v>81</v>
      </c>
      <c r="H64" t="s">
        <v>11</v>
      </c>
      <c r="I64" t="s">
        <v>11</v>
      </c>
      <c r="J64" t="s">
        <v>5</v>
      </c>
      <c r="K64" t="s">
        <v>83</v>
      </c>
      <c r="L64" s="3">
        <v>46180</v>
      </c>
      <c r="M64" t="s">
        <v>193</v>
      </c>
      <c r="N64">
        <v>12229234</v>
      </c>
      <c r="O64">
        <v>7</v>
      </c>
      <c r="P64" t="s">
        <v>576</v>
      </c>
      <c r="R64">
        <v>287.73500000000001</v>
      </c>
      <c r="S64" s="3">
        <v>46028</v>
      </c>
      <c r="W64" t="s">
        <v>86</v>
      </c>
      <c r="Y64">
        <v>0</v>
      </c>
      <c r="Z64">
        <v>0</v>
      </c>
      <c r="AC64">
        <v>8209795</v>
      </c>
      <c r="AH64" t="s">
        <v>5</v>
      </c>
      <c r="AI64">
        <v>949956384</v>
      </c>
      <c r="AL64" t="s">
        <v>577</v>
      </c>
      <c r="AO64" t="s">
        <v>578</v>
      </c>
      <c r="AP64" t="s">
        <v>579</v>
      </c>
      <c r="AQ64" t="s">
        <v>188</v>
      </c>
      <c r="AR64" t="s">
        <v>580</v>
      </c>
      <c r="AS64" t="s">
        <v>556</v>
      </c>
      <c r="AT64" t="s">
        <v>141</v>
      </c>
      <c r="AU64" t="s">
        <v>96</v>
      </c>
      <c r="AZ64" t="s">
        <v>98</v>
      </c>
      <c r="BA64" t="s">
        <v>99</v>
      </c>
      <c r="BB64" t="s">
        <v>581</v>
      </c>
      <c r="BC64" t="s">
        <v>182</v>
      </c>
      <c r="BD64" t="s">
        <v>582</v>
      </c>
      <c r="BE64">
        <v>2022</v>
      </c>
      <c r="BF64">
        <v>2022</v>
      </c>
    </row>
    <row r="65" spans="1:58">
      <c r="A65">
        <v>2031096</v>
      </c>
      <c r="B65">
        <v>197</v>
      </c>
      <c r="D65">
        <v>7340602</v>
      </c>
      <c r="F65" t="s">
        <v>80</v>
      </c>
      <c r="G65" t="s">
        <v>81</v>
      </c>
      <c r="H65" t="s">
        <v>11</v>
      </c>
      <c r="I65" t="s">
        <v>11</v>
      </c>
      <c r="J65" t="s">
        <v>5</v>
      </c>
      <c r="K65" t="s">
        <v>83</v>
      </c>
      <c r="L65" s="3">
        <v>46180</v>
      </c>
      <c r="N65">
        <v>12135832</v>
      </c>
      <c r="O65">
        <v>8</v>
      </c>
      <c r="P65" t="s">
        <v>583</v>
      </c>
      <c r="R65">
        <v>255.69800000000001</v>
      </c>
      <c r="S65" s="3">
        <v>46023</v>
      </c>
      <c r="W65" t="s">
        <v>86</v>
      </c>
      <c r="X65" t="s">
        <v>87</v>
      </c>
      <c r="Y65">
        <v>0</v>
      </c>
      <c r="Z65">
        <v>0</v>
      </c>
      <c r="AC65">
        <v>7340602</v>
      </c>
      <c r="AH65" t="s">
        <v>5</v>
      </c>
      <c r="AI65">
        <v>9978206577</v>
      </c>
      <c r="AL65" t="s">
        <v>584</v>
      </c>
      <c r="AO65" t="s">
        <v>585</v>
      </c>
      <c r="AP65" t="s">
        <v>586</v>
      </c>
      <c r="AQ65" t="s">
        <v>92</v>
      </c>
      <c r="AR65" t="s">
        <v>587</v>
      </c>
      <c r="AS65" t="s">
        <v>367</v>
      </c>
      <c r="AT65" t="s">
        <v>141</v>
      </c>
      <c r="AU65" t="s">
        <v>96</v>
      </c>
      <c r="AZ65" t="s">
        <v>98</v>
      </c>
      <c r="BA65" t="s">
        <v>99</v>
      </c>
      <c r="BB65" t="s">
        <v>588</v>
      </c>
      <c r="BC65" t="s">
        <v>200</v>
      </c>
      <c r="BD65" t="s">
        <v>589</v>
      </c>
      <c r="BE65">
        <v>2022</v>
      </c>
      <c r="BF65">
        <v>2022</v>
      </c>
    </row>
    <row r="66" spans="1:58">
      <c r="A66">
        <v>2041907</v>
      </c>
      <c r="B66">
        <v>411</v>
      </c>
      <c r="D66">
        <v>8500246</v>
      </c>
      <c r="F66" t="s">
        <v>80</v>
      </c>
      <c r="G66" t="s">
        <v>81</v>
      </c>
      <c r="H66" t="s">
        <v>115</v>
      </c>
      <c r="I66" t="s">
        <v>115</v>
      </c>
      <c r="J66" t="s">
        <v>5</v>
      </c>
      <c r="K66" t="s">
        <v>83</v>
      </c>
      <c r="L66" s="3">
        <v>46180</v>
      </c>
      <c r="N66">
        <v>12446328</v>
      </c>
      <c r="O66">
        <v>9</v>
      </c>
      <c r="P66" t="s">
        <v>590</v>
      </c>
      <c r="R66">
        <v>344.17899999999997</v>
      </c>
      <c r="S66" s="3">
        <v>45663</v>
      </c>
      <c r="W66" t="s">
        <v>86</v>
      </c>
      <c r="Y66">
        <v>0</v>
      </c>
      <c r="Z66">
        <v>0</v>
      </c>
      <c r="AC66">
        <v>5880646</v>
      </c>
      <c r="AE66" t="s">
        <v>248</v>
      </c>
      <c r="AF66" t="s">
        <v>80</v>
      </c>
      <c r="AH66" t="s">
        <v>5</v>
      </c>
      <c r="AI66">
        <v>56953547488</v>
      </c>
      <c r="AL66" t="s">
        <v>591</v>
      </c>
      <c r="AO66" t="s">
        <v>592</v>
      </c>
      <c r="AP66" t="s">
        <v>593</v>
      </c>
      <c r="AQ66" t="s">
        <v>215</v>
      </c>
      <c r="AR66" t="s">
        <v>594</v>
      </c>
      <c r="AS66" t="s">
        <v>323</v>
      </c>
      <c r="AT66" t="s">
        <v>141</v>
      </c>
      <c r="AU66" t="s">
        <v>285</v>
      </c>
      <c r="AW66" t="s">
        <v>410</v>
      </c>
      <c r="AX66" t="s">
        <v>248</v>
      </c>
      <c r="AY66" s="3">
        <v>46241</v>
      </c>
      <c r="AZ66" t="s">
        <v>98</v>
      </c>
      <c r="BA66" t="s">
        <v>285</v>
      </c>
      <c r="BB66" t="s">
        <v>595</v>
      </c>
      <c r="BC66" t="s">
        <v>278</v>
      </c>
      <c r="BD66" t="s">
        <v>596</v>
      </c>
      <c r="BE66">
        <v>2014</v>
      </c>
      <c r="BF66">
        <v>2014</v>
      </c>
    </row>
    <row r="67" spans="1:58">
      <c r="A67">
        <v>2056023</v>
      </c>
      <c r="B67">
        <v>107</v>
      </c>
      <c r="D67">
        <v>13686046</v>
      </c>
      <c r="F67" t="s">
        <v>80</v>
      </c>
      <c r="G67" t="s">
        <v>81</v>
      </c>
      <c r="H67" t="s">
        <v>11</v>
      </c>
      <c r="I67" t="s">
        <v>11</v>
      </c>
      <c r="J67" t="s">
        <v>5</v>
      </c>
      <c r="K67" t="s">
        <v>83</v>
      </c>
      <c r="L67" s="3">
        <v>46180</v>
      </c>
      <c r="M67" t="s">
        <v>193</v>
      </c>
      <c r="N67">
        <v>76823538</v>
      </c>
      <c r="O67">
        <v>4</v>
      </c>
      <c r="P67" t="s">
        <v>597</v>
      </c>
      <c r="R67">
        <v>817.31200000000001</v>
      </c>
      <c r="S67" s="3">
        <v>46026</v>
      </c>
      <c r="W67" t="s">
        <v>86</v>
      </c>
      <c r="X67" t="s">
        <v>87</v>
      </c>
      <c r="Y67">
        <v>0</v>
      </c>
      <c r="Z67">
        <v>0</v>
      </c>
      <c r="AC67">
        <v>13686046</v>
      </c>
      <c r="AH67" t="s">
        <v>5</v>
      </c>
      <c r="AI67">
        <v>989904022</v>
      </c>
      <c r="AL67" t="s">
        <v>598</v>
      </c>
      <c r="AO67" t="s">
        <v>599</v>
      </c>
      <c r="AP67" t="s">
        <v>600</v>
      </c>
      <c r="AQ67" t="s">
        <v>299</v>
      </c>
      <c r="AR67" t="s">
        <v>601</v>
      </c>
      <c r="AS67" t="s">
        <v>367</v>
      </c>
      <c r="AT67" t="s">
        <v>122</v>
      </c>
      <c r="AU67" t="s">
        <v>96</v>
      </c>
      <c r="AZ67" t="s">
        <v>111</v>
      </c>
      <c r="BA67" t="s">
        <v>99</v>
      </c>
      <c r="BB67" t="s">
        <v>602</v>
      </c>
      <c r="BC67" t="s">
        <v>603</v>
      </c>
      <c r="BD67" t="s">
        <v>604</v>
      </c>
      <c r="BE67">
        <v>2022</v>
      </c>
      <c r="BF67">
        <v>2022</v>
      </c>
    </row>
    <row r="68" spans="1:58">
      <c r="A68">
        <v>2061192</v>
      </c>
      <c r="B68">
        <v>1</v>
      </c>
      <c r="D68">
        <v>6574917</v>
      </c>
      <c r="F68" t="s">
        <v>80</v>
      </c>
      <c r="G68" t="s">
        <v>81</v>
      </c>
      <c r="H68" t="s">
        <v>11</v>
      </c>
      <c r="I68" t="s">
        <v>11</v>
      </c>
      <c r="J68" t="s">
        <v>5</v>
      </c>
      <c r="K68" t="s">
        <v>83</v>
      </c>
      <c r="L68" s="3">
        <v>46180</v>
      </c>
      <c r="M68" t="s">
        <v>193</v>
      </c>
      <c r="N68">
        <v>26193808</v>
      </c>
      <c r="O68">
        <v>1</v>
      </c>
      <c r="P68" t="s">
        <v>605</v>
      </c>
      <c r="R68">
        <v>393.73</v>
      </c>
      <c r="S68" s="3">
        <v>46028</v>
      </c>
      <c r="W68" t="s">
        <v>86</v>
      </c>
      <c r="Y68">
        <v>0</v>
      </c>
      <c r="Z68">
        <v>0</v>
      </c>
      <c r="AC68">
        <v>6574917</v>
      </c>
      <c r="AH68" t="s">
        <v>5</v>
      </c>
      <c r="AI68">
        <v>936665640</v>
      </c>
      <c r="AL68" t="s">
        <v>606</v>
      </c>
      <c r="AO68" t="s">
        <v>607</v>
      </c>
      <c r="AP68" t="s">
        <v>608</v>
      </c>
      <c r="AQ68" t="s">
        <v>92</v>
      </c>
      <c r="AR68" t="s">
        <v>609</v>
      </c>
      <c r="AS68" t="s">
        <v>189</v>
      </c>
      <c r="AT68" t="s">
        <v>122</v>
      </c>
      <c r="AU68" t="s">
        <v>96</v>
      </c>
      <c r="AZ68" t="s">
        <v>111</v>
      </c>
      <c r="BA68" t="s">
        <v>99</v>
      </c>
      <c r="BB68" t="s">
        <v>610</v>
      </c>
      <c r="BC68" t="s">
        <v>164</v>
      </c>
      <c r="BD68" t="s">
        <v>317</v>
      </c>
      <c r="BE68">
        <v>2022</v>
      </c>
      <c r="BF68">
        <v>2022</v>
      </c>
    </row>
    <row r="69" spans="1:58">
      <c r="A69">
        <v>2068217</v>
      </c>
      <c r="B69">
        <v>166</v>
      </c>
      <c r="D69">
        <v>10163324</v>
      </c>
      <c r="F69" t="s">
        <v>80</v>
      </c>
      <c r="G69" t="s">
        <v>81</v>
      </c>
      <c r="H69" t="s">
        <v>11</v>
      </c>
      <c r="I69" t="s">
        <v>11</v>
      </c>
      <c r="J69" t="s">
        <v>5</v>
      </c>
      <c r="K69" t="s">
        <v>83</v>
      </c>
      <c r="L69" s="3">
        <v>46180</v>
      </c>
      <c r="N69">
        <v>10337919</v>
      </c>
      <c r="O69">
        <v>9</v>
      </c>
      <c r="P69" t="s">
        <v>611</v>
      </c>
      <c r="R69">
        <v>544.23699999999997</v>
      </c>
      <c r="S69" s="3">
        <v>46024</v>
      </c>
      <c r="W69" t="s">
        <v>86</v>
      </c>
      <c r="X69" t="s">
        <v>87</v>
      </c>
      <c r="Y69">
        <v>0</v>
      </c>
      <c r="Z69">
        <v>0</v>
      </c>
      <c r="AC69">
        <v>10163324</v>
      </c>
      <c r="AH69" t="s">
        <v>5</v>
      </c>
      <c r="AI69">
        <v>9766007470</v>
      </c>
      <c r="AL69" t="s">
        <v>612</v>
      </c>
      <c r="AO69" t="s">
        <v>613</v>
      </c>
      <c r="AP69" t="s">
        <v>614</v>
      </c>
      <c r="AQ69" t="s">
        <v>92</v>
      </c>
      <c r="AR69" t="s">
        <v>315</v>
      </c>
      <c r="AS69" t="s">
        <v>346</v>
      </c>
      <c r="AT69" t="s">
        <v>122</v>
      </c>
      <c r="AU69" t="s">
        <v>96</v>
      </c>
      <c r="AZ69" t="s">
        <v>111</v>
      </c>
      <c r="BA69" t="s">
        <v>99</v>
      </c>
      <c r="BB69" t="s">
        <v>615</v>
      </c>
      <c r="BC69" t="s">
        <v>182</v>
      </c>
      <c r="BD69" t="s">
        <v>616</v>
      </c>
      <c r="BE69">
        <v>2022</v>
      </c>
      <c r="BF69">
        <v>2022</v>
      </c>
    </row>
    <row r="70" spans="1:58">
      <c r="A70">
        <v>2112138</v>
      </c>
      <c r="B70">
        <v>381</v>
      </c>
      <c r="D70">
        <v>7782305</v>
      </c>
      <c r="F70" t="s">
        <v>80</v>
      </c>
      <c r="G70" t="s">
        <v>81</v>
      </c>
      <c r="H70" t="s">
        <v>115</v>
      </c>
      <c r="I70" t="s">
        <v>115</v>
      </c>
      <c r="J70" t="s">
        <v>5</v>
      </c>
      <c r="K70" t="s">
        <v>83</v>
      </c>
      <c r="L70" s="3">
        <v>46180</v>
      </c>
      <c r="N70">
        <v>17278930</v>
      </c>
      <c r="O70">
        <v>7</v>
      </c>
      <c r="P70" t="s">
        <v>617</v>
      </c>
      <c r="R70">
        <v>233.518</v>
      </c>
      <c r="S70" s="3">
        <v>45664</v>
      </c>
      <c r="W70" t="s">
        <v>86</v>
      </c>
      <c r="X70" t="s">
        <v>87</v>
      </c>
      <c r="Y70">
        <v>0</v>
      </c>
      <c r="Z70">
        <v>0</v>
      </c>
      <c r="AC70">
        <v>7782305</v>
      </c>
      <c r="AH70" t="s">
        <v>5</v>
      </c>
      <c r="AI70">
        <v>94908673</v>
      </c>
      <c r="AJ70">
        <v>927651889</v>
      </c>
      <c r="AL70" t="s">
        <v>618</v>
      </c>
      <c r="AM70" t="s">
        <v>618</v>
      </c>
      <c r="AO70" t="s">
        <v>619</v>
      </c>
      <c r="AP70" t="s">
        <v>620</v>
      </c>
      <c r="AQ70" t="s">
        <v>92</v>
      </c>
      <c r="AR70" t="s">
        <v>621</v>
      </c>
      <c r="AS70" t="s">
        <v>556</v>
      </c>
      <c r="AT70" t="s">
        <v>141</v>
      </c>
      <c r="AU70" t="s">
        <v>96</v>
      </c>
      <c r="AZ70" t="s">
        <v>98</v>
      </c>
      <c r="BA70" t="s">
        <v>99</v>
      </c>
      <c r="BB70" t="s">
        <v>622</v>
      </c>
      <c r="BC70" t="s">
        <v>200</v>
      </c>
      <c r="BD70" t="s">
        <v>623</v>
      </c>
      <c r="BE70">
        <v>2022</v>
      </c>
      <c r="BF70">
        <v>2022</v>
      </c>
    </row>
    <row r="71" spans="1:58">
      <c r="A71">
        <v>2124083</v>
      </c>
      <c r="B71">
        <v>442</v>
      </c>
      <c r="D71">
        <v>11608660</v>
      </c>
      <c r="F71" t="s">
        <v>80</v>
      </c>
      <c r="G71" t="s">
        <v>81</v>
      </c>
      <c r="H71" t="s">
        <v>115</v>
      </c>
      <c r="I71" t="s">
        <v>115</v>
      </c>
      <c r="J71" t="s">
        <v>5</v>
      </c>
      <c r="K71" t="s">
        <v>83</v>
      </c>
      <c r="L71" s="3">
        <v>46180</v>
      </c>
      <c r="N71">
        <v>19578014</v>
      </c>
      <c r="O71">
        <v>5</v>
      </c>
      <c r="P71" t="s">
        <v>624</v>
      </c>
      <c r="R71">
        <v>389.75400000000002</v>
      </c>
      <c r="S71" s="3">
        <v>45662</v>
      </c>
      <c r="W71" t="s">
        <v>86</v>
      </c>
      <c r="X71" t="s">
        <v>87</v>
      </c>
      <c r="Y71">
        <v>0</v>
      </c>
      <c r="Z71">
        <v>0</v>
      </c>
      <c r="AC71">
        <v>11608660</v>
      </c>
      <c r="AH71" t="s">
        <v>5</v>
      </c>
      <c r="AQ71" t="s">
        <v>92</v>
      </c>
      <c r="AR71" t="s">
        <v>625</v>
      </c>
      <c r="AS71" t="s">
        <v>189</v>
      </c>
      <c r="AT71" t="s">
        <v>122</v>
      </c>
      <c r="AU71" t="s">
        <v>96</v>
      </c>
      <c r="AZ71" t="s">
        <v>111</v>
      </c>
      <c r="BA71" t="s">
        <v>99</v>
      </c>
      <c r="BB71" t="s">
        <v>626</v>
      </c>
      <c r="BC71" t="s">
        <v>200</v>
      </c>
      <c r="BD71" t="s">
        <v>627</v>
      </c>
      <c r="BE71">
        <v>2022</v>
      </c>
      <c r="BF71">
        <v>2022</v>
      </c>
    </row>
    <row r="72" spans="1:58">
      <c r="A72">
        <v>2126564</v>
      </c>
      <c r="B72">
        <v>319</v>
      </c>
      <c r="D72">
        <v>9343344</v>
      </c>
      <c r="F72" t="s">
        <v>80</v>
      </c>
      <c r="G72" t="s">
        <v>81</v>
      </c>
      <c r="H72" t="s">
        <v>11</v>
      </c>
      <c r="I72" t="s">
        <v>11</v>
      </c>
      <c r="J72" t="s">
        <v>5</v>
      </c>
      <c r="K72" t="s">
        <v>83</v>
      </c>
      <c r="L72" s="3">
        <v>46180</v>
      </c>
      <c r="N72">
        <v>13489611</v>
      </c>
      <c r="O72">
        <v>6</v>
      </c>
      <c r="P72" t="s">
        <v>628</v>
      </c>
      <c r="R72">
        <v>402.29899999999998</v>
      </c>
      <c r="S72" s="3">
        <v>45666</v>
      </c>
      <c r="W72" t="s">
        <v>86</v>
      </c>
      <c r="X72" t="s">
        <v>87</v>
      </c>
      <c r="Y72">
        <v>0</v>
      </c>
      <c r="Z72">
        <v>0</v>
      </c>
      <c r="AC72">
        <v>9343344</v>
      </c>
      <c r="AH72" t="s">
        <v>5</v>
      </c>
      <c r="AI72">
        <v>962442886</v>
      </c>
      <c r="AL72" t="s">
        <v>629</v>
      </c>
      <c r="AO72" t="s">
        <v>630</v>
      </c>
      <c r="AP72" t="s">
        <v>330</v>
      </c>
      <c r="AQ72" t="s">
        <v>92</v>
      </c>
      <c r="AR72" t="s">
        <v>631</v>
      </c>
      <c r="AS72" t="s">
        <v>367</v>
      </c>
      <c r="AT72" t="s">
        <v>122</v>
      </c>
      <c r="AU72" t="s">
        <v>96</v>
      </c>
      <c r="AZ72" t="s">
        <v>111</v>
      </c>
      <c r="BA72" t="s">
        <v>99</v>
      </c>
      <c r="BB72" t="s">
        <v>632</v>
      </c>
      <c r="BC72" t="s">
        <v>164</v>
      </c>
      <c r="BD72" t="s">
        <v>633</v>
      </c>
      <c r="BE72">
        <v>2019</v>
      </c>
      <c r="BF72">
        <v>2019</v>
      </c>
    </row>
    <row r="73" spans="1:58">
      <c r="A73">
        <v>2134165</v>
      </c>
      <c r="B73">
        <v>166</v>
      </c>
      <c r="D73">
        <v>3828549</v>
      </c>
      <c r="F73" t="s">
        <v>80</v>
      </c>
      <c r="G73" t="s">
        <v>81</v>
      </c>
      <c r="H73" t="s">
        <v>11</v>
      </c>
      <c r="I73" t="s">
        <v>11</v>
      </c>
      <c r="J73" t="s">
        <v>5</v>
      </c>
      <c r="K73" t="s">
        <v>83</v>
      </c>
      <c r="L73" s="3">
        <v>46180</v>
      </c>
      <c r="N73">
        <v>12178968</v>
      </c>
      <c r="O73" t="s">
        <v>266</v>
      </c>
      <c r="P73" t="s">
        <v>634</v>
      </c>
      <c r="R73">
        <v>198.875</v>
      </c>
      <c r="S73" s="3">
        <v>46024</v>
      </c>
      <c r="W73" t="s">
        <v>86</v>
      </c>
      <c r="X73" t="s">
        <v>87</v>
      </c>
      <c r="Y73">
        <v>0</v>
      </c>
      <c r="Z73">
        <v>0</v>
      </c>
      <c r="AC73">
        <v>3828549</v>
      </c>
      <c r="AH73" t="s">
        <v>5</v>
      </c>
      <c r="AI73">
        <v>989059720</v>
      </c>
      <c r="AJ73">
        <v>934381682</v>
      </c>
      <c r="AL73" t="s">
        <v>635</v>
      </c>
      <c r="AM73" s="526" t="s">
        <v>636</v>
      </c>
      <c r="AO73" t="s">
        <v>637</v>
      </c>
      <c r="AP73" t="s">
        <v>488</v>
      </c>
      <c r="AQ73" t="s">
        <v>92</v>
      </c>
      <c r="AR73" t="s">
        <v>638</v>
      </c>
      <c r="AS73" t="s">
        <v>180</v>
      </c>
      <c r="AT73" t="s">
        <v>122</v>
      </c>
      <c r="AU73" t="s">
        <v>96</v>
      </c>
      <c r="AZ73" t="s">
        <v>111</v>
      </c>
      <c r="BA73" t="s">
        <v>99</v>
      </c>
      <c r="BB73" t="s">
        <v>639</v>
      </c>
      <c r="BC73" t="s">
        <v>200</v>
      </c>
      <c r="BD73" t="s">
        <v>640</v>
      </c>
      <c r="BE73">
        <v>2022</v>
      </c>
      <c r="BF73">
        <v>2022</v>
      </c>
    </row>
    <row r="74" spans="1:58">
      <c r="A74">
        <v>2143882</v>
      </c>
      <c r="B74">
        <v>319</v>
      </c>
      <c r="D74">
        <v>6093246</v>
      </c>
      <c r="F74" t="s">
        <v>80</v>
      </c>
      <c r="G74" t="s">
        <v>81</v>
      </c>
      <c r="H74" t="s">
        <v>11</v>
      </c>
      <c r="I74" t="s">
        <v>11</v>
      </c>
      <c r="J74" t="s">
        <v>5</v>
      </c>
      <c r="K74" t="s">
        <v>83</v>
      </c>
      <c r="L74" s="3">
        <v>46180</v>
      </c>
      <c r="N74">
        <v>11793560</v>
      </c>
      <c r="O74">
        <v>4</v>
      </c>
      <c r="P74" t="s">
        <v>641</v>
      </c>
      <c r="R74">
        <v>254.54</v>
      </c>
      <c r="S74" s="3">
        <v>45666</v>
      </c>
      <c r="W74" t="s">
        <v>86</v>
      </c>
      <c r="X74" t="s">
        <v>87</v>
      </c>
      <c r="Y74">
        <v>0</v>
      </c>
      <c r="Z74">
        <v>0</v>
      </c>
      <c r="AC74">
        <v>6093246</v>
      </c>
      <c r="AH74" t="s">
        <v>5</v>
      </c>
      <c r="AI74">
        <v>977050378</v>
      </c>
      <c r="AL74" t="s">
        <v>642</v>
      </c>
      <c r="AO74" t="s">
        <v>643</v>
      </c>
      <c r="AP74" t="s">
        <v>608</v>
      </c>
      <c r="AQ74" t="s">
        <v>92</v>
      </c>
      <c r="AR74" t="s">
        <v>631</v>
      </c>
      <c r="AS74" t="s">
        <v>418</v>
      </c>
      <c r="AT74" t="s">
        <v>141</v>
      </c>
      <c r="AU74" t="s">
        <v>96</v>
      </c>
      <c r="AZ74" t="s">
        <v>98</v>
      </c>
      <c r="BA74" t="s">
        <v>99</v>
      </c>
      <c r="BB74" t="s">
        <v>644</v>
      </c>
      <c r="BC74" t="s">
        <v>230</v>
      </c>
      <c r="BD74" t="s">
        <v>491</v>
      </c>
      <c r="BE74">
        <v>2018</v>
      </c>
      <c r="BF74">
        <v>2018</v>
      </c>
    </row>
    <row r="75" spans="1:58">
      <c r="A75">
        <v>2148996</v>
      </c>
      <c r="B75">
        <v>411</v>
      </c>
      <c r="D75">
        <v>8862930</v>
      </c>
      <c r="F75" t="s">
        <v>80</v>
      </c>
      <c r="G75" t="s">
        <v>81</v>
      </c>
      <c r="H75" t="s">
        <v>115</v>
      </c>
      <c r="I75" t="s">
        <v>115</v>
      </c>
      <c r="J75" t="s">
        <v>5</v>
      </c>
      <c r="K75" t="s">
        <v>83</v>
      </c>
      <c r="L75" s="3">
        <v>46180</v>
      </c>
      <c r="N75">
        <v>17781952</v>
      </c>
      <c r="O75">
        <v>2</v>
      </c>
      <c r="P75" t="s">
        <v>645</v>
      </c>
      <c r="R75">
        <v>274.57400000000001</v>
      </c>
      <c r="S75" s="3">
        <v>45663</v>
      </c>
      <c r="W75" t="s">
        <v>86</v>
      </c>
      <c r="Y75">
        <v>0</v>
      </c>
      <c r="Z75">
        <v>0</v>
      </c>
      <c r="AC75">
        <v>8862930</v>
      </c>
      <c r="AH75" t="s">
        <v>5</v>
      </c>
      <c r="AI75">
        <v>933839578</v>
      </c>
      <c r="AL75" t="s">
        <v>646</v>
      </c>
      <c r="AO75" t="s">
        <v>647</v>
      </c>
      <c r="AP75" t="s">
        <v>566</v>
      </c>
      <c r="AQ75" t="s">
        <v>92</v>
      </c>
      <c r="AR75" t="s">
        <v>648</v>
      </c>
      <c r="AS75" t="s">
        <v>180</v>
      </c>
      <c r="AT75" t="s">
        <v>503</v>
      </c>
      <c r="AU75" t="s">
        <v>96</v>
      </c>
      <c r="AZ75" t="s">
        <v>111</v>
      </c>
      <c r="BA75" t="s">
        <v>99</v>
      </c>
      <c r="BB75" t="s">
        <v>649</v>
      </c>
      <c r="BC75" t="s">
        <v>164</v>
      </c>
      <c r="BD75" t="s">
        <v>650</v>
      </c>
      <c r="BE75">
        <v>2020</v>
      </c>
      <c r="BF75">
        <v>2020</v>
      </c>
    </row>
    <row r="76" spans="1:58">
      <c r="A76">
        <v>2170991</v>
      </c>
      <c r="B76">
        <v>472</v>
      </c>
      <c r="D76">
        <v>10100380</v>
      </c>
      <c r="F76" t="s">
        <v>80</v>
      </c>
      <c r="G76" t="s">
        <v>81</v>
      </c>
      <c r="H76" t="s">
        <v>115</v>
      </c>
      <c r="I76" t="s">
        <v>115</v>
      </c>
      <c r="J76" t="s">
        <v>5</v>
      </c>
      <c r="K76" t="s">
        <v>83</v>
      </c>
      <c r="L76" s="3">
        <v>46180</v>
      </c>
      <c r="N76">
        <v>15743059</v>
      </c>
      <c r="O76">
        <v>9</v>
      </c>
      <c r="P76" t="s">
        <v>651</v>
      </c>
      <c r="R76">
        <v>287.88400000000001</v>
      </c>
      <c r="S76" s="3">
        <v>45661</v>
      </c>
      <c r="W76" t="s">
        <v>86</v>
      </c>
      <c r="Y76">
        <v>0</v>
      </c>
      <c r="Z76">
        <v>0</v>
      </c>
      <c r="AC76">
        <v>7300380</v>
      </c>
      <c r="AH76" t="s">
        <v>5</v>
      </c>
      <c r="AI76">
        <v>9455054110</v>
      </c>
      <c r="AL76" t="s">
        <v>652</v>
      </c>
      <c r="AO76" t="s">
        <v>653</v>
      </c>
      <c r="AP76" t="s">
        <v>654</v>
      </c>
      <c r="AQ76" t="s">
        <v>188</v>
      </c>
      <c r="AR76" t="s">
        <v>655</v>
      </c>
      <c r="AS76" t="s">
        <v>346</v>
      </c>
      <c r="AT76" t="s">
        <v>244</v>
      </c>
      <c r="AU76" t="s">
        <v>96</v>
      </c>
      <c r="AZ76" t="s">
        <v>111</v>
      </c>
      <c r="BA76" t="s">
        <v>99</v>
      </c>
      <c r="BB76" t="s">
        <v>656</v>
      </c>
      <c r="BC76" t="s">
        <v>468</v>
      </c>
      <c r="BD76" t="s">
        <v>657</v>
      </c>
      <c r="BE76">
        <v>2023</v>
      </c>
      <c r="BF76">
        <v>2023</v>
      </c>
    </row>
    <row r="77" spans="1:58">
      <c r="A77">
        <v>2171993</v>
      </c>
      <c r="B77">
        <v>228</v>
      </c>
      <c r="D77">
        <v>8498727</v>
      </c>
      <c r="F77" t="s">
        <v>80</v>
      </c>
      <c r="G77" t="s">
        <v>81</v>
      </c>
      <c r="H77" t="s">
        <v>11</v>
      </c>
      <c r="I77" t="s">
        <v>11</v>
      </c>
      <c r="J77" t="s">
        <v>5</v>
      </c>
      <c r="K77" t="s">
        <v>83</v>
      </c>
      <c r="L77" s="3">
        <v>46180</v>
      </c>
      <c r="N77">
        <v>18106130</v>
      </c>
      <c r="O77">
        <v>8</v>
      </c>
      <c r="P77" t="s">
        <v>658</v>
      </c>
      <c r="R77">
        <v>286.52600000000001</v>
      </c>
      <c r="S77" s="3">
        <v>45669</v>
      </c>
      <c r="W77" t="s">
        <v>86</v>
      </c>
      <c r="X77" t="s">
        <v>87</v>
      </c>
      <c r="Y77">
        <v>0</v>
      </c>
      <c r="Z77">
        <v>0</v>
      </c>
      <c r="AC77">
        <v>8498727</v>
      </c>
      <c r="AH77" t="s">
        <v>5</v>
      </c>
      <c r="AI77">
        <v>920180512</v>
      </c>
      <c r="AL77" t="s">
        <v>659</v>
      </c>
      <c r="AO77" t="s">
        <v>660</v>
      </c>
      <c r="AP77" t="s">
        <v>661</v>
      </c>
      <c r="AQ77" t="s">
        <v>149</v>
      </c>
      <c r="AR77" t="s">
        <v>662</v>
      </c>
      <c r="AS77" t="s">
        <v>162</v>
      </c>
      <c r="AT77" t="s">
        <v>141</v>
      </c>
      <c r="AU77" t="s">
        <v>96</v>
      </c>
      <c r="AZ77" t="s">
        <v>98</v>
      </c>
      <c r="BA77" t="s">
        <v>99</v>
      </c>
      <c r="BB77" t="s">
        <v>663</v>
      </c>
      <c r="BC77" t="s">
        <v>664</v>
      </c>
      <c r="BD77" t="s">
        <v>665</v>
      </c>
      <c r="BE77">
        <v>2023</v>
      </c>
      <c r="BF77">
        <v>2023</v>
      </c>
    </row>
    <row r="78" spans="1:58">
      <c r="A78">
        <v>2177404</v>
      </c>
      <c r="B78">
        <v>107</v>
      </c>
      <c r="D78">
        <v>5574462</v>
      </c>
      <c r="F78" t="s">
        <v>80</v>
      </c>
      <c r="G78" t="s">
        <v>81</v>
      </c>
      <c r="H78" t="s">
        <v>11</v>
      </c>
      <c r="I78" t="s">
        <v>11</v>
      </c>
      <c r="J78" t="s">
        <v>5</v>
      </c>
      <c r="K78" t="s">
        <v>83</v>
      </c>
      <c r="L78" s="3">
        <v>46180</v>
      </c>
      <c r="M78" t="s">
        <v>193</v>
      </c>
      <c r="N78">
        <v>26346582</v>
      </c>
      <c r="O78">
        <v>2</v>
      </c>
      <c r="P78" t="s">
        <v>666</v>
      </c>
      <c r="R78">
        <v>254.066</v>
      </c>
      <c r="S78" s="3">
        <v>46026</v>
      </c>
      <c r="W78" t="s">
        <v>86</v>
      </c>
      <c r="X78" t="s">
        <v>87</v>
      </c>
      <c r="Y78">
        <v>0</v>
      </c>
      <c r="Z78">
        <v>0</v>
      </c>
      <c r="AC78">
        <v>5574442</v>
      </c>
      <c r="AH78" t="s">
        <v>5</v>
      </c>
      <c r="AI78">
        <v>998336891</v>
      </c>
      <c r="AJ78">
        <v>998336891</v>
      </c>
      <c r="AL78" t="s">
        <v>667</v>
      </c>
      <c r="AO78" t="s">
        <v>668</v>
      </c>
      <c r="AP78" t="s">
        <v>330</v>
      </c>
      <c r="AQ78" t="s">
        <v>92</v>
      </c>
      <c r="AR78" t="s">
        <v>198</v>
      </c>
      <c r="AS78" t="s">
        <v>669</v>
      </c>
      <c r="AT78" t="s">
        <v>141</v>
      </c>
      <c r="AU78" t="s">
        <v>96</v>
      </c>
      <c r="AZ78" t="s">
        <v>98</v>
      </c>
      <c r="BA78" t="s">
        <v>99</v>
      </c>
      <c r="BB78" t="s">
        <v>670</v>
      </c>
      <c r="BC78" t="s">
        <v>287</v>
      </c>
      <c r="BD78" t="s">
        <v>671</v>
      </c>
      <c r="BE78">
        <v>2023</v>
      </c>
      <c r="BF78">
        <v>2023</v>
      </c>
    </row>
    <row r="79" spans="1:58">
      <c r="A79">
        <v>2184639</v>
      </c>
      <c r="B79">
        <v>1</v>
      </c>
      <c r="D79">
        <v>5874992</v>
      </c>
      <c r="F79" t="s">
        <v>80</v>
      </c>
      <c r="G79" t="s">
        <v>81</v>
      </c>
      <c r="H79" t="s">
        <v>11</v>
      </c>
      <c r="I79" t="s">
        <v>11</v>
      </c>
      <c r="J79" t="s">
        <v>5</v>
      </c>
      <c r="K79" t="s">
        <v>83</v>
      </c>
      <c r="L79" s="3">
        <v>46180</v>
      </c>
      <c r="M79" t="s">
        <v>193</v>
      </c>
      <c r="N79">
        <v>15444358</v>
      </c>
      <c r="O79">
        <v>4</v>
      </c>
      <c r="P79" t="s">
        <v>672</v>
      </c>
      <c r="R79">
        <v>226.053</v>
      </c>
      <c r="S79" s="3">
        <v>46028</v>
      </c>
      <c r="W79" t="s">
        <v>86</v>
      </c>
      <c r="Y79">
        <v>0</v>
      </c>
      <c r="Z79">
        <v>0</v>
      </c>
      <c r="AC79">
        <v>5874992</v>
      </c>
      <c r="AH79" t="s">
        <v>5</v>
      </c>
      <c r="AI79">
        <v>941062835</v>
      </c>
      <c r="AL79" t="s">
        <v>673</v>
      </c>
      <c r="AO79" t="s">
        <v>674</v>
      </c>
      <c r="AP79" t="s">
        <v>675</v>
      </c>
      <c r="AQ79" t="s">
        <v>92</v>
      </c>
      <c r="AR79" t="s">
        <v>676</v>
      </c>
      <c r="AS79" t="s">
        <v>284</v>
      </c>
      <c r="AT79" t="s">
        <v>141</v>
      </c>
      <c r="AU79" t="s">
        <v>96</v>
      </c>
      <c r="AZ79" t="s">
        <v>98</v>
      </c>
      <c r="BA79" t="s">
        <v>99</v>
      </c>
      <c r="BB79" t="s">
        <v>677</v>
      </c>
      <c r="BC79" t="s">
        <v>191</v>
      </c>
      <c r="BD79" t="s">
        <v>678</v>
      </c>
      <c r="BE79">
        <v>2015</v>
      </c>
      <c r="BF79">
        <v>2015</v>
      </c>
    </row>
    <row r="80" spans="1:58">
      <c r="A80">
        <v>2184893</v>
      </c>
      <c r="B80">
        <v>503</v>
      </c>
      <c r="D80">
        <v>8824246</v>
      </c>
      <c r="F80" t="s">
        <v>80</v>
      </c>
      <c r="G80" t="s">
        <v>81</v>
      </c>
      <c r="H80" t="s">
        <v>115</v>
      </c>
      <c r="I80" t="s">
        <v>115</v>
      </c>
      <c r="J80" t="s">
        <v>5</v>
      </c>
      <c r="K80" t="s">
        <v>83</v>
      </c>
      <c r="L80" s="3">
        <v>46180</v>
      </c>
      <c r="N80">
        <v>15396541</v>
      </c>
      <c r="O80">
        <v>2</v>
      </c>
      <c r="P80" t="s">
        <v>679</v>
      </c>
      <c r="R80">
        <v>306.81700000000001</v>
      </c>
      <c r="S80" s="3">
        <v>45660</v>
      </c>
      <c r="W80" t="s">
        <v>86</v>
      </c>
      <c r="Y80">
        <v>0</v>
      </c>
      <c r="Z80">
        <v>0</v>
      </c>
      <c r="AC80">
        <v>8824246</v>
      </c>
      <c r="AH80" t="s">
        <v>5</v>
      </c>
      <c r="AI80">
        <v>939141645</v>
      </c>
      <c r="AL80" t="s">
        <v>680</v>
      </c>
      <c r="AO80" t="s">
        <v>681</v>
      </c>
      <c r="AP80" t="s">
        <v>682</v>
      </c>
      <c r="AQ80" t="s">
        <v>92</v>
      </c>
      <c r="AR80" t="s">
        <v>171</v>
      </c>
      <c r="AS80" t="s">
        <v>683</v>
      </c>
      <c r="AT80" t="s">
        <v>503</v>
      </c>
      <c r="AU80" t="s">
        <v>96</v>
      </c>
      <c r="AZ80" t="s">
        <v>111</v>
      </c>
      <c r="BA80" t="s">
        <v>99</v>
      </c>
      <c r="BB80" t="s">
        <v>684</v>
      </c>
      <c r="BC80" t="s">
        <v>200</v>
      </c>
      <c r="BD80" t="s">
        <v>589</v>
      </c>
      <c r="BE80">
        <v>2023</v>
      </c>
      <c r="BF80">
        <v>2023</v>
      </c>
    </row>
    <row r="81" spans="1:58">
      <c r="A81">
        <v>2200934</v>
      </c>
      <c r="B81">
        <v>381</v>
      </c>
      <c r="D81">
        <v>10210739</v>
      </c>
      <c r="F81" t="s">
        <v>80</v>
      </c>
      <c r="G81" t="s">
        <v>81</v>
      </c>
      <c r="H81" t="s">
        <v>115</v>
      </c>
      <c r="I81" t="s">
        <v>115</v>
      </c>
      <c r="J81" t="s">
        <v>5</v>
      </c>
      <c r="K81" t="s">
        <v>83</v>
      </c>
      <c r="L81" s="3">
        <v>46180</v>
      </c>
      <c r="N81">
        <v>6738345</v>
      </c>
      <c r="O81">
        <v>1</v>
      </c>
      <c r="P81" t="s">
        <v>685</v>
      </c>
      <c r="R81">
        <v>407.14100000000002</v>
      </c>
      <c r="S81" s="3">
        <v>45664</v>
      </c>
      <c r="W81" t="s">
        <v>86</v>
      </c>
      <c r="X81" t="s">
        <v>87</v>
      </c>
      <c r="Y81">
        <v>0</v>
      </c>
      <c r="Z81">
        <v>0</v>
      </c>
      <c r="AC81">
        <v>10210739</v>
      </c>
      <c r="AH81" t="s">
        <v>5</v>
      </c>
      <c r="AI81">
        <v>941232612</v>
      </c>
      <c r="AL81" t="s">
        <v>686</v>
      </c>
      <c r="AO81" t="s">
        <v>687</v>
      </c>
      <c r="AP81" t="s">
        <v>688</v>
      </c>
      <c r="AQ81" t="s">
        <v>299</v>
      </c>
      <c r="AR81" t="s">
        <v>689</v>
      </c>
      <c r="AS81" t="s">
        <v>208</v>
      </c>
      <c r="AT81" t="s">
        <v>122</v>
      </c>
      <c r="AU81" t="s">
        <v>96</v>
      </c>
      <c r="AZ81" t="s">
        <v>111</v>
      </c>
      <c r="BA81" t="s">
        <v>99</v>
      </c>
      <c r="BB81" t="s">
        <v>690</v>
      </c>
      <c r="BC81" t="s">
        <v>101</v>
      </c>
      <c r="BD81" t="s">
        <v>691</v>
      </c>
      <c r="BE81">
        <v>2016</v>
      </c>
      <c r="BF81">
        <v>2016</v>
      </c>
    </row>
    <row r="82" spans="1:58">
      <c r="A82">
        <v>2206128</v>
      </c>
      <c r="B82">
        <v>138</v>
      </c>
      <c r="D82">
        <v>8830213</v>
      </c>
      <c r="F82" t="s">
        <v>80</v>
      </c>
      <c r="G82" t="s">
        <v>81</v>
      </c>
      <c r="H82" t="s">
        <v>11</v>
      </c>
      <c r="I82" t="s">
        <v>11</v>
      </c>
      <c r="J82" t="s">
        <v>5</v>
      </c>
      <c r="K82" t="s">
        <v>83</v>
      </c>
      <c r="L82" s="3">
        <v>46180</v>
      </c>
      <c r="M82" t="s">
        <v>193</v>
      </c>
      <c r="N82">
        <v>16075823</v>
      </c>
      <c r="O82">
        <v>6</v>
      </c>
      <c r="P82" t="s">
        <v>692</v>
      </c>
      <c r="R82">
        <v>342.75900000000001</v>
      </c>
      <c r="S82" s="3">
        <v>46025</v>
      </c>
      <c r="W82" t="s">
        <v>86</v>
      </c>
      <c r="Y82">
        <v>0</v>
      </c>
      <c r="Z82">
        <v>0</v>
      </c>
      <c r="AC82">
        <v>8830213</v>
      </c>
      <c r="AH82" t="s">
        <v>5</v>
      </c>
      <c r="AI82">
        <v>966812870</v>
      </c>
      <c r="AL82" t="s">
        <v>693</v>
      </c>
      <c r="AO82" t="s">
        <v>694</v>
      </c>
      <c r="AP82" t="s">
        <v>682</v>
      </c>
      <c r="AQ82" t="s">
        <v>92</v>
      </c>
      <c r="AR82" t="s">
        <v>695</v>
      </c>
      <c r="AS82" t="s">
        <v>339</v>
      </c>
      <c r="AT82" t="s">
        <v>122</v>
      </c>
      <c r="AU82" t="s">
        <v>96</v>
      </c>
      <c r="AZ82" t="s">
        <v>111</v>
      </c>
      <c r="BA82" t="s">
        <v>99</v>
      </c>
      <c r="BC82" t="s">
        <v>143</v>
      </c>
      <c r="BD82" t="s">
        <v>696</v>
      </c>
      <c r="BE82">
        <v>2023</v>
      </c>
      <c r="BF82">
        <v>2023</v>
      </c>
    </row>
    <row r="83" spans="1:58">
      <c r="A83">
        <v>2206586</v>
      </c>
      <c r="B83">
        <v>1</v>
      </c>
      <c r="D83">
        <v>7207130</v>
      </c>
      <c r="F83" t="s">
        <v>80</v>
      </c>
      <c r="G83" t="s">
        <v>81</v>
      </c>
      <c r="H83" t="s">
        <v>11</v>
      </c>
      <c r="I83" t="s">
        <v>11</v>
      </c>
      <c r="J83" t="s">
        <v>5</v>
      </c>
      <c r="K83" t="s">
        <v>83</v>
      </c>
      <c r="L83" s="3">
        <v>46180</v>
      </c>
      <c r="M83" t="s">
        <v>193</v>
      </c>
      <c r="N83">
        <v>17395256</v>
      </c>
      <c r="O83">
        <v>2</v>
      </c>
      <c r="P83" t="s">
        <v>697</v>
      </c>
      <c r="R83">
        <v>251.845</v>
      </c>
      <c r="S83" s="3">
        <v>46028</v>
      </c>
      <c r="W83" t="s">
        <v>86</v>
      </c>
      <c r="Y83">
        <v>0</v>
      </c>
      <c r="Z83">
        <v>0</v>
      </c>
      <c r="AC83">
        <v>7207130</v>
      </c>
      <c r="AH83" t="s">
        <v>5</v>
      </c>
      <c r="AI83">
        <v>991627466</v>
      </c>
      <c r="AL83" t="s">
        <v>698</v>
      </c>
      <c r="AO83" t="s">
        <v>699</v>
      </c>
      <c r="AP83" t="s">
        <v>661</v>
      </c>
      <c r="AQ83" t="s">
        <v>149</v>
      </c>
      <c r="AR83" t="s">
        <v>300</v>
      </c>
      <c r="AS83" t="s">
        <v>409</v>
      </c>
      <c r="AT83" t="s">
        <v>122</v>
      </c>
      <c r="AU83" t="s">
        <v>96</v>
      </c>
      <c r="AZ83" t="s">
        <v>111</v>
      </c>
      <c r="BA83" t="s">
        <v>99</v>
      </c>
      <c r="BB83" t="s">
        <v>700</v>
      </c>
      <c r="BC83" t="s">
        <v>182</v>
      </c>
      <c r="BD83" t="s">
        <v>369</v>
      </c>
      <c r="BE83">
        <v>2023</v>
      </c>
      <c r="BF83">
        <v>2023</v>
      </c>
    </row>
    <row r="84" spans="1:58">
      <c r="A84">
        <v>2208275</v>
      </c>
      <c r="B84">
        <v>228</v>
      </c>
      <c r="D84">
        <v>9516314</v>
      </c>
      <c r="F84" t="s">
        <v>80</v>
      </c>
      <c r="G84" t="s">
        <v>81</v>
      </c>
      <c r="H84" t="s">
        <v>11</v>
      </c>
      <c r="I84" t="s">
        <v>11</v>
      </c>
      <c r="J84" t="s">
        <v>5</v>
      </c>
      <c r="K84" t="s">
        <v>83</v>
      </c>
      <c r="L84" s="3">
        <v>46180</v>
      </c>
      <c r="N84">
        <v>18180465</v>
      </c>
      <c r="O84">
        <v>3</v>
      </c>
      <c r="P84" t="s">
        <v>701</v>
      </c>
      <c r="R84">
        <v>291.745</v>
      </c>
      <c r="S84" s="3">
        <v>45669</v>
      </c>
      <c r="W84" t="s">
        <v>86</v>
      </c>
      <c r="X84" t="s">
        <v>87</v>
      </c>
      <c r="Y84">
        <v>0</v>
      </c>
      <c r="Z84">
        <v>0</v>
      </c>
      <c r="AC84">
        <v>9516314</v>
      </c>
      <c r="AH84" t="s">
        <v>5</v>
      </c>
      <c r="AI84">
        <v>9789222730</v>
      </c>
      <c r="AL84" t="s">
        <v>702</v>
      </c>
      <c r="AO84" t="s">
        <v>703</v>
      </c>
      <c r="AP84" t="s">
        <v>177</v>
      </c>
      <c r="AQ84" t="s">
        <v>178</v>
      </c>
      <c r="AR84" t="s">
        <v>704</v>
      </c>
      <c r="AS84" t="s">
        <v>217</v>
      </c>
      <c r="AT84" t="s">
        <v>141</v>
      </c>
      <c r="AU84" t="s">
        <v>96</v>
      </c>
      <c r="AZ84" t="s">
        <v>98</v>
      </c>
      <c r="BA84" t="s">
        <v>99</v>
      </c>
      <c r="BB84" t="s">
        <v>705</v>
      </c>
      <c r="BC84" t="s">
        <v>182</v>
      </c>
      <c r="BD84" t="s">
        <v>706</v>
      </c>
      <c r="BE84">
        <v>2023</v>
      </c>
      <c r="BF84">
        <v>2023</v>
      </c>
    </row>
    <row r="85" spans="1:58">
      <c r="A85">
        <v>2213431</v>
      </c>
      <c r="B85">
        <v>166</v>
      </c>
      <c r="D85">
        <v>2055650</v>
      </c>
      <c r="F85" t="s">
        <v>80</v>
      </c>
      <c r="G85" t="s">
        <v>81</v>
      </c>
      <c r="H85" t="s">
        <v>11</v>
      </c>
      <c r="I85" t="s">
        <v>11</v>
      </c>
      <c r="J85" t="s">
        <v>5</v>
      </c>
      <c r="K85" t="s">
        <v>83</v>
      </c>
      <c r="L85" s="3">
        <v>46180</v>
      </c>
      <c r="N85">
        <v>8956095</v>
      </c>
      <c r="O85">
        <v>0</v>
      </c>
      <c r="P85" t="s">
        <v>707</v>
      </c>
      <c r="R85">
        <v>205.565</v>
      </c>
      <c r="S85" s="3">
        <v>46024</v>
      </c>
      <c r="W85" t="s">
        <v>86</v>
      </c>
      <c r="X85" t="s">
        <v>87</v>
      </c>
      <c r="Y85">
        <v>0</v>
      </c>
      <c r="Z85">
        <v>0</v>
      </c>
      <c r="AC85">
        <v>2055650</v>
      </c>
      <c r="AH85" t="s">
        <v>5</v>
      </c>
      <c r="AI85">
        <v>91732330</v>
      </c>
      <c r="AL85" t="s">
        <v>708</v>
      </c>
      <c r="AO85" t="s">
        <v>709</v>
      </c>
      <c r="AP85" t="s">
        <v>119</v>
      </c>
      <c r="AQ85" t="s">
        <v>92</v>
      </c>
      <c r="AR85" t="s">
        <v>710</v>
      </c>
      <c r="AS85" t="s">
        <v>131</v>
      </c>
      <c r="AT85" t="s">
        <v>122</v>
      </c>
      <c r="AU85" t="s">
        <v>96</v>
      </c>
      <c r="AZ85" t="s">
        <v>111</v>
      </c>
      <c r="BA85" t="s">
        <v>99</v>
      </c>
      <c r="BB85" t="s">
        <v>711</v>
      </c>
      <c r="BC85" t="s">
        <v>164</v>
      </c>
      <c r="BD85" t="s">
        <v>210</v>
      </c>
      <c r="BE85">
        <v>2020</v>
      </c>
      <c r="BF85">
        <v>2020</v>
      </c>
    </row>
    <row r="86" spans="1:58">
      <c r="A86">
        <v>2221834</v>
      </c>
      <c r="B86">
        <v>411</v>
      </c>
      <c r="D86">
        <v>3892558</v>
      </c>
      <c r="F86" t="s">
        <v>80</v>
      </c>
      <c r="G86" t="s">
        <v>81</v>
      </c>
      <c r="H86" t="s">
        <v>115</v>
      </c>
      <c r="I86" t="s">
        <v>115</v>
      </c>
      <c r="J86" t="s">
        <v>5</v>
      </c>
      <c r="K86" t="s">
        <v>83</v>
      </c>
      <c r="L86" s="3">
        <v>46180</v>
      </c>
      <c r="N86">
        <v>26793032</v>
      </c>
      <c r="O86">
        <v>5</v>
      </c>
      <c r="P86" t="s">
        <v>712</v>
      </c>
      <c r="R86">
        <v>221.578</v>
      </c>
      <c r="S86" s="3">
        <v>45663</v>
      </c>
      <c r="W86" t="s">
        <v>86</v>
      </c>
      <c r="X86" t="s">
        <v>87</v>
      </c>
      <c r="Y86">
        <v>0</v>
      </c>
      <c r="Z86">
        <v>0</v>
      </c>
      <c r="AC86">
        <v>3642558</v>
      </c>
      <c r="AE86" t="s">
        <v>248</v>
      </c>
      <c r="AF86" t="s">
        <v>80</v>
      </c>
      <c r="AH86" t="s">
        <v>5</v>
      </c>
      <c r="AI86">
        <v>959766639</v>
      </c>
      <c r="AL86" t="s">
        <v>713</v>
      </c>
      <c r="AO86" t="s">
        <v>714</v>
      </c>
      <c r="AP86" t="s">
        <v>715</v>
      </c>
      <c r="AQ86" t="s">
        <v>92</v>
      </c>
      <c r="AR86" t="s">
        <v>293</v>
      </c>
      <c r="AS86" t="s">
        <v>716</v>
      </c>
      <c r="AT86" t="s">
        <v>141</v>
      </c>
      <c r="AU86" t="s">
        <v>96</v>
      </c>
      <c r="AZ86" t="s">
        <v>98</v>
      </c>
      <c r="BA86" t="s">
        <v>99</v>
      </c>
      <c r="BB86" t="s">
        <v>717</v>
      </c>
      <c r="BC86" t="s">
        <v>718</v>
      </c>
      <c r="BD86" t="s">
        <v>719</v>
      </c>
      <c r="BE86">
        <v>2023</v>
      </c>
      <c r="BF86">
        <v>2023</v>
      </c>
    </row>
    <row r="87" spans="1:58">
      <c r="A87">
        <v>2239559</v>
      </c>
      <c r="B87">
        <v>442</v>
      </c>
      <c r="D87">
        <v>9232528</v>
      </c>
      <c r="F87" t="s">
        <v>80</v>
      </c>
      <c r="G87" t="s">
        <v>81</v>
      </c>
      <c r="H87" t="s">
        <v>115</v>
      </c>
      <c r="I87" t="s">
        <v>115</v>
      </c>
      <c r="J87" t="s">
        <v>5</v>
      </c>
      <c r="K87" t="s">
        <v>83</v>
      </c>
      <c r="L87" s="3">
        <v>46180</v>
      </c>
      <c r="N87">
        <v>18041239</v>
      </c>
      <c r="O87">
        <v>5</v>
      </c>
      <c r="P87" t="s">
        <v>720</v>
      </c>
      <c r="R87">
        <v>252.04599999999999</v>
      </c>
      <c r="S87" s="3">
        <v>45662</v>
      </c>
      <c r="W87" t="s">
        <v>86</v>
      </c>
      <c r="X87" t="s">
        <v>87</v>
      </c>
      <c r="Y87">
        <v>0</v>
      </c>
      <c r="Z87">
        <v>0</v>
      </c>
      <c r="AC87">
        <v>9232528</v>
      </c>
      <c r="AH87" t="s">
        <v>5</v>
      </c>
      <c r="AI87">
        <v>9857862200</v>
      </c>
      <c r="AL87" t="s">
        <v>721</v>
      </c>
      <c r="AO87" t="s">
        <v>722</v>
      </c>
      <c r="AP87" t="s">
        <v>723</v>
      </c>
      <c r="AQ87" t="s">
        <v>724</v>
      </c>
      <c r="AR87" t="s">
        <v>151</v>
      </c>
      <c r="AS87" t="s">
        <v>402</v>
      </c>
      <c r="AT87" t="s">
        <v>122</v>
      </c>
      <c r="AU87" t="s">
        <v>96</v>
      </c>
      <c r="AZ87" t="s">
        <v>111</v>
      </c>
      <c r="BA87" t="s">
        <v>99</v>
      </c>
      <c r="BB87" t="s">
        <v>725</v>
      </c>
      <c r="BC87" t="s">
        <v>200</v>
      </c>
      <c r="BD87" t="s">
        <v>201</v>
      </c>
      <c r="BE87">
        <v>2023</v>
      </c>
      <c r="BF87">
        <v>2023</v>
      </c>
    </row>
    <row r="88" spans="1:58">
      <c r="A88">
        <v>2241494</v>
      </c>
      <c r="B88">
        <v>350</v>
      </c>
      <c r="D88">
        <v>10706135</v>
      </c>
      <c r="F88" t="s">
        <v>80</v>
      </c>
      <c r="G88" t="s">
        <v>81</v>
      </c>
      <c r="H88" t="s">
        <v>11</v>
      </c>
      <c r="I88" t="s">
        <v>11</v>
      </c>
      <c r="J88" t="s">
        <v>5</v>
      </c>
      <c r="K88" t="s">
        <v>83</v>
      </c>
      <c r="L88" s="3">
        <v>46180</v>
      </c>
      <c r="N88">
        <v>15548788</v>
      </c>
      <c r="O88">
        <v>7</v>
      </c>
      <c r="P88" t="s">
        <v>726</v>
      </c>
      <c r="R88">
        <v>402.93900000000002</v>
      </c>
      <c r="S88" s="3">
        <v>45665</v>
      </c>
      <c r="W88" t="s">
        <v>86</v>
      </c>
      <c r="X88" t="s">
        <v>87</v>
      </c>
      <c r="Y88">
        <v>0</v>
      </c>
      <c r="Z88">
        <v>0</v>
      </c>
      <c r="AC88">
        <v>10706135</v>
      </c>
      <c r="AH88" t="s">
        <v>5</v>
      </c>
      <c r="AI88">
        <v>977326157</v>
      </c>
      <c r="AL88" t="s">
        <v>727</v>
      </c>
      <c r="AO88" t="s">
        <v>728</v>
      </c>
      <c r="AP88" t="s">
        <v>206</v>
      </c>
      <c r="AQ88" t="s">
        <v>160</v>
      </c>
      <c r="AR88" t="s">
        <v>729</v>
      </c>
      <c r="AS88" t="s">
        <v>284</v>
      </c>
      <c r="AT88" t="s">
        <v>74</v>
      </c>
      <c r="AU88" t="s">
        <v>96</v>
      </c>
      <c r="AZ88" t="s">
        <v>111</v>
      </c>
      <c r="BA88" t="s">
        <v>99</v>
      </c>
      <c r="BB88" t="s">
        <v>730</v>
      </c>
      <c r="BC88" t="s">
        <v>287</v>
      </c>
      <c r="BD88" t="s">
        <v>731</v>
      </c>
      <c r="BE88">
        <v>2023</v>
      </c>
      <c r="BF88">
        <v>2023</v>
      </c>
    </row>
    <row r="89" spans="1:58">
      <c r="A89">
        <v>2242697</v>
      </c>
      <c r="B89">
        <v>1</v>
      </c>
      <c r="D89">
        <v>14329489</v>
      </c>
      <c r="F89" t="s">
        <v>80</v>
      </c>
      <c r="G89" t="s">
        <v>81</v>
      </c>
      <c r="H89" t="s">
        <v>11</v>
      </c>
      <c r="I89" t="s">
        <v>11</v>
      </c>
      <c r="J89" t="s">
        <v>5</v>
      </c>
      <c r="K89" t="s">
        <v>83</v>
      </c>
      <c r="L89" s="3">
        <v>46180</v>
      </c>
      <c r="M89" t="s">
        <v>193</v>
      </c>
      <c r="N89">
        <v>76478759</v>
      </c>
      <c r="O89">
        <v>5</v>
      </c>
      <c r="P89" t="s">
        <v>732</v>
      </c>
      <c r="R89">
        <v>626.93499999999995</v>
      </c>
      <c r="S89" s="3">
        <v>46028</v>
      </c>
      <c r="W89" t="s">
        <v>86</v>
      </c>
      <c r="Y89">
        <v>0</v>
      </c>
      <c r="Z89">
        <v>0</v>
      </c>
      <c r="AC89">
        <v>11606269</v>
      </c>
      <c r="AH89" t="s">
        <v>5</v>
      </c>
      <c r="AI89">
        <v>942987114</v>
      </c>
      <c r="AL89" t="s">
        <v>733</v>
      </c>
      <c r="AO89" t="s">
        <v>734</v>
      </c>
      <c r="AP89" t="s">
        <v>735</v>
      </c>
      <c r="AQ89" t="s">
        <v>92</v>
      </c>
      <c r="AR89" t="s">
        <v>736</v>
      </c>
      <c r="AS89" t="s">
        <v>388</v>
      </c>
      <c r="AT89" t="s">
        <v>141</v>
      </c>
      <c r="AU89" t="s">
        <v>96</v>
      </c>
      <c r="AZ89" t="s">
        <v>98</v>
      </c>
      <c r="BA89" t="s">
        <v>99</v>
      </c>
      <c r="BC89" t="s">
        <v>164</v>
      </c>
      <c r="BD89" t="s">
        <v>737</v>
      </c>
      <c r="BE89">
        <v>2023</v>
      </c>
      <c r="BF89">
        <v>2023</v>
      </c>
    </row>
    <row r="90" spans="1:58">
      <c r="A90">
        <v>2246738</v>
      </c>
      <c r="B90">
        <v>197</v>
      </c>
      <c r="D90">
        <v>7111666</v>
      </c>
      <c r="F90" t="s">
        <v>80</v>
      </c>
      <c r="G90" t="s">
        <v>81</v>
      </c>
      <c r="H90" t="s">
        <v>11</v>
      </c>
      <c r="I90" t="s">
        <v>11</v>
      </c>
      <c r="J90" t="s">
        <v>5</v>
      </c>
      <c r="K90" t="s">
        <v>83</v>
      </c>
      <c r="L90" s="3">
        <v>46180</v>
      </c>
      <c r="N90">
        <v>8457326</v>
      </c>
      <c r="O90">
        <v>4</v>
      </c>
      <c r="P90" t="s">
        <v>738</v>
      </c>
      <c r="R90">
        <v>318.46499999999997</v>
      </c>
      <c r="S90" s="3">
        <v>46023</v>
      </c>
      <c r="W90" t="s">
        <v>86</v>
      </c>
      <c r="X90" t="s">
        <v>87</v>
      </c>
      <c r="Y90">
        <v>0</v>
      </c>
      <c r="Z90">
        <v>0</v>
      </c>
      <c r="AC90">
        <v>7111666</v>
      </c>
      <c r="AH90" t="s">
        <v>5</v>
      </c>
      <c r="AI90">
        <v>998503973</v>
      </c>
      <c r="AL90" t="s">
        <v>739</v>
      </c>
      <c r="AM90" t="s">
        <v>740</v>
      </c>
      <c r="AO90" t="s">
        <v>741</v>
      </c>
      <c r="AP90" t="s">
        <v>742</v>
      </c>
      <c r="AQ90" t="s">
        <v>92</v>
      </c>
      <c r="AR90" t="s">
        <v>743</v>
      </c>
      <c r="AS90" t="s">
        <v>293</v>
      </c>
      <c r="AT90" t="s">
        <v>141</v>
      </c>
      <c r="AU90" t="s">
        <v>96</v>
      </c>
      <c r="AZ90" t="s">
        <v>98</v>
      </c>
      <c r="BA90" t="s">
        <v>99</v>
      </c>
      <c r="BB90" t="s">
        <v>744</v>
      </c>
      <c r="BC90" t="s">
        <v>421</v>
      </c>
      <c r="BD90" t="s">
        <v>745</v>
      </c>
      <c r="BE90">
        <v>2023</v>
      </c>
      <c r="BF90">
        <v>2023</v>
      </c>
    </row>
    <row r="91" spans="1:58">
      <c r="A91">
        <v>2253599</v>
      </c>
      <c r="B91">
        <v>258</v>
      </c>
      <c r="D91">
        <v>15121765</v>
      </c>
      <c r="F91" t="s">
        <v>80</v>
      </c>
      <c r="G91" t="s">
        <v>81</v>
      </c>
      <c r="H91" t="s">
        <v>11</v>
      </c>
      <c r="I91" t="s">
        <v>11</v>
      </c>
      <c r="J91" t="s">
        <v>5</v>
      </c>
      <c r="K91" t="s">
        <v>83</v>
      </c>
      <c r="L91" s="3">
        <v>46180</v>
      </c>
      <c r="N91">
        <v>14390092</v>
      </c>
      <c r="O91">
        <v>4</v>
      </c>
      <c r="P91" t="s">
        <v>746</v>
      </c>
      <c r="R91">
        <v>561.66</v>
      </c>
      <c r="S91" s="3">
        <v>45668</v>
      </c>
      <c r="W91" t="s">
        <v>86</v>
      </c>
      <c r="Y91">
        <v>0</v>
      </c>
      <c r="Z91">
        <v>0</v>
      </c>
      <c r="AC91">
        <v>15121765</v>
      </c>
      <c r="AH91" t="s">
        <v>5</v>
      </c>
      <c r="AQ91" t="s">
        <v>92</v>
      </c>
      <c r="AR91" t="s">
        <v>747</v>
      </c>
      <c r="AS91" t="s">
        <v>228</v>
      </c>
      <c r="AT91" t="s">
        <v>74</v>
      </c>
      <c r="AU91" t="s">
        <v>96</v>
      </c>
      <c r="AZ91" t="s">
        <v>111</v>
      </c>
      <c r="BA91" t="s">
        <v>99</v>
      </c>
      <c r="BC91" t="s">
        <v>562</v>
      </c>
      <c r="BD91" t="s">
        <v>562</v>
      </c>
      <c r="BE91">
        <v>0</v>
      </c>
      <c r="BF91">
        <v>0</v>
      </c>
    </row>
    <row r="92" spans="1:58">
      <c r="A92">
        <v>2260525</v>
      </c>
      <c r="B92">
        <v>350</v>
      </c>
      <c r="D92">
        <v>11856692</v>
      </c>
      <c r="F92" t="s">
        <v>80</v>
      </c>
      <c r="G92" t="s">
        <v>81</v>
      </c>
      <c r="H92" t="s">
        <v>11</v>
      </c>
      <c r="I92" t="s">
        <v>11</v>
      </c>
      <c r="J92" t="s">
        <v>5</v>
      </c>
      <c r="K92" t="s">
        <v>83</v>
      </c>
      <c r="L92" s="3">
        <v>46180</v>
      </c>
      <c r="N92">
        <v>13734460</v>
      </c>
      <c r="O92">
        <v>2</v>
      </c>
      <c r="P92" t="s">
        <v>748</v>
      </c>
      <c r="R92">
        <v>706.40499999999997</v>
      </c>
      <c r="S92" s="3">
        <v>45665</v>
      </c>
      <c r="W92" t="s">
        <v>86</v>
      </c>
      <c r="X92" t="s">
        <v>87</v>
      </c>
      <c r="Y92">
        <v>0</v>
      </c>
      <c r="Z92">
        <v>0</v>
      </c>
      <c r="AC92">
        <v>11856692</v>
      </c>
      <c r="AH92" t="s">
        <v>5</v>
      </c>
      <c r="AI92">
        <v>964279394</v>
      </c>
      <c r="AL92" t="s">
        <v>749</v>
      </c>
      <c r="AO92" t="s">
        <v>750</v>
      </c>
      <c r="AP92" t="s">
        <v>214</v>
      </c>
      <c r="AQ92" t="s">
        <v>215</v>
      </c>
      <c r="AR92" t="s">
        <v>751</v>
      </c>
      <c r="AS92" t="s">
        <v>752</v>
      </c>
      <c r="AT92" t="s">
        <v>141</v>
      </c>
      <c r="AU92" t="s">
        <v>96</v>
      </c>
      <c r="AZ92" t="s">
        <v>98</v>
      </c>
      <c r="BA92" t="s">
        <v>99</v>
      </c>
      <c r="BB92" t="s">
        <v>753</v>
      </c>
      <c r="BC92" t="s">
        <v>375</v>
      </c>
      <c r="BD92" t="s">
        <v>754</v>
      </c>
      <c r="BE92">
        <v>2017</v>
      </c>
      <c r="BF92">
        <v>2017</v>
      </c>
    </row>
    <row r="93" spans="1:58">
      <c r="A93">
        <v>2277292</v>
      </c>
      <c r="B93">
        <v>319</v>
      </c>
      <c r="D93">
        <v>12565144</v>
      </c>
      <c r="F93" t="s">
        <v>80</v>
      </c>
      <c r="G93" t="s">
        <v>81</v>
      </c>
      <c r="H93" t="s">
        <v>11</v>
      </c>
      <c r="I93" t="s">
        <v>11</v>
      </c>
      <c r="J93" t="s">
        <v>5</v>
      </c>
      <c r="K93" t="s">
        <v>83</v>
      </c>
      <c r="L93" s="3">
        <v>46180</v>
      </c>
      <c r="N93">
        <v>15970085</v>
      </c>
      <c r="O93">
        <v>2</v>
      </c>
      <c r="P93" t="s">
        <v>755</v>
      </c>
      <c r="R93">
        <v>431.94799999999998</v>
      </c>
      <c r="S93" s="3">
        <v>45666</v>
      </c>
      <c r="W93" t="s">
        <v>86</v>
      </c>
      <c r="X93" t="s">
        <v>87</v>
      </c>
      <c r="Y93">
        <v>0</v>
      </c>
      <c r="Z93">
        <v>0</v>
      </c>
      <c r="AC93">
        <v>12565144</v>
      </c>
      <c r="AH93" t="s">
        <v>5</v>
      </c>
      <c r="AI93">
        <v>987559265</v>
      </c>
      <c r="AL93" t="s">
        <v>756</v>
      </c>
      <c r="AO93" t="s">
        <v>757</v>
      </c>
      <c r="AP93" t="s">
        <v>723</v>
      </c>
      <c r="AQ93" t="s">
        <v>724</v>
      </c>
      <c r="AR93" t="s">
        <v>758</v>
      </c>
      <c r="AS93" t="s">
        <v>396</v>
      </c>
      <c r="AT93" t="s">
        <v>141</v>
      </c>
      <c r="AU93" t="s">
        <v>96</v>
      </c>
      <c r="AZ93" t="s">
        <v>98</v>
      </c>
      <c r="BA93" t="s">
        <v>99</v>
      </c>
      <c r="BB93" t="s">
        <v>759</v>
      </c>
      <c r="BC93" t="s">
        <v>153</v>
      </c>
      <c r="BD93" t="s">
        <v>760</v>
      </c>
      <c r="BE93">
        <v>2023</v>
      </c>
      <c r="BF93">
        <v>2023</v>
      </c>
    </row>
    <row r="94" spans="1:58">
      <c r="A94">
        <v>2291099</v>
      </c>
      <c r="B94">
        <v>381</v>
      </c>
      <c r="D94">
        <v>3834831</v>
      </c>
      <c r="F94" t="s">
        <v>80</v>
      </c>
      <c r="G94" t="s">
        <v>81</v>
      </c>
      <c r="H94" t="s">
        <v>115</v>
      </c>
      <c r="I94" t="s">
        <v>115</v>
      </c>
      <c r="J94" t="s">
        <v>5</v>
      </c>
      <c r="K94" t="s">
        <v>83</v>
      </c>
      <c r="L94" s="3">
        <v>46180</v>
      </c>
      <c r="N94">
        <v>16159997</v>
      </c>
      <c r="O94">
        <v>2</v>
      </c>
      <c r="P94" t="s">
        <v>761</v>
      </c>
      <c r="R94">
        <v>208.126</v>
      </c>
      <c r="S94" s="3">
        <v>45664</v>
      </c>
      <c r="W94" t="s">
        <v>86</v>
      </c>
      <c r="X94" t="s">
        <v>87</v>
      </c>
      <c r="Y94">
        <v>0</v>
      </c>
      <c r="Z94">
        <v>0</v>
      </c>
      <c r="AC94">
        <v>3834831</v>
      </c>
      <c r="AH94" t="s">
        <v>5</v>
      </c>
      <c r="AI94">
        <v>948923995</v>
      </c>
      <c r="AL94" t="s">
        <v>762</v>
      </c>
      <c r="AO94" t="s">
        <v>763</v>
      </c>
      <c r="AP94" t="s">
        <v>764</v>
      </c>
      <c r="AQ94" t="s">
        <v>765</v>
      </c>
      <c r="AR94" t="s">
        <v>766</v>
      </c>
      <c r="AS94" t="s">
        <v>767</v>
      </c>
      <c r="AT94" t="s">
        <v>141</v>
      </c>
      <c r="AU94" t="s">
        <v>96</v>
      </c>
      <c r="AZ94" t="s">
        <v>98</v>
      </c>
      <c r="BA94" t="s">
        <v>99</v>
      </c>
      <c r="BB94" t="s">
        <v>768</v>
      </c>
      <c r="BC94" t="s">
        <v>769</v>
      </c>
      <c r="BD94" t="s">
        <v>770</v>
      </c>
      <c r="BE94">
        <v>2017</v>
      </c>
      <c r="BF94">
        <v>2017</v>
      </c>
    </row>
    <row r="95" spans="1:58">
      <c r="A95">
        <v>2297687</v>
      </c>
      <c r="B95">
        <v>411</v>
      </c>
      <c r="D95">
        <v>10777648</v>
      </c>
      <c r="F95" t="s">
        <v>80</v>
      </c>
      <c r="G95" t="s">
        <v>81</v>
      </c>
      <c r="H95" t="s">
        <v>115</v>
      </c>
      <c r="I95" t="s">
        <v>115</v>
      </c>
      <c r="J95" t="s">
        <v>5</v>
      </c>
      <c r="K95" t="s">
        <v>83</v>
      </c>
      <c r="L95" s="3">
        <v>46180</v>
      </c>
      <c r="N95">
        <v>15929792</v>
      </c>
      <c r="O95">
        <v>6</v>
      </c>
      <c r="P95" t="s">
        <v>771</v>
      </c>
      <c r="R95">
        <v>375.94799999999998</v>
      </c>
      <c r="S95" s="3">
        <v>45663</v>
      </c>
      <c r="W95" t="s">
        <v>86</v>
      </c>
      <c r="X95" t="s">
        <v>87</v>
      </c>
      <c r="Y95">
        <v>0</v>
      </c>
      <c r="Z95">
        <v>0</v>
      </c>
      <c r="AC95">
        <v>10777648</v>
      </c>
      <c r="AH95" t="s">
        <v>5</v>
      </c>
      <c r="AI95">
        <v>966605547</v>
      </c>
      <c r="AL95" t="s">
        <v>772</v>
      </c>
      <c r="AO95" t="s">
        <v>773</v>
      </c>
      <c r="AP95" t="s">
        <v>408</v>
      </c>
      <c r="AQ95" t="s">
        <v>92</v>
      </c>
      <c r="AR95" t="s">
        <v>283</v>
      </c>
      <c r="AS95" t="s">
        <v>396</v>
      </c>
      <c r="AT95" t="s">
        <v>122</v>
      </c>
      <c r="AU95" t="s">
        <v>96</v>
      </c>
      <c r="AZ95" t="s">
        <v>111</v>
      </c>
      <c r="BA95" t="s">
        <v>99</v>
      </c>
      <c r="BB95" t="s">
        <v>774</v>
      </c>
      <c r="BC95" t="s">
        <v>775</v>
      </c>
      <c r="BD95" t="s">
        <v>776</v>
      </c>
      <c r="BE95">
        <v>2018</v>
      </c>
      <c r="BF95">
        <v>2018</v>
      </c>
    </row>
    <row r="96" spans="1:58">
      <c r="A96">
        <v>2298622</v>
      </c>
      <c r="B96">
        <v>228</v>
      </c>
      <c r="D96">
        <v>16869176</v>
      </c>
      <c r="F96" t="s">
        <v>80</v>
      </c>
      <c r="G96" t="s">
        <v>81</v>
      </c>
      <c r="H96" t="s">
        <v>11</v>
      </c>
      <c r="I96" t="s">
        <v>11</v>
      </c>
      <c r="J96" t="s">
        <v>5</v>
      </c>
      <c r="K96" t="s">
        <v>83</v>
      </c>
      <c r="L96" s="3">
        <v>46180</v>
      </c>
      <c r="N96">
        <v>14276136</v>
      </c>
      <c r="O96" t="s">
        <v>266</v>
      </c>
      <c r="P96" t="s">
        <v>777</v>
      </c>
      <c r="R96">
        <v>478.84899999999999</v>
      </c>
      <c r="S96" s="3">
        <v>45669</v>
      </c>
      <c r="W96" t="s">
        <v>86</v>
      </c>
      <c r="X96" t="s">
        <v>87</v>
      </c>
      <c r="Y96">
        <v>0</v>
      </c>
      <c r="Z96">
        <v>0</v>
      </c>
      <c r="AC96">
        <v>16869176</v>
      </c>
      <c r="AH96" t="s">
        <v>5</v>
      </c>
      <c r="AI96">
        <v>958107362</v>
      </c>
      <c r="AL96" t="s">
        <v>778</v>
      </c>
      <c r="AO96" t="s">
        <v>779</v>
      </c>
      <c r="AP96" t="s">
        <v>780</v>
      </c>
      <c r="AQ96" t="s">
        <v>188</v>
      </c>
      <c r="AR96" t="s">
        <v>781</v>
      </c>
      <c r="AS96" t="s">
        <v>396</v>
      </c>
      <c r="AT96" t="s">
        <v>141</v>
      </c>
      <c r="AU96" t="s">
        <v>96</v>
      </c>
      <c r="AZ96" t="s">
        <v>98</v>
      </c>
      <c r="BA96" t="s">
        <v>99</v>
      </c>
      <c r="BB96" t="s">
        <v>782</v>
      </c>
      <c r="BC96" t="s">
        <v>153</v>
      </c>
      <c r="BD96" t="s">
        <v>783</v>
      </c>
      <c r="BE96">
        <v>2023</v>
      </c>
      <c r="BF96">
        <v>2023</v>
      </c>
    </row>
    <row r="97" spans="1:58">
      <c r="A97">
        <v>2300266</v>
      </c>
      <c r="B97">
        <v>258</v>
      </c>
      <c r="D97">
        <v>6388538</v>
      </c>
      <c r="F97" t="s">
        <v>80</v>
      </c>
      <c r="G97" t="s">
        <v>81</v>
      </c>
      <c r="H97" t="s">
        <v>11</v>
      </c>
      <c r="I97" t="s">
        <v>11</v>
      </c>
      <c r="J97" t="s">
        <v>5</v>
      </c>
      <c r="K97" t="s">
        <v>83</v>
      </c>
      <c r="L97" s="3">
        <v>46180</v>
      </c>
      <c r="N97">
        <v>17498345</v>
      </c>
      <c r="O97">
        <v>3</v>
      </c>
      <c r="P97" t="s">
        <v>784</v>
      </c>
      <c r="R97">
        <v>259.28199999999998</v>
      </c>
      <c r="S97" s="3">
        <v>45668</v>
      </c>
      <c r="W97" t="s">
        <v>86</v>
      </c>
      <c r="X97" t="s">
        <v>87</v>
      </c>
      <c r="Y97">
        <v>0</v>
      </c>
      <c r="Z97">
        <v>0</v>
      </c>
      <c r="AC97">
        <v>6388538</v>
      </c>
      <c r="AH97" t="s">
        <v>5</v>
      </c>
      <c r="AI97">
        <v>969098534</v>
      </c>
      <c r="AL97" t="s">
        <v>785</v>
      </c>
      <c r="AO97" t="s">
        <v>786</v>
      </c>
      <c r="AP97" t="s">
        <v>433</v>
      </c>
      <c r="AQ97" t="s">
        <v>434</v>
      </c>
      <c r="AR97" t="s">
        <v>787</v>
      </c>
      <c r="AS97" t="s">
        <v>162</v>
      </c>
      <c r="AT97" t="s">
        <v>122</v>
      </c>
      <c r="AU97" t="s">
        <v>96</v>
      </c>
      <c r="AZ97" t="s">
        <v>111</v>
      </c>
      <c r="BA97" t="s">
        <v>99</v>
      </c>
      <c r="BB97" t="s">
        <v>788</v>
      </c>
      <c r="BC97" t="s">
        <v>278</v>
      </c>
      <c r="BD97" t="s">
        <v>789</v>
      </c>
      <c r="BE97">
        <v>2016</v>
      </c>
      <c r="BF97">
        <v>2016</v>
      </c>
    </row>
    <row r="98" spans="1:58">
      <c r="A98">
        <v>2310878</v>
      </c>
      <c r="B98">
        <v>1</v>
      </c>
      <c r="D98">
        <v>12635982</v>
      </c>
      <c r="F98" t="s">
        <v>80</v>
      </c>
      <c r="G98" t="s">
        <v>81</v>
      </c>
      <c r="H98" t="s">
        <v>11</v>
      </c>
      <c r="I98" t="s">
        <v>11</v>
      </c>
      <c r="J98" t="s">
        <v>5</v>
      </c>
      <c r="K98" t="s">
        <v>83</v>
      </c>
      <c r="L98" s="3">
        <v>46180</v>
      </c>
      <c r="M98" t="s">
        <v>193</v>
      </c>
      <c r="N98">
        <v>16782801</v>
      </c>
      <c r="O98">
        <v>9</v>
      </c>
      <c r="P98" t="s">
        <v>790</v>
      </c>
      <c r="R98">
        <v>656.33299999999997</v>
      </c>
      <c r="S98" s="3">
        <v>46028</v>
      </c>
      <c r="W98" t="s">
        <v>86</v>
      </c>
      <c r="Y98">
        <v>0</v>
      </c>
      <c r="Z98">
        <v>0</v>
      </c>
      <c r="AC98">
        <v>12635982</v>
      </c>
      <c r="AH98" t="s">
        <v>5</v>
      </c>
      <c r="AI98">
        <v>940839524</v>
      </c>
      <c r="AL98" t="s">
        <v>791</v>
      </c>
      <c r="AO98" t="s">
        <v>792</v>
      </c>
      <c r="AP98" t="s">
        <v>337</v>
      </c>
      <c r="AQ98" t="s">
        <v>338</v>
      </c>
      <c r="AR98" t="s">
        <v>793</v>
      </c>
      <c r="AS98" t="s">
        <v>121</v>
      </c>
      <c r="AT98" t="s">
        <v>141</v>
      </c>
      <c r="AU98" t="s">
        <v>96</v>
      </c>
      <c r="AZ98" t="s">
        <v>98</v>
      </c>
      <c r="BA98" t="s">
        <v>99</v>
      </c>
      <c r="BB98" t="s">
        <v>794</v>
      </c>
      <c r="BC98" t="s">
        <v>795</v>
      </c>
      <c r="BD98" t="s">
        <v>796</v>
      </c>
      <c r="BE98">
        <v>2018</v>
      </c>
      <c r="BF98">
        <v>2018</v>
      </c>
    </row>
    <row r="99" spans="1:58">
      <c r="A99">
        <v>2316103</v>
      </c>
      <c r="B99">
        <v>411</v>
      </c>
      <c r="D99">
        <v>8882006</v>
      </c>
      <c r="F99" t="s">
        <v>80</v>
      </c>
      <c r="G99" t="s">
        <v>81</v>
      </c>
      <c r="H99" t="s">
        <v>115</v>
      </c>
      <c r="I99" t="s">
        <v>115</v>
      </c>
      <c r="J99" t="s">
        <v>5</v>
      </c>
      <c r="K99" t="s">
        <v>83</v>
      </c>
      <c r="L99" s="3">
        <v>46180</v>
      </c>
      <c r="N99">
        <v>76287256</v>
      </c>
      <c r="O99">
        <v>0</v>
      </c>
      <c r="P99" t="s">
        <v>797</v>
      </c>
      <c r="R99">
        <v>234.34700000000001</v>
      </c>
      <c r="S99" s="3">
        <v>45663</v>
      </c>
      <c r="W99" t="s">
        <v>86</v>
      </c>
      <c r="X99" t="s">
        <v>87</v>
      </c>
      <c r="Y99">
        <v>0</v>
      </c>
      <c r="Z99">
        <v>0</v>
      </c>
      <c r="AC99">
        <v>8882006</v>
      </c>
      <c r="AE99" t="s">
        <v>203</v>
      </c>
      <c r="AF99" t="s">
        <v>80</v>
      </c>
      <c r="AH99" t="s">
        <v>5</v>
      </c>
      <c r="AI99">
        <v>942283930</v>
      </c>
      <c r="AL99" t="s">
        <v>798</v>
      </c>
      <c r="AO99" t="s">
        <v>799</v>
      </c>
      <c r="AP99" t="s">
        <v>800</v>
      </c>
      <c r="AQ99" t="s">
        <v>801</v>
      </c>
      <c r="AR99" t="s">
        <v>802</v>
      </c>
      <c r="AS99" t="s">
        <v>455</v>
      </c>
      <c r="AT99" t="s">
        <v>122</v>
      </c>
      <c r="AU99" t="s">
        <v>96</v>
      </c>
      <c r="AZ99" t="s">
        <v>111</v>
      </c>
      <c r="BA99" t="s">
        <v>99</v>
      </c>
      <c r="BB99" t="s">
        <v>803</v>
      </c>
      <c r="BC99" t="s">
        <v>804</v>
      </c>
      <c r="BD99" t="s">
        <v>805</v>
      </c>
      <c r="BE99">
        <v>2022</v>
      </c>
      <c r="BF99">
        <v>2022</v>
      </c>
    </row>
    <row r="100" spans="1:58">
      <c r="A100">
        <v>2317511</v>
      </c>
      <c r="B100">
        <v>1</v>
      </c>
      <c r="D100">
        <v>7166910</v>
      </c>
      <c r="F100" t="s">
        <v>80</v>
      </c>
      <c r="G100" t="s">
        <v>81</v>
      </c>
      <c r="H100" t="s">
        <v>11</v>
      </c>
      <c r="I100" t="s">
        <v>11</v>
      </c>
      <c r="J100" t="s">
        <v>5</v>
      </c>
      <c r="K100" t="s">
        <v>83</v>
      </c>
      <c r="L100" s="3">
        <v>46180</v>
      </c>
      <c r="M100" t="s">
        <v>193</v>
      </c>
      <c r="N100">
        <v>11478052</v>
      </c>
      <c r="O100">
        <v>9</v>
      </c>
      <c r="P100" t="s">
        <v>806</v>
      </c>
      <c r="R100">
        <v>356.72800000000001</v>
      </c>
      <c r="S100" s="3">
        <v>46028</v>
      </c>
      <c r="W100" t="s">
        <v>86</v>
      </c>
      <c r="Y100">
        <v>0</v>
      </c>
      <c r="Z100">
        <v>0</v>
      </c>
      <c r="AC100">
        <v>7166910</v>
      </c>
      <c r="AH100" t="s">
        <v>5</v>
      </c>
      <c r="AL100" t="s">
        <v>807</v>
      </c>
      <c r="AO100" t="s">
        <v>808</v>
      </c>
      <c r="AP100" t="s">
        <v>426</v>
      </c>
      <c r="AQ100" t="s">
        <v>92</v>
      </c>
      <c r="AR100" t="s">
        <v>809</v>
      </c>
      <c r="AS100" t="s">
        <v>243</v>
      </c>
      <c r="AT100" t="s">
        <v>122</v>
      </c>
      <c r="AU100" t="s">
        <v>96</v>
      </c>
      <c r="AZ100" t="s">
        <v>111</v>
      </c>
      <c r="BA100" t="s">
        <v>99</v>
      </c>
      <c r="BB100" t="s">
        <v>810</v>
      </c>
      <c r="BC100" t="s">
        <v>811</v>
      </c>
      <c r="BD100" t="s">
        <v>812</v>
      </c>
      <c r="BE100">
        <v>2023</v>
      </c>
      <c r="BF100">
        <v>2023</v>
      </c>
    </row>
    <row r="101" spans="1:58">
      <c r="A101">
        <v>2335172</v>
      </c>
      <c r="B101">
        <v>381</v>
      </c>
      <c r="D101">
        <v>8268333</v>
      </c>
      <c r="F101" t="s">
        <v>80</v>
      </c>
      <c r="G101" t="s">
        <v>81</v>
      </c>
      <c r="H101" t="s">
        <v>115</v>
      </c>
      <c r="I101" t="s">
        <v>115</v>
      </c>
      <c r="J101" t="s">
        <v>5</v>
      </c>
      <c r="K101" t="s">
        <v>83</v>
      </c>
      <c r="L101" s="3">
        <v>46180</v>
      </c>
      <c r="N101">
        <v>13463717</v>
      </c>
      <c r="O101" t="s">
        <v>266</v>
      </c>
      <c r="P101" t="s">
        <v>813</v>
      </c>
      <c r="R101">
        <v>154.91900000000001</v>
      </c>
      <c r="S101" s="3">
        <v>45664</v>
      </c>
      <c r="W101" t="s">
        <v>86</v>
      </c>
      <c r="Y101">
        <v>0</v>
      </c>
      <c r="Z101">
        <v>0</v>
      </c>
      <c r="AC101">
        <v>2635048</v>
      </c>
      <c r="AH101" t="s">
        <v>5</v>
      </c>
      <c r="AI101">
        <v>95636771</v>
      </c>
      <c r="AL101" t="s">
        <v>814</v>
      </c>
      <c r="AO101" t="s">
        <v>815</v>
      </c>
      <c r="AP101" t="s">
        <v>800</v>
      </c>
      <c r="AQ101" t="s">
        <v>801</v>
      </c>
      <c r="AR101" t="s">
        <v>816</v>
      </c>
      <c r="AS101" t="s">
        <v>323</v>
      </c>
      <c r="AT101" t="s">
        <v>110</v>
      </c>
      <c r="AU101" t="s">
        <v>96</v>
      </c>
      <c r="AZ101" t="s">
        <v>111</v>
      </c>
      <c r="BA101" t="s">
        <v>221</v>
      </c>
      <c r="BB101" t="s">
        <v>817</v>
      </c>
      <c r="BC101" t="s">
        <v>287</v>
      </c>
      <c r="BD101" t="s">
        <v>818</v>
      </c>
      <c r="BE101">
        <v>2021</v>
      </c>
      <c r="BF101">
        <v>2021</v>
      </c>
    </row>
    <row r="102" spans="1:58">
      <c r="A102">
        <v>2344791</v>
      </c>
      <c r="B102">
        <v>77</v>
      </c>
      <c r="D102">
        <v>4072068</v>
      </c>
      <c r="F102" t="s">
        <v>80</v>
      </c>
      <c r="G102" t="s">
        <v>81</v>
      </c>
      <c r="H102" t="s">
        <v>11</v>
      </c>
      <c r="I102" t="s">
        <v>11</v>
      </c>
      <c r="J102" t="s">
        <v>5</v>
      </c>
      <c r="K102" t="s">
        <v>83</v>
      </c>
      <c r="L102" s="3">
        <v>46180</v>
      </c>
      <c r="M102" t="s">
        <v>193</v>
      </c>
      <c r="N102">
        <v>18829441</v>
      </c>
      <c r="O102">
        <v>3</v>
      </c>
      <c r="P102" t="s">
        <v>819</v>
      </c>
      <c r="R102">
        <v>407.20699999999999</v>
      </c>
      <c r="S102" s="3">
        <v>46027</v>
      </c>
      <c r="W102" t="s">
        <v>86</v>
      </c>
      <c r="X102" t="s">
        <v>87</v>
      </c>
      <c r="Y102">
        <v>0</v>
      </c>
      <c r="Z102">
        <v>0</v>
      </c>
      <c r="AC102">
        <v>4072068</v>
      </c>
      <c r="AH102" t="s">
        <v>5</v>
      </c>
      <c r="AI102">
        <v>964630509</v>
      </c>
      <c r="AL102" t="s">
        <v>820</v>
      </c>
      <c r="AO102" t="s">
        <v>821</v>
      </c>
      <c r="AP102" t="s">
        <v>822</v>
      </c>
      <c r="AQ102" t="s">
        <v>92</v>
      </c>
      <c r="AR102" t="s">
        <v>823</v>
      </c>
      <c r="AS102" t="s">
        <v>198</v>
      </c>
      <c r="AT102" t="s">
        <v>141</v>
      </c>
      <c r="AU102" t="s">
        <v>96</v>
      </c>
      <c r="AZ102" t="s">
        <v>98</v>
      </c>
      <c r="BA102" t="s">
        <v>99</v>
      </c>
      <c r="BB102" t="s">
        <v>824</v>
      </c>
      <c r="BC102" t="s">
        <v>825</v>
      </c>
      <c r="BD102" t="s">
        <v>826</v>
      </c>
      <c r="BE102">
        <v>2018</v>
      </c>
      <c r="BF102">
        <v>2018</v>
      </c>
    </row>
    <row r="103" spans="1:58">
      <c r="A103">
        <v>2359330</v>
      </c>
      <c r="B103">
        <v>531</v>
      </c>
      <c r="D103">
        <v>17079615</v>
      </c>
      <c r="F103" t="s">
        <v>80</v>
      </c>
      <c r="G103" t="s">
        <v>81</v>
      </c>
      <c r="H103" t="s">
        <v>115</v>
      </c>
      <c r="I103" t="s">
        <v>115</v>
      </c>
      <c r="J103" t="s">
        <v>5</v>
      </c>
      <c r="K103" t="s">
        <v>83</v>
      </c>
      <c r="L103" s="3">
        <v>46180</v>
      </c>
      <c r="N103">
        <v>14387173</v>
      </c>
      <c r="O103">
        <v>8</v>
      </c>
      <c r="P103" t="s">
        <v>827</v>
      </c>
      <c r="R103">
        <v>457.24099999999999</v>
      </c>
      <c r="S103" s="3">
        <v>45659</v>
      </c>
      <c r="W103" t="s">
        <v>86</v>
      </c>
      <c r="X103" t="s">
        <v>87</v>
      </c>
      <c r="Y103">
        <v>0</v>
      </c>
      <c r="Z103">
        <v>0</v>
      </c>
      <c r="AC103">
        <v>12021615</v>
      </c>
      <c r="AE103" t="s">
        <v>248</v>
      </c>
      <c r="AF103" t="s">
        <v>80</v>
      </c>
      <c r="AH103" t="s">
        <v>5</v>
      </c>
      <c r="AI103">
        <v>971808740</v>
      </c>
      <c r="AL103" t="s">
        <v>828</v>
      </c>
      <c r="AO103" t="s">
        <v>829</v>
      </c>
      <c r="AP103" t="s">
        <v>830</v>
      </c>
      <c r="AQ103" t="s">
        <v>92</v>
      </c>
      <c r="AR103" t="s">
        <v>151</v>
      </c>
      <c r="AS103" t="s">
        <v>831</v>
      </c>
      <c r="AT103" t="s">
        <v>122</v>
      </c>
      <c r="AU103" t="s">
        <v>285</v>
      </c>
      <c r="AW103" t="s">
        <v>410</v>
      </c>
      <c r="AX103" t="s">
        <v>248</v>
      </c>
      <c r="AY103" s="3">
        <v>46241</v>
      </c>
      <c r="AZ103" t="s">
        <v>111</v>
      </c>
      <c r="BA103" t="s">
        <v>285</v>
      </c>
      <c r="BB103" t="s">
        <v>832</v>
      </c>
      <c r="BC103" t="s">
        <v>833</v>
      </c>
      <c r="BD103" t="s">
        <v>834</v>
      </c>
      <c r="BE103">
        <v>2023</v>
      </c>
      <c r="BF103">
        <v>2023</v>
      </c>
    </row>
    <row r="104" spans="1:58">
      <c r="A104">
        <v>2361546</v>
      </c>
      <c r="B104">
        <v>289</v>
      </c>
      <c r="D104">
        <v>5966279</v>
      </c>
      <c r="F104" t="s">
        <v>80</v>
      </c>
      <c r="G104" t="s">
        <v>81</v>
      </c>
      <c r="H104" t="s">
        <v>11</v>
      </c>
      <c r="I104" t="s">
        <v>11</v>
      </c>
      <c r="J104" t="s">
        <v>5</v>
      </c>
      <c r="K104" t="s">
        <v>83</v>
      </c>
      <c r="L104" s="3">
        <v>46180</v>
      </c>
      <c r="N104">
        <v>18845546</v>
      </c>
      <c r="O104">
        <v>8</v>
      </c>
      <c r="P104" t="s">
        <v>835</v>
      </c>
      <c r="R104">
        <v>234.494</v>
      </c>
      <c r="S104" s="3">
        <v>45667</v>
      </c>
      <c r="W104" t="s">
        <v>86</v>
      </c>
      <c r="X104" t="s">
        <v>87</v>
      </c>
      <c r="Y104">
        <v>0</v>
      </c>
      <c r="Z104">
        <v>0</v>
      </c>
      <c r="AC104">
        <v>4966279</v>
      </c>
      <c r="AE104" t="s">
        <v>248</v>
      </c>
      <c r="AF104" t="s">
        <v>80</v>
      </c>
      <c r="AH104" t="s">
        <v>5</v>
      </c>
      <c r="AI104">
        <v>981279138</v>
      </c>
      <c r="AL104" t="s">
        <v>836</v>
      </c>
      <c r="AO104" t="s">
        <v>837</v>
      </c>
      <c r="AP104" t="s">
        <v>321</v>
      </c>
      <c r="AQ104" t="s">
        <v>322</v>
      </c>
      <c r="AR104" t="s">
        <v>838</v>
      </c>
      <c r="AS104" t="s">
        <v>556</v>
      </c>
      <c r="AT104" t="s">
        <v>122</v>
      </c>
      <c r="AU104" t="s">
        <v>96</v>
      </c>
      <c r="AZ104" t="s">
        <v>111</v>
      </c>
      <c r="BA104" t="s">
        <v>99</v>
      </c>
      <c r="BB104" t="s">
        <v>839</v>
      </c>
      <c r="BC104" t="s">
        <v>348</v>
      </c>
      <c r="BD104" t="s">
        <v>840</v>
      </c>
      <c r="BE104">
        <v>2017</v>
      </c>
      <c r="BF104">
        <v>2017</v>
      </c>
    </row>
    <row r="105" spans="1:58">
      <c r="A105">
        <v>2369302</v>
      </c>
      <c r="B105">
        <v>138</v>
      </c>
      <c r="D105">
        <v>5129690</v>
      </c>
      <c r="F105" t="s">
        <v>80</v>
      </c>
      <c r="G105" t="s">
        <v>81</v>
      </c>
      <c r="H105" t="s">
        <v>11</v>
      </c>
      <c r="I105" t="s">
        <v>11</v>
      </c>
      <c r="J105" t="s">
        <v>5</v>
      </c>
      <c r="K105" t="s">
        <v>83</v>
      </c>
      <c r="L105" s="3">
        <v>46180</v>
      </c>
      <c r="M105" t="s">
        <v>193</v>
      </c>
      <c r="N105">
        <v>23133644</v>
      </c>
      <c r="O105">
        <v>3</v>
      </c>
      <c r="P105" t="s">
        <v>841</v>
      </c>
      <c r="R105">
        <v>225.78800000000001</v>
      </c>
      <c r="S105" s="3">
        <v>46025</v>
      </c>
      <c r="W105" t="s">
        <v>86</v>
      </c>
      <c r="X105" t="s">
        <v>87</v>
      </c>
      <c r="Y105">
        <v>0</v>
      </c>
      <c r="Z105">
        <v>0</v>
      </c>
      <c r="AC105">
        <v>5129690</v>
      </c>
      <c r="AH105" t="s">
        <v>5</v>
      </c>
      <c r="AI105">
        <v>973595974</v>
      </c>
      <c r="AL105" t="s">
        <v>842</v>
      </c>
      <c r="AO105" t="s">
        <v>843</v>
      </c>
      <c r="AP105" t="s">
        <v>107</v>
      </c>
      <c r="AQ105" t="s">
        <v>92</v>
      </c>
      <c r="AR105" t="s">
        <v>345</v>
      </c>
      <c r="AS105" t="s">
        <v>171</v>
      </c>
      <c r="AT105" t="s">
        <v>122</v>
      </c>
      <c r="AU105" t="s">
        <v>96</v>
      </c>
      <c r="AZ105" t="s">
        <v>111</v>
      </c>
      <c r="BA105" t="s">
        <v>99</v>
      </c>
      <c r="BB105" t="s">
        <v>844</v>
      </c>
      <c r="BC105" t="s">
        <v>412</v>
      </c>
      <c r="BD105" t="s">
        <v>845</v>
      </c>
      <c r="BE105">
        <v>2023</v>
      </c>
      <c r="BF105">
        <v>2023</v>
      </c>
    </row>
    <row r="106" spans="1:58">
      <c r="A106">
        <v>2387636</v>
      </c>
      <c r="B106">
        <v>228</v>
      </c>
      <c r="D106">
        <v>6640921</v>
      </c>
      <c r="F106" t="s">
        <v>80</v>
      </c>
      <c r="G106" t="s">
        <v>81</v>
      </c>
      <c r="H106" t="s">
        <v>11</v>
      </c>
      <c r="I106" t="s">
        <v>11</v>
      </c>
      <c r="J106" t="s">
        <v>5</v>
      </c>
      <c r="K106" t="s">
        <v>83</v>
      </c>
      <c r="L106" s="3">
        <v>46180</v>
      </c>
      <c r="N106">
        <v>77333385</v>
      </c>
      <c r="O106">
        <v>8</v>
      </c>
      <c r="P106" t="s">
        <v>846</v>
      </c>
      <c r="R106">
        <v>264.74299999999999</v>
      </c>
      <c r="S106" s="3">
        <v>45669</v>
      </c>
      <c r="W106" t="s">
        <v>86</v>
      </c>
      <c r="X106" t="s">
        <v>87</v>
      </c>
      <c r="Y106">
        <v>0</v>
      </c>
      <c r="Z106">
        <v>0</v>
      </c>
      <c r="AC106">
        <v>6640921</v>
      </c>
      <c r="AH106" t="s">
        <v>5</v>
      </c>
      <c r="AI106">
        <v>986919657</v>
      </c>
      <c r="AL106" t="s">
        <v>847</v>
      </c>
      <c r="AO106" t="s">
        <v>848</v>
      </c>
      <c r="AP106" t="s">
        <v>608</v>
      </c>
      <c r="AQ106" t="s">
        <v>92</v>
      </c>
      <c r="AR106" t="s">
        <v>849</v>
      </c>
      <c r="AS106" t="s">
        <v>171</v>
      </c>
      <c r="AT106" t="s">
        <v>122</v>
      </c>
      <c r="AU106" t="s">
        <v>96</v>
      </c>
      <c r="AZ106" t="s">
        <v>111</v>
      </c>
      <c r="BA106" t="s">
        <v>99</v>
      </c>
      <c r="BB106" t="s">
        <v>850</v>
      </c>
      <c r="BC106" t="s">
        <v>421</v>
      </c>
      <c r="BD106" t="s">
        <v>851</v>
      </c>
      <c r="BE106">
        <v>2023</v>
      </c>
      <c r="BF106">
        <v>2023</v>
      </c>
    </row>
    <row r="107" spans="1:58">
      <c r="A107">
        <v>2388892</v>
      </c>
      <c r="B107">
        <v>228</v>
      </c>
      <c r="D107">
        <v>9061783</v>
      </c>
      <c r="F107" t="s">
        <v>80</v>
      </c>
      <c r="G107" t="s">
        <v>81</v>
      </c>
      <c r="H107" t="s">
        <v>11</v>
      </c>
      <c r="I107" t="s">
        <v>11</v>
      </c>
      <c r="J107" t="s">
        <v>5</v>
      </c>
      <c r="K107" t="s">
        <v>83</v>
      </c>
      <c r="L107" s="3">
        <v>46180</v>
      </c>
      <c r="N107">
        <v>27044510</v>
      </c>
      <c r="O107">
        <v>1</v>
      </c>
      <c r="P107" t="s">
        <v>852</v>
      </c>
      <c r="R107">
        <v>317.89100000000002</v>
      </c>
      <c r="S107" s="3">
        <v>45669</v>
      </c>
      <c r="W107" t="s">
        <v>86</v>
      </c>
      <c r="X107" t="s">
        <v>87</v>
      </c>
      <c r="Y107">
        <v>0</v>
      </c>
      <c r="Z107">
        <v>0</v>
      </c>
      <c r="AC107">
        <v>9061783</v>
      </c>
      <c r="AH107" t="s">
        <v>5</v>
      </c>
      <c r="AI107">
        <v>934225833</v>
      </c>
      <c r="AL107" t="s">
        <v>853</v>
      </c>
      <c r="AO107" t="s">
        <v>854</v>
      </c>
      <c r="AP107" t="s">
        <v>855</v>
      </c>
      <c r="AQ107" t="s">
        <v>856</v>
      </c>
      <c r="AR107" t="s">
        <v>857</v>
      </c>
      <c r="AS107" t="s">
        <v>236</v>
      </c>
      <c r="AT107" t="s">
        <v>141</v>
      </c>
      <c r="AU107" t="s">
        <v>96</v>
      </c>
      <c r="AZ107" t="s">
        <v>98</v>
      </c>
      <c r="BA107" t="s">
        <v>99</v>
      </c>
      <c r="BB107" t="s">
        <v>858</v>
      </c>
      <c r="BC107" t="s">
        <v>287</v>
      </c>
      <c r="BD107" t="s">
        <v>859</v>
      </c>
      <c r="BE107">
        <v>2023</v>
      </c>
      <c r="BF107">
        <v>2023</v>
      </c>
    </row>
    <row r="108" spans="1:58">
      <c r="A108">
        <v>2396322</v>
      </c>
      <c r="B108">
        <v>228</v>
      </c>
      <c r="D108">
        <v>7589257</v>
      </c>
      <c r="F108" t="s">
        <v>80</v>
      </c>
      <c r="G108" t="s">
        <v>81</v>
      </c>
      <c r="H108" t="s">
        <v>11</v>
      </c>
      <c r="I108" t="s">
        <v>11</v>
      </c>
      <c r="J108" t="s">
        <v>5</v>
      </c>
      <c r="K108" t="s">
        <v>83</v>
      </c>
      <c r="L108" s="3">
        <v>46180</v>
      </c>
      <c r="N108">
        <v>18878690</v>
      </c>
      <c r="O108">
        <v>1</v>
      </c>
      <c r="P108" t="s">
        <v>860</v>
      </c>
      <c r="R108">
        <v>217.17500000000001</v>
      </c>
      <c r="S108" s="3">
        <v>45669</v>
      </c>
      <c r="W108" t="s">
        <v>86</v>
      </c>
      <c r="X108" t="s">
        <v>87</v>
      </c>
      <c r="Y108">
        <v>0</v>
      </c>
      <c r="Z108">
        <v>0</v>
      </c>
      <c r="AC108">
        <v>7589257</v>
      </c>
      <c r="AH108" t="s">
        <v>5</v>
      </c>
      <c r="AI108">
        <v>977715853</v>
      </c>
      <c r="AL108" t="s">
        <v>861</v>
      </c>
      <c r="AO108" t="s">
        <v>862</v>
      </c>
      <c r="AP108" t="s">
        <v>863</v>
      </c>
      <c r="AQ108" t="s">
        <v>188</v>
      </c>
      <c r="AR108" t="s">
        <v>864</v>
      </c>
      <c r="AS108" t="s">
        <v>121</v>
      </c>
      <c r="AT108" t="s">
        <v>122</v>
      </c>
      <c r="AU108" t="s">
        <v>96</v>
      </c>
      <c r="AZ108" t="s">
        <v>111</v>
      </c>
      <c r="BA108" t="s">
        <v>99</v>
      </c>
      <c r="BB108" t="s">
        <v>865</v>
      </c>
      <c r="BC108" t="s">
        <v>230</v>
      </c>
      <c r="BD108" t="s">
        <v>866</v>
      </c>
      <c r="BE108">
        <v>2023</v>
      </c>
      <c r="BF108">
        <v>2023</v>
      </c>
    </row>
    <row r="109" spans="1:58">
      <c r="A109">
        <v>2410360</v>
      </c>
      <c r="B109">
        <v>319</v>
      </c>
      <c r="D109">
        <v>5047680</v>
      </c>
      <c r="F109" t="s">
        <v>80</v>
      </c>
      <c r="G109" t="s">
        <v>81</v>
      </c>
      <c r="H109" t="s">
        <v>11</v>
      </c>
      <c r="I109" t="s">
        <v>11</v>
      </c>
      <c r="J109" t="s">
        <v>5</v>
      </c>
      <c r="K109" t="s">
        <v>83</v>
      </c>
      <c r="L109" s="3">
        <v>46180</v>
      </c>
      <c r="N109">
        <v>13291544</v>
      </c>
      <c r="O109" t="s">
        <v>266</v>
      </c>
      <c r="P109" t="s">
        <v>867</v>
      </c>
      <c r="R109">
        <v>274.774</v>
      </c>
      <c r="S109" s="3">
        <v>45666</v>
      </c>
      <c r="W109" t="s">
        <v>86</v>
      </c>
      <c r="X109" t="s">
        <v>87</v>
      </c>
      <c r="Y109">
        <v>0</v>
      </c>
      <c r="Z109">
        <v>0</v>
      </c>
      <c r="AC109">
        <v>2467300</v>
      </c>
      <c r="AE109" t="s">
        <v>248</v>
      </c>
      <c r="AF109" t="s">
        <v>80</v>
      </c>
      <c r="AH109" t="s">
        <v>5</v>
      </c>
      <c r="AI109">
        <v>948899401</v>
      </c>
      <c r="AL109" t="s">
        <v>868</v>
      </c>
      <c r="AO109" t="s">
        <v>869</v>
      </c>
      <c r="AP109" t="s">
        <v>408</v>
      </c>
      <c r="AQ109" t="s">
        <v>92</v>
      </c>
      <c r="AR109" t="s">
        <v>870</v>
      </c>
      <c r="AS109" t="s">
        <v>767</v>
      </c>
      <c r="AT109" t="s">
        <v>122</v>
      </c>
      <c r="AU109" t="s">
        <v>285</v>
      </c>
      <c r="AZ109" t="s">
        <v>111</v>
      </c>
      <c r="BA109" t="s">
        <v>285</v>
      </c>
      <c r="BB109" t="s">
        <v>871</v>
      </c>
      <c r="BC109" t="s">
        <v>421</v>
      </c>
      <c r="BD109" t="s">
        <v>872</v>
      </c>
      <c r="BE109">
        <v>2023</v>
      </c>
      <c r="BF109">
        <v>2023</v>
      </c>
    </row>
    <row r="110" spans="1:58">
      <c r="A110">
        <v>2413831</v>
      </c>
      <c r="B110">
        <v>107</v>
      </c>
      <c r="D110">
        <v>6837415</v>
      </c>
      <c r="F110" t="s">
        <v>80</v>
      </c>
      <c r="G110" t="s">
        <v>81</v>
      </c>
      <c r="H110" t="s">
        <v>11</v>
      </c>
      <c r="I110" t="s">
        <v>11</v>
      </c>
      <c r="J110" t="s">
        <v>5</v>
      </c>
      <c r="K110" t="s">
        <v>83</v>
      </c>
      <c r="L110" s="3">
        <v>46180</v>
      </c>
      <c r="M110" t="s">
        <v>193</v>
      </c>
      <c r="N110">
        <v>18942324</v>
      </c>
      <c r="O110">
        <v>1</v>
      </c>
      <c r="P110" t="s">
        <v>873</v>
      </c>
      <c r="R110">
        <v>245.23</v>
      </c>
      <c r="S110" s="3">
        <v>46026</v>
      </c>
      <c r="W110" t="s">
        <v>86</v>
      </c>
      <c r="X110" t="s">
        <v>87</v>
      </c>
      <c r="Y110">
        <v>0</v>
      </c>
      <c r="Z110">
        <v>0</v>
      </c>
      <c r="AC110">
        <v>6837415</v>
      </c>
      <c r="AH110" t="s">
        <v>5</v>
      </c>
      <c r="AI110">
        <v>937128880</v>
      </c>
      <c r="AL110" t="s">
        <v>874</v>
      </c>
      <c r="AO110" t="s">
        <v>875</v>
      </c>
      <c r="AP110" t="s">
        <v>876</v>
      </c>
      <c r="AQ110" t="s">
        <v>299</v>
      </c>
      <c r="AR110" t="s">
        <v>877</v>
      </c>
      <c r="AS110" t="s">
        <v>396</v>
      </c>
      <c r="AT110" t="s">
        <v>141</v>
      </c>
      <c r="AU110" t="s">
        <v>96</v>
      </c>
      <c r="AZ110" t="s">
        <v>98</v>
      </c>
      <c r="BA110" t="s">
        <v>99</v>
      </c>
      <c r="BB110" t="s">
        <v>878</v>
      </c>
      <c r="BC110" t="s">
        <v>182</v>
      </c>
      <c r="BD110" t="s">
        <v>303</v>
      </c>
      <c r="BE110">
        <v>2023</v>
      </c>
      <c r="BF110">
        <v>2023</v>
      </c>
    </row>
    <row r="111" spans="1:58">
      <c r="A111">
        <v>2438681</v>
      </c>
      <c r="B111">
        <v>107</v>
      </c>
      <c r="D111">
        <v>11514016</v>
      </c>
      <c r="F111" t="s">
        <v>80</v>
      </c>
      <c r="G111" t="s">
        <v>81</v>
      </c>
      <c r="H111" t="s">
        <v>11</v>
      </c>
      <c r="I111" t="s">
        <v>11</v>
      </c>
      <c r="J111" t="s">
        <v>5</v>
      </c>
      <c r="K111" t="s">
        <v>83</v>
      </c>
      <c r="L111" s="3">
        <v>46180</v>
      </c>
      <c r="M111" t="s">
        <v>193</v>
      </c>
      <c r="N111">
        <v>15989026</v>
      </c>
      <c r="O111">
        <v>0</v>
      </c>
      <c r="P111" t="s">
        <v>879</v>
      </c>
      <c r="R111">
        <v>346.63499999999999</v>
      </c>
      <c r="S111" s="3">
        <v>46026</v>
      </c>
      <c r="W111" t="s">
        <v>86</v>
      </c>
      <c r="X111" t="s">
        <v>87</v>
      </c>
      <c r="Y111">
        <v>0</v>
      </c>
      <c r="Z111">
        <v>0</v>
      </c>
      <c r="AC111">
        <v>11512448</v>
      </c>
      <c r="AH111" t="s">
        <v>5</v>
      </c>
      <c r="AI111">
        <v>967317680</v>
      </c>
      <c r="AL111" t="s">
        <v>880</v>
      </c>
      <c r="AO111" t="s">
        <v>881</v>
      </c>
      <c r="AP111" t="s">
        <v>882</v>
      </c>
      <c r="AQ111" t="s">
        <v>178</v>
      </c>
      <c r="AR111" t="s">
        <v>883</v>
      </c>
      <c r="AS111" t="s">
        <v>208</v>
      </c>
      <c r="AT111" t="s">
        <v>141</v>
      </c>
      <c r="AU111" t="s">
        <v>96</v>
      </c>
      <c r="AZ111" t="s">
        <v>98</v>
      </c>
      <c r="BA111" t="s">
        <v>99</v>
      </c>
      <c r="BB111" t="s">
        <v>884</v>
      </c>
      <c r="BC111" t="s">
        <v>153</v>
      </c>
      <c r="BD111" t="s">
        <v>885</v>
      </c>
      <c r="BE111">
        <v>2023</v>
      </c>
      <c r="BF111">
        <v>2023</v>
      </c>
    </row>
    <row r="112" spans="1:58">
      <c r="A112">
        <v>2439077</v>
      </c>
      <c r="B112">
        <v>472</v>
      </c>
      <c r="D112">
        <v>11721353</v>
      </c>
      <c r="F112" t="s">
        <v>80</v>
      </c>
      <c r="G112" t="s">
        <v>81</v>
      </c>
      <c r="H112" t="s">
        <v>115</v>
      </c>
      <c r="I112" t="s">
        <v>115</v>
      </c>
      <c r="J112" t="s">
        <v>5</v>
      </c>
      <c r="K112" t="s">
        <v>83</v>
      </c>
      <c r="L112" s="3">
        <v>46180</v>
      </c>
      <c r="N112">
        <v>17260232</v>
      </c>
      <c r="O112">
        <v>0</v>
      </c>
      <c r="P112" t="s">
        <v>886</v>
      </c>
      <c r="R112">
        <v>332.50700000000001</v>
      </c>
      <c r="S112" s="3">
        <v>45661</v>
      </c>
      <c r="W112" t="s">
        <v>86</v>
      </c>
      <c r="X112" t="s">
        <v>87</v>
      </c>
      <c r="Y112">
        <v>0</v>
      </c>
      <c r="Z112">
        <v>0</v>
      </c>
      <c r="AC112">
        <v>11721353</v>
      </c>
      <c r="AH112" t="s">
        <v>5</v>
      </c>
      <c r="AI112">
        <v>988357860</v>
      </c>
      <c r="AL112" t="s">
        <v>887</v>
      </c>
      <c r="AO112" t="s">
        <v>888</v>
      </c>
      <c r="AP112" t="s">
        <v>889</v>
      </c>
      <c r="AQ112" t="s">
        <v>765</v>
      </c>
      <c r="AR112" t="s">
        <v>890</v>
      </c>
      <c r="AS112" t="s">
        <v>891</v>
      </c>
      <c r="AT112" t="s">
        <v>122</v>
      </c>
      <c r="AU112" t="s">
        <v>96</v>
      </c>
      <c r="AZ112" t="s">
        <v>111</v>
      </c>
      <c r="BA112" t="s">
        <v>99</v>
      </c>
      <c r="BB112" t="s">
        <v>892</v>
      </c>
      <c r="BC112" t="s">
        <v>143</v>
      </c>
      <c r="BD112" t="s">
        <v>893</v>
      </c>
      <c r="BE112">
        <v>2023</v>
      </c>
      <c r="BF112">
        <v>2023</v>
      </c>
    </row>
    <row r="113" spans="1:58">
      <c r="A113">
        <v>2440458</v>
      </c>
      <c r="B113">
        <v>107</v>
      </c>
      <c r="D113">
        <v>5086728</v>
      </c>
      <c r="F113" t="s">
        <v>80</v>
      </c>
      <c r="G113" t="s">
        <v>81</v>
      </c>
      <c r="H113" t="s">
        <v>11</v>
      </c>
      <c r="I113" t="s">
        <v>11</v>
      </c>
      <c r="J113" t="s">
        <v>5</v>
      </c>
      <c r="K113" t="s">
        <v>83</v>
      </c>
      <c r="L113" s="3">
        <v>46180</v>
      </c>
      <c r="M113" t="s">
        <v>193</v>
      </c>
      <c r="N113">
        <v>27185126</v>
      </c>
      <c r="O113" t="s">
        <v>266</v>
      </c>
      <c r="P113" t="s">
        <v>894</v>
      </c>
      <c r="R113">
        <v>221.327</v>
      </c>
      <c r="S113" s="3">
        <v>46026</v>
      </c>
      <c r="W113" t="s">
        <v>86</v>
      </c>
      <c r="X113" t="s">
        <v>87</v>
      </c>
      <c r="Y113">
        <v>0</v>
      </c>
      <c r="Z113">
        <v>0</v>
      </c>
      <c r="AC113">
        <v>5086728</v>
      </c>
      <c r="AH113" t="s">
        <v>5</v>
      </c>
      <c r="AI113">
        <v>961483578</v>
      </c>
      <c r="AL113" t="s">
        <v>895</v>
      </c>
      <c r="AO113" t="s">
        <v>896</v>
      </c>
      <c r="AP113" t="s">
        <v>408</v>
      </c>
      <c r="AQ113" t="s">
        <v>92</v>
      </c>
      <c r="AR113" t="s">
        <v>897</v>
      </c>
      <c r="AS113" t="s">
        <v>396</v>
      </c>
      <c r="AT113" t="s">
        <v>141</v>
      </c>
      <c r="AU113" t="s">
        <v>96</v>
      </c>
      <c r="AZ113" t="s">
        <v>98</v>
      </c>
      <c r="BA113" t="s">
        <v>99</v>
      </c>
      <c r="BB113" t="s">
        <v>898</v>
      </c>
      <c r="BC113" t="s">
        <v>287</v>
      </c>
      <c r="BD113" t="s">
        <v>288</v>
      </c>
      <c r="BE113">
        <v>2023</v>
      </c>
      <c r="BF113">
        <v>2023</v>
      </c>
    </row>
    <row r="114" spans="1:58">
      <c r="A114">
        <v>2448244</v>
      </c>
      <c r="B114">
        <v>77</v>
      </c>
      <c r="D114">
        <v>4114656</v>
      </c>
      <c r="F114" t="s">
        <v>80</v>
      </c>
      <c r="G114" t="s">
        <v>81</v>
      </c>
      <c r="H114" t="s">
        <v>11</v>
      </c>
      <c r="I114" t="s">
        <v>11</v>
      </c>
      <c r="J114" t="s">
        <v>5</v>
      </c>
      <c r="K114" t="s">
        <v>83</v>
      </c>
      <c r="L114" s="3">
        <v>46180</v>
      </c>
      <c r="M114" t="s">
        <v>193</v>
      </c>
      <c r="N114">
        <v>14156550</v>
      </c>
      <c r="O114">
        <v>8</v>
      </c>
      <c r="P114" t="s">
        <v>899</v>
      </c>
      <c r="R114">
        <v>179.41200000000001</v>
      </c>
      <c r="S114" s="3">
        <v>46027</v>
      </c>
      <c r="W114" t="s">
        <v>86</v>
      </c>
      <c r="Y114">
        <v>0</v>
      </c>
      <c r="Z114">
        <v>0</v>
      </c>
      <c r="AC114">
        <v>4114656</v>
      </c>
      <c r="AH114" t="s">
        <v>5</v>
      </c>
      <c r="AL114" t="s">
        <v>900</v>
      </c>
      <c r="AO114" t="s">
        <v>901</v>
      </c>
      <c r="AP114" t="s">
        <v>902</v>
      </c>
      <c r="AQ114" t="s">
        <v>92</v>
      </c>
      <c r="AR114" t="s">
        <v>903</v>
      </c>
      <c r="AS114" t="s">
        <v>189</v>
      </c>
      <c r="AT114" t="s">
        <v>503</v>
      </c>
      <c r="AU114" t="s">
        <v>96</v>
      </c>
      <c r="AZ114" t="s">
        <v>111</v>
      </c>
      <c r="BA114" t="s">
        <v>99</v>
      </c>
      <c r="BB114" t="s">
        <v>904</v>
      </c>
      <c r="BC114" t="s">
        <v>421</v>
      </c>
      <c r="BD114" t="s">
        <v>905</v>
      </c>
      <c r="BE114">
        <v>2023</v>
      </c>
      <c r="BF114">
        <v>2023</v>
      </c>
    </row>
    <row r="115" spans="1:58">
      <c r="A115">
        <v>2474882</v>
      </c>
      <c r="B115">
        <v>319</v>
      </c>
      <c r="D115">
        <v>11141587</v>
      </c>
      <c r="F115" t="s">
        <v>80</v>
      </c>
      <c r="G115" t="s">
        <v>81</v>
      </c>
      <c r="H115" t="s">
        <v>11</v>
      </c>
      <c r="I115" t="s">
        <v>11</v>
      </c>
      <c r="J115" t="s">
        <v>5</v>
      </c>
      <c r="K115" t="s">
        <v>83</v>
      </c>
      <c r="L115" s="3">
        <v>46180</v>
      </c>
      <c r="N115">
        <v>14300288</v>
      </c>
      <c r="O115">
        <v>8</v>
      </c>
      <c r="P115" t="s">
        <v>906</v>
      </c>
      <c r="R115">
        <v>301.93400000000003</v>
      </c>
      <c r="S115" s="3">
        <v>45666</v>
      </c>
      <c r="W115" t="s">
        <v>86</v>
      </c>
      <c r="Y115">
        <v>0</v>
      </c>
      <c r="Z115">
        <v>0</v>
      </c>
      <c r="AC115">
        <v>11141587</v>
      </c>
      <c r="AH115" t="s">
        <v>5</v>
      </c>
      <c r="AI115">
        <v>953366779</v>
      </c>
      <c r="AL115" t="s">
        <v>907</v>
      </c>
      <c r="AO115" t="s">
        <v>908</v>
      </c>
      <c r="AP115" t="s">
        <v>909</v>
      </c>
      <c r="AQ115" t="s">
        <v>322</v>
      </c>
      <c r="AR115" t="s">
        <v>345</v>
      </c>
      <c r="AS115" t="s">
        <v>396</v>
      </c>
      <c r="AT115" t="s">
        <v>74</v>
      </c>
      <c r="AU115" t="s">
        <v>96</v>
      </c>
      <c r="AZ115" t="s">
        <v>111</v>
      </c>
      <c r="BA115" t="s">
        <v>99</v>
      </c>
      <c r="BC115" t="s">
        <v>910</v>
      </c>
      <c r="BD115" t="s">
        <v>911</v>
      </c>
      <c r="BE115">
        <v>2020</v>
      </c>
      <c r="BF115">
        <v>2020</v>
      </c>
    </row>
    <row r="116" spans="1:58">
      <c r="A116">
        <v>2478704</v>
      </c>
      <c r="B116">
        <v>166</v>
      </c>
      <c r="D116">
        <v>7414851</v>
      </c>
      <c r="F116" t="s">
        <v>80</v>
      </c>
      <c r="G116" t="s">
        <v>81</v>
      </c>
      <c r="H116" t="s">
        <v>11</v>
      </c>
      <c r="I116" t="s">
        <v>11</v>
      </c>
      <c r="J116" t="s">
        <v>5</v>
      </c>
      <c r="K116" t="s">
        <v>83</v>
      </c>
      <c r="L116" s="3">
        <v>46180</v>
      </c>
      <c r="N116">
        <v>6800892</v>
      </c>
      <c r="O116">
        <v>1</v>
      </c>
      <c r="P116" t="s">
        <v>912</v>
      </c>
      <c r="R116">
        <v>165.333</v>
      </c>
      <c r="S116" s="3">
        <v>46024</v>
      </c>
      <c r="W116" t="s">
        <v>86</v>
      </c>
      <c r="X116" t="s">
        <v>87</v>
      </c>
      <c r="Y116">
        <v>0</v>
      </c>
      <c r="Z116">
        <v>0</v>
      </c>
      <c r="AC116">
        <v>7414851</v>
      </c>
      <c r="AH116" t="s">
        <v>5</v>
      </c>
      <c r="AI116">
        <v>941418106</v>
      </c>
      <c r="AL116" t="s">
        <v>913</v>
      </c>
      <c r="AO116" t="s">
        <v>914</v>
      </c>
      <c r="AP116" t="s">
        <v>915</v>
      </c>
      <c r="AQ116" t="s">
        <v>92</v>
      </c>
      <c r="AR116" t="s">
        <v>916</v>
      </c>
      <c r="AS116" t="s">
        <v>236</v>
      </c>
      <c r="AT116" t="s">
        <v>141</v>
      </c>
      <c r="AU116" t="s">
        <v>96</v>
      </c>
      <c r="AZ116" t="s">
        <v>98</v>
      </c>
      <c r="BA116" t="s">
        <v>99</v>
      </c>
      <c r="BB116" t="s">
        <v>917</v>
      </c>
      <c r="BC116" t="s">
        <v>124</v>
      </c>
      <c r="BD116" t="s">
        <v>918</v>
      </c>
      <c r="BE116">
        <v>2015</v>
      </c>
      <c r="BF116">
        <v>2015</v>
      </c>
    </row>
    <row r="117" spans="1:58">
      <c r="A117">
        <v>2487385</v>
      </c>
      <c r="B117">
        <v>411</v>
      </c>
      <c r="D117">
        <v>8900846</v>
      </c>
      <c r="F117" t="s">
        <v>80</v>
      </c>
      <c r="G117" t="s">
        <v>81</v>
      </c>
      <c r="H117" t="s">
        <v>115</v>
      </c>
      <c r="I117" t="s">
        <v>115</v>
      </c>
      <c r="J117" t="s">
        <v>5</v>
      </c>
      <c r="K117" t="s">
        <v>83</v>
      </c>
      <c r="L117" s="3">
        <v>46180</v>
      </c>
      <c r="N117">
        <v>17450324</v>
      </c>
      <c r="O117">
        <v>9</v>
      </c>
      <c r="P117" t="s">
        <v>919</v>
      </c>
      <c r="R117">
        <v>255.971</v>
      </c>
      <c r="S117" s="3">
        <v>45663</v>
      </c>
      <c r="W117" t="s">
        <v>86</v>
      </c>
      <c r="X117" t="s">
        <v>87</v>
      </c>
      <c r="Y117">
        <v>0</v>
      </c>
      <c r="Z117">
        <v>0</v>
      </c>
      <c r="AC117">
        <v>8900846</v>
      </c>
      <c r="AH117" t="s">
        <v>5</v>
      </c>
      <c r="AI117">
        <v>948910067</v>
      </c>
      <c r="AL117" t="s">
        <v>920</v>
      </c>
      <c r="AO117" t="s">
        <v>921</v>
      </c>
      <c r="AP117" t="s">
        <v>922</v>
      </c>
      <c r="AQ117" t="s">
        <v>149</v>
      </c>
      <c r="AR117" t="s">
        <v>139</v>
      </c>
      <c r="AS117" t="s">
        <v>180</v>
      </c>
      <c r="AT117" t="s">
        <v>122</v>
      </c>
      <c r="AU117" t="s">
        <v>96</v>
      </c>
      <c r="AZ117" t="s">
        <v>111</v>
      </c>
      <c r="BA117" t="s">
        <v>99</v>
      </c>
      <c r="BB117" t="s">
        <v>923</v>
      </c>
      <c r="BC117" t="s">
        <v>468</v>
      </c>
      <c r="BD117" t="s">
        <v>657</v>
      </c>
      <c r="BE117">
        <v>2023</v>
      </c>
      <c r="BF117">
        <v>2023</v>
      </c>
    </row>
    <row r="118" spans="1:58">
      <c r="A118">
        <v>2499421</v>
      </c>
      <c r="B118">
        <v>381</v>
      </c>
      <c r="D118">
        <v>19468657</v>
      </c>
      <c r="F118" t="s">
        <v>80</v>
      </c>
      <c r="G118" t="s">
        <v>81</v>
      </c>
      <c r="H118" t="s">
        <v>115</v>
      </c>
      <c r="I118" t="s">
        <v>115</v>
      </c>
      <c r="J118" t="s">
        <v>5</v>
      </c>
      <c r="K118" t="s">
        <v>83</v>
      </c>
      <c r="L118" s="3">
        <v>46180</v>
      </c>
      <c r="N118">
        <v>17311881</v>
      </c>
      <c r="O118">
        <v>3</v>
      </c>
      <c r="P118" t="s">
        <v>924</v>
      </c>
      <c r="R118">
        <v>431.21800000000002</v>
      </c>
      <c r="S118" s="3">
        <v>45664</v>
      </c>
      <c r="W118" t="s">
        <v>86</v>
      </c>
      <c r="Y118">
        <v>0</v>
      </c>
      <c r="Z118">
        <v>0</v>
      </c>
      <c r="AC118">
        <v>19468657</v>
      </c>
      <c r="AH118" t="s">
        <v>5</v>
      </c>
      <c r="AI118">
        <v>933133090</v>
      </c>
      <c r="AL118" t="s">
        <v>925</v>
      </c>
      <c r="AO118" t="s">
        <v>926</v>
      </c>
      <c r="AP118" t="s">
        <v>800</v>
      </c>
      <c r="AQ118" t="s">
        <v>801</v>
      </c>
      <c r="AR118" t="s">
        <v>927</v>
      </c>
      <c r="AS118" t="s">
        <v>189</v>
      </c>
      <c r="AT118" t="s">
        <v>141</v>
      </c>
      <c r="AU118" t="s">
        <v>96</v>
      </c>
      <c r="AZ118" t="s">
        <v>98</v>
      </c>
      <c r="BA118" t="s">
        <v>99</v>
      </c>
      <c r="BC118" t="s">
        <v>182</v>
      </c>
      <c r="BD118" t="s">
        <v>928</v>
      </c>
      <c r="BE118">
        <v>2023</v>
      </c>
      <c r="BF118">
        <v>2023</v>
      </c>
    </row>
    <row r="119" spans="1:58">
      <c r="A119">
        <v>2514373</v>
      </c>
      <c r="B119">
        <v>289</v>
      </c>
      <c r="D119">
        <v>21434298</v>
      </c>
      <c r="F119" t="s">
        <v>80</v>
      </c>
      <c r="G119" t="s">
        <v>81</v>
      </c>
      <c r="H119" t="s">
        <v>11</v>
      </c>
      <c r="I119" t="s">
        <v>11</v>
      </c>
      <c r="J119" t="s">
        <v>5</v>
      </c>
      <c r="K119" t="s">
        <v>83</v>
      </c>
      <c r="L119" s="3">
        <v>46180</v>
      </c>
      <c r="N119">
        <v>15618940</v>
      </c>
      <c r="O119">
        <v>5</v>
      </c>
      <c r="P119" t="s">
        <v>929</v>
      </c>
      <c r="R119">
        <v>608.41700000000003</v>
      </c>
      <c r="S119" s="3">
        <v>45667</v>
      </c>
      <c r="W119" t="s">
        <v>86</v>
      </c>
      <c r="X119" t="s">
        <v>87</v>
      </c>
      <c r="Y119">
        <v>0</v>
      </c>
      <c r="Z119">
        <v>0</v>
      </c>
      <c r="AC119">
        <v>21434298</v>
      </c>
      <c r="AH119" t="s">
        <v>5</v>
      </c>
      <c r="AI119">
        <v>926372988</v>
      </c>
      <c r="AJ119">
        <v>939570373</v>
      </c>
      <c r="AL119" t="s">
        <v>930</v>
      </c>
      <c r="AO119" t="s">
        <v>931</v>
      </c>
      <c r="AP119" t="s">
        <v>119</v>
      </c>
      <c r="AQ119" t="s">
        <v>92</v>
      </c>
      <c r="AR119" t="s">
        <v>580</v>
      </c>
      <c r="AS119" t="s">
        <v>121</v>
      </c>
      <c r="AT119" t="s">
        <v>122</v>
      </c>
      <c r="AU119" t="s">
        <v>96</v>
      </c>
      <c r="AZ119" t="s">
        <v>111</v>
      </c>
      <c r="BA119" t="s">
        <v>99</v>
      </c>
      <c r="BB119" t="s">
        <v>932</v>
      </c>
      <c r="BC119" t="s">
        <v>278</v>
      </c>
      <c r="BD119" t="s">
        <v>789</v>
      </c>
      <c r="BE119">
        <v>2023</v>
      </c>
      <c r="BF119">
        <v>2023</v>
      </c>
    </row>
    <row r="120" spans="1:58">
      <c r="A120">
        <v>2535757</v>
      </c>
      <c r="B120">
        <v>442</v>
      </c>
      <c r="D120">
        <v>11878718</v>
      </c>
      <c r="F120" t="s">
        <v>80</v>
      </c>
      <c r="G120" t="s">
        <v>81</v>
      </c>
      <c r="H120" t="s">
        <v>115</v>
      </c>
      <c r="I120" t="s">
        <v>115</v>
      </c>
      <c r="J120" t="s">
        <v>5</v>
      </c>
      <c r="K120" t="s">
        <v>83</v>
      </c>
      <c r="L120" s="3">
        <v>46180</v>
      </c>
      <c r="N120">
        <v>26517020</v>
      </c>
      <c r="O120" t="s">
        <v>266</v>
      </c>
      <c r="P120" t="s">
        <v>933</v>
      </c>
      <c r="R120">
        <v>301.87900000000002</v>
      </c>
      <c r="S120" s="3">
        <v>45662</v>
      </c>
      <c r="W120" t="s">
        <v>86</v>
      </c>
      <c r="X120" t="s">
        <v>87</v>
      </c>
      <c r="Y120">
        <v>0</v>
      </c>
      <c r="Z120">
        <v>0</v>
      </c>
      <c r="AC120">
        <v>11878718</v>
      </c>
      <c r="AH120" t="s">
        <v>5</v>
      </c>
      <c r="AI120">
        <v>56935396611</v>
      </c>
      <c r="AL120" t="s">
        <v>934</v>
      </c>
      <c r="AO120" t="s">
        <v>935</v>
      </c>
      <c r="AP120" t="s">
        <v>107</v>
      </c>
      <c r="AQ120" t="s">
        <v>92</v>
      </c>
      <c r="AR120" t="s">
        <v>208</v>
      </c>
      <c r="AS120" t="s">
        <v>567</v>
      </c>
      <c r="AT120" t="s">
        <v>122</v>
      </c>
      <c r="AU120" t="s">
        <v>96</v>
      </c>
      <c r="AZ120" t="s">
        <v>111</v>
      </c>
      <c r="BA120" t="s">
        <v>99</v>
      </c>
      <c r="BB120" t="s">
        <v>936</v>
      </c>
      <c r="BC120" t="s">
        <v>200</v>
      </c>
      <c r="BD120" t="s">
        <v>937</v>
      </c>
      <c r="BE120">
        <v>2023</v>
      </c>
      <c r="BF120">
        <v>2023</v>
      </c>
    </row>
    <row r="121" spans="1:58">
      <c r="A121">
        <v>2537349</v>
      </c>
      <c r="B121">
        <v>166</v>
      </c>
      <c r="D121">
        <v>11690180</v>
      </c>
      <c r="F121" t="s">
        <v>80</v>
      </c>
      <c r="G121" t="s">
        <v>81</v>
      </c>
      <c r="H121" t="s">
        <v>11</v>
      </c>
      <c r="I121" t="s">
        <v>11</v>
      </c>
      <c r="J121" t="s">
        <v>5</v>
      </c>
      <c r="K121" t="s">
        <v>83</v>
      </c>
      <c r="L121" s="3">
        <v>46180</v>
      </c>
      <c r="N121">
        <v>14081887</v>
      </c>
      <c r="O121">
        <v>9</v>
      </c>
      <c r="P121" t="s">
        <v>938</v>
      </c>
      <c r="R121">
        <v>315.52100000000002</v>
      </c>
      <c r="S121" s="3">
        <v>46024</v>
      </c>
      <c r="W121" t="s">
        <v>86</v>
      </c>
      <c r="X121" t="s">
        <v>87</v>
      </c>
      <c r="Y121">
        <v>0</v>
      </c>
      <c r="Z121">
        <v>0</v>
      </c>
      <c r="AC121">
        <v>11690180</v>
      </c>
      <c r="AH121" t="s">
        <v>5</v>
      </c>
      <c r="AI121">
        <v>931795581</v>
      </c>
      <c r="AL121" t="s">
        <v>939</v>
      </c>
      <c r="AO121" t="s">
        <v>940</v>
      </c>
      <c r="AP121" t="s">
        <v>764</v>
      </c>
      <c r="AQ121" t="s">
        <v>765</v>
      </c>
      <c r="AR121" t="s">
        <v>941</v>
      </c>
      <c r="AS121" t="s">
        <v>339</v>
      </c>
      <c r="AT121" t="s">
        <v>122</v>
      </c>
      <c r="AU121" t="s">
        <v>96</v>
      </c>
      <c r="AZ121" t="s">
        <v>111</v>
      </c>
      <c r="BA121" t="s">
        <v>99</v>
      </c>
      <c r="BB121" t="s">
        <v>942</v>
      </c>
      <c r="BC121" t="s">
        <v>468</v>
      </c>
      <c r="BD121" t="s">
        <v>943</v>
      </c>
      <c r="BE121">
        <v>2023</v>
      </c>
      <c r="BF121">
        <v>2023</v>
      </c>
    </row>
    <row r="122" spans="1:58">
      <c r="A122">
        <v>2548154</v>
      </c>
      <c r="B122">
        <v>381</v>
      </c>
      <c r="D122">
        <v>15167906</v>
      </c>
      <c r="F122" t="s">
        <v>80</v>
      </c>
      <c r="G122" t="s">
        <v>81</v>
      </c>
      <c r="H122" t="s">
        <v>115</v>
      </c>
      <c r="I122" t="s">
        <v>115</v>
      </c>
      <c r="J122" t="s">
        <v>5</v>
      </c>
      <c r="K122" t="s">
        <v>83</v>
      </c>
      <c r="L122" s="3">
        <v>46180</v>
      </c>
      <c r="N122">
        <v>24294538</v>
      </c>
      <c r="O122">
        <v>7</v>
      </c>
      <c r="P122" t="s">
        <v>944</v>
      </c>
      <c r="R122">
        <v>444.12</v>
      </c>
      <c r="S122" s="3">
        <v>45664</v>
      </c>
      <c r="W122" t="s">
        <v>86</v>
      </c>
      <c r="Y122">
        <v>0</v>
      </c>
      <c r="Z122">
        <v>0</v>
      </c>
      <c r="AC122">
        <v>7053906</v>
      </c>
      <c r="AH122" t="s">
        <v>5</v>
      </c>
      <c r="AI122">
        <v>930596650</v>
      </c>
      <c r="AL122" t="s">
        <v>945</v>
      </c>
      <c r="AO122" t="s">
        <v>946</v>
      </c>
      <c r="AP122" t="s">
        <v>800</v>
      </c>
      <c r="AQ122" t="s">
        <v>801</v>
      </c>
      <c r="AR122" t="s">
        <v>323</v>
      </c>
      <c r="AS122" t="s">
        <v>947</v>
      </c>
      <c r="AT122" t="s">
        <v>244</v>
      </c>
      <c r="AU122" t="s">
        <v>96</v>
      </c>
      <c r="AZ122" t="s">
        <v>111</v>
      </c>
      <c r="BA122" t="s">
        <v>99</v>
      </c>
      <c r="BC122" t="s">
        <v>475</v>
      </c>
      <c r="BD122" t="s">
        <v>948</v>
      </c>
      <c r="BE122">
        <v>2019</v>
      </c>
      <c r="BF122">
        <v>2019</v>
      </c>
    </row>
    <row r="123" spans="1:58">
      <c r="A123">
        <v>2550653</v>
      </c>
      <c r="B123">
        <v>77</v>
      </c>
      <c r="D123">
        <v>6289210</v>
      </c>
      <c r="F123" t="s">
        <v>80</v>
      </c>
      <c r="G123" t="s">
        <v>81</v>
      </c>
      <c r="H123" t="s">
        <v>11</v>
      </c>
      <c r="I123" t="s">
        <v>11</v>
      </c>
      <c r="J123" t="s">
        <v>5</v>
      </c>
      <c r="K123" t="s">
        <v>83</v>
      </c>
      <c r="L123" s="3">
        <v>46180</v>
      </c>
      <c r="M123" t="s">
        <v>193</v>
      </c>
      <c r="N123">
        <v>20138902</v>
      </c>
      <c r="O123" t="s">
        <v>266</v>
      </c>
      <c r="P123" t="s">
        <v>949</v>
      </c>
      <c r="R123">
        <v>254.86099999999999</v>
      </c>
      <c r="S123" s="3">
        <v>46027</v>
      </c>
      <c r="W123" t="s">
        <v>86</v>
      </c>
      <c r="Y123">
        <v>0</v>
      </c>
      <c r="Z123">
        <v>0</v>
      </c>
      <c r="AC123">
        <v>6289210</v>
      </c>
      <c r="AH123" t="s">
        <v>5</v>
      </c>
      <c r="AI123">
        <v>978214899</v>
      </c>
      <c r="AL123" t="s">
        <v>950</v>
      </c>
      <c r="AO123" t="s">
        <v>951</v>
      </c>
      <c r="AP123" t="s">
        <v>952</v>
      </c>
      <c r="AQ123" t="s">
        <v>92</v>
      </c>
      <c r="AR123" t="s">
        <v>631</v>
      </c>
      <c r="AS123" t="s">
        <v>217</v>
      </c>
      <c r="AT123" t="s">
        <v>110</v>
      </c>
      <c r="AU123" t="s">
        <v>96</v>
      </c>
      <c r="AZ123" t="s">
        <v>111</v>
      </c>
      <c r="BA123" t="s">
        <v>99</v>
      </c>
      <c r="BB123" t="s">
        <v>953</v>
      </c>
      <c r="BC123" t="s">
        <v>833</v>
      </c>
      <c r="BD123" t="s">
        <v>954</v>
      </c>
      <c r="BE123">
        <v>2019</v>
      </c>
      <c r="BF123">
        <v>2019</v>
      </c>
    </row>
    <row r="124" spans="1:58">
      <c r="A124">
        <v>2554756</v>
      </c>
      <c r="B124">
        <v>411</v>
      </c>
      <c r="D124">
        <v>19842461</v>
      </c>
      <c r="F124" t="s">
        <v>80</v>
      </c>
      <c r="G124" t="s">
        <v>81</v>
      </c>
      <c r="H124" t="s">
        <v>115</v>
      </c>
      <c r="I124" t="s">
        <v>115</v>
      </c>
      <c r="J124" t="s">
        <v>5</v>
      </c>
      <c r="K124" t="s">
        <v>83</v>
      </c>
      <c r="L124" s="3">
        <v>46180</v>
      </c>
      <c r="N124">
        <v>76840234</v>
      </c>
      <c r="O124">
        <v>5</v>
      </c>
      <c r="P124" t="s">
        <v>955</v>
      </c>
      <c r="R124">
        <v>630.24800000000005</v>
      </c>
      <c r="S124" s="3">
        <v>45663</v>
      </c>
      <c r="W124" t="s">
        <v>86</v>
      </c>
      <c r="Y124">
        <v>0</v>
      </c>
      <c r="Z124">
        <v>0</v>
      </c>
      <c r="AC124">
        <v>19842461</v>
      </c>
      <c r="AH124" t="s">
        <v>5</v>
      </c>
      <c r="AI124">
        <v>977686318</v>
      </c>
      <c r="AL124" t="s">
        <v>956</v>
      </c>
      <c r="AO124" t="s">
        <v>957</v>
      </c>
      <c r="AP124" t="s">
        <v>958</v>
      </c>
      <c r="AQ124" t="s">
        <v>92</v>
      </c>
      <c r="AR124" t="s">
        <v>959</v>
      </c>
      <c r="AS124" t="s">
        <v>140</v>
      </c>
      <c r="AT124" t="s">
        <v>122</v>
      </c>
      <c r="AU124" t="s">
        <v>96</v>
      </c>
      <c r="AZ124" t="s">
        <v>111</v>
      </c>
      <c r="BA124" t="s">
        <v>99</v>
      </c>
      <c r="BC124" t="s">
        <v>960</v>
      </c>
      <c r="BD124" t="s">
        <v>961</v>
      </c>
      <c r="BE124">
        <v>2013</v>
      </c>
      <c r="BF124">
        <v>2013</v>
      </c>
    </row>
    <row r="125" spans="1:58">
      <c r="A125">
        <v>2577744</v>
      </c>
      <c r="B125">
        <v>228</v>
      </c>
      <c r="D125">
        <v>4324898</v>
      </c>
      <c r="F125" t="s">
        <v>80</v>
      </c>
      <c r="G125" t="s">
        <v>81</v>
      </c>
      <c r="H125" t="s">
        <v>11</v>
      </c>
      <c r="I125" t="s">
        <v>11</v>
      </c>
      <c r="J125" t="s">
        <v>5</v>
      </c>
      <c r="K125" t="s">
        <v>83</v>
      </c>
      <c r="L125" s="3">
        <v>46180</v>
      </c>
      <c r="N125">
        <v>25810620</v>
      </c>
      <c r="O125">
        <v>2</v>
      </c>
      <c r="P125" t="s">
        <v>962</v>
      </c>
      <c r="R125">
        <v>164.232</v>
      </c>
      <c r="S125" s="3">
        <v>45669</v>
      </c>
      <c r="W125" t="s">
        <v>86</v>
      </c>
      <c r="Y125">
        <v>0</v>
      </c>
      <c r="Z125">
        <v>0</v>
      </c>
      <c r="AC125">
        <v>4324898</v>
      </c>
      <c r="AH125" t="s">
        <v>5</v>
      </c>
      <c r="AI125">
        <v>944982271</v>
      </c>
      <c r="AL125" t="s">
        <v>963</v>
      </c>
      <c r="AO125" t="s">
        <v>964</v>
      </c>
      <c r="AP125" t="s">
        <v>800</v>
      </c>
      <c r="AQ125" t="s">
        <v>801</v>
      </c>
      <c r="AR125" t="s">
        <v>965</v>
      </c>
      <c r="AS125" t="s">
        <v>171</v>
      </c>
      <c r="AT125" t="s">
        <v>122</v>
      </c>
      <c r="AU125" t="s">
        <v>96</v>
      </c>
      <c r="AZ125" t="s">
        <v>111</v>
      </c>
      <c r="BA125" t="s">
        <v>99</v>
      </c>
      <c r="BC125" t="s">
        <v>278</v>
      </c>
      <c r="BD125" t="s">
        <v>966</v>
      </c>
      <c r="BE125">
        <v>2021</v>
      </c>
      <c r="BF125">
        <v>2021</v>
      </c>
    </row>
    <row r="126" spans="1:58">
      <c r="A126">
        <v>2578434</v>
      </c>
      <c r="B126">
        <v>381</v>
      </c>
      <c r="D126">
        <v>9737672</v>
      </c>
      <c r="F126" t="s">
        <v>80</v>
      </c>
      <c r="G126" t="s">
        <v>81</v>
      </c>
      <c r="H126" t="s">
        <v>115</v>
      </c>
      <c r="I126" t="s">
        <v>115</v>
      </c>
      <c r="J126" t="s">
        <v>5</v>
      </c>
      <c r="K126" t="s">
        <v>83</v>
      </c>
      <c r="L126" s="3">
        <v>46180</v>
      </c>
      <c r="N126">
        <v>13496012</v>
      </c>
      <c r="O126">
        <v>4</v>
      </c>
      <c r="P126" t="s">
        <v>967</v>
      </c>
      <c r="R126">
        <v>280.58999999999997</v>
      </c>
      <c r="S126" s="3">
        <v>45664</v>
      </c>
      <c r="W126" t="s">
        <v>86</v>
      </c>
      <c r="X126" t="s">
        <v>87</v>
      </c>
      <c r="Y126">
        <v>0</v>
      </c>
      <c r="Z126">
        <v>0</v>
      </c>
      <c r="AC126">
        <v>9737672</v>
      </c>
      <c r="AH126" t="s">
        <v>5</v>
      </c>
      <c r="AI126">
        <v>56944242267</v>
      </c>
      <c r="AL126" t="s">
        <v>968</v>
      </c>
      <c r="AO126" t="s">
        <v>969</v>
      </c>
      <c r="AP126" t="s">
        <v>214</v>
      </c>
      <c r="AQ126" t="s">
        <v>215</v>
      </c>
      <c r="AR126" t="s">
        <v>970</v>
      </c>
      <c r="AS126" t="s">
        <v>217</v>
      </c>
      <c r="AT126" t="s">
        <v>122</v>
      </c>
      <c r="AU126" t="s">
        <v>96</v>
      </c>
      <c r="AZ126" t="s">
        <v>111</v>
      </c>
      <c r="BA126" t="s">
        <v>99</v>
      </c>
      <c r="BB126" t="s">
        <v>971</v>
      </c>
      <c r="BC126" t="s">
        <v>200</v>
      </c>
      <c r="BD126" t="s">
        <v>972</v>
      </c>
      <c r="BE126">
        <v>2023</v>
      </c>
      <c r="BF126">
        <v>2023</v>
      </c>
    </row>
    <row r="127" spans="1:58">
      <c r="A127">
        <v>2582129</v>
      </c>
      <c r="B127">
        <v>289</v>
      </c>
      <c r="D127">
        <v>12525585</v>
      </c>
      <c r="F127" t="s">
        <v>80</v>
      </c>
      <c r="G127" t="s">
        <v>81</v>
      </c>
      <c r="H127" t="s">
        <v>11</v>
      </c>
      <c r="I127" t="s">
        <v>11</v>
      </c>
      <c r="J127" t="s">
        <v>5</v>
      </c>
      <c r="K127" t="s">
        <v>83</v>
      </c>
      <c r="L127" s="3">
        <v>46180</v>
      </c>
      <c r="N127">
        <v>12944192</v>
      </c>
      <c r="O127">
        <v>5</v>
      </c>
      <c r="P127" t="s">
        <v>973</v>
      </c>
      <c r="R127">
        <v>420.36399999999998</v>
      </c>
      <c r="S127" s="3">
        <v>45667</v>
      </c>
      <c r="W127" t="s">
        <v>86</v>
      </c>
      <c r="X127" t="s">
        <v>87</v>
      </c>
      <c r="Y127">
        <v>0</v>
      </c>
      <c r="Z127">
        <v>0</v>
      </c>
      <c r="AC127">
        <v>12525585</v>
      </c>
      <c r="AH127" t="s">
        <v>5</v>
      </c>
      <c r="AI127">
        <v>988150571</v>
      </c>
      <c r="AL127" t="s">
        <v>974</v>
      </c>
      <c r="AO127" t="s">
        <v>975</v>
      </c>
      <c r="AP127" t="s">
        <v>976</v>
      </c>
      <c r="AQ127" t="s">
        <v>215</v>
      </c>
      <c r="AR127" t="s">
        <v>601</v>
      </c>
      <c r="AS127" t="s">
        <v>140</v>
      </c>
      <c r="AT127" t="s">
        <v>122</v>
      </c>
      <c r="AU127" t="s">
        <v>96</v>
      </c>
      <c r="AZ127" t="s">
        <v>111</v>
      </c>
      <c r="BA127" t="s">
        <v>99</v>
      </c>
      <c r="BB127" t="s">
        <v>977</v>
      </c>
      <c r="BC127" t="s">
        <v>153</v>
      </c>
      <c r="BD127" t="s">
        <v>978</v>
      </c>
      <c r="BE127">
        <v>2023</v>
      </c>
      <c r="BF127">
        <v>2023</v>
      </c>
    </row>
    <row r="128" spans="1:58">
      <c r="A128">
        <v>2613197</v>
      </c>
      <c r="B128">
        <v>289</v>
      </c>
      <c r="D128">
        <v>7811342</v>
      </c>
      <c r="F128" t="s">
        <v>80</v>
      </c>
      <c r="G128" t="s">
        <v>81</v>
      </c>
      <c r="H128" t="s">
        <v>11</v>
      </c>
      <c r="I128" t="s">
        <v>11</v>
      </c>
      <c r="J128" t="s">
        <v>5</v>
      </c>
      <c r="K128" t="s">
        <v>83</v>
      </c>
      <c r="L128" s="3">
        <v>46180</v>
      </c>
      <c r="N128">
        <v>26143344</v>
      </c>
      <c r="O128">
        <v>3</v>
      </c>
      <c r="P128" t="s">
        <v>979</v>
      </c>
      <c r="R128">
        <v>293.947</v>
      </c>
      <c r="S128" s="3">
        <v>45667</v>
      </c>
      <c r="W128" t="s">
        <v>86</v>
      </c>
      <c r="Y128">
        <v>0</v>
      </c>
      <c r="Z128">
        <v>0</v>
      </c>
      <c r="AC128">
        <v>3458222</v>
      </c>
      <c r="AH128" t="s">
        <v>5</v>
      </c>
      <c r="AI128">
        <v>979205383</v>
      </c>
      <c r="AL128" t="s">
        <v>980</v>
      </c>
      <c r="AO128" t="s">
        <v>981</v>
      </c>
      <c r="AP128" t="s">
        <v>800</v>
      </c>
      <c r="AQ128" t="s">
        <v>801</v>
      </c>
      <c r="AR128" t="s">
        <v>787</v>
      </c>
      <c r="AS128" t="s">
        <v>388</v>
      </c>
      <c r="AT128" t="s">
        <v>110</v>
      </c>
      <c r="AU128" t="s">
        <v>96</v>
      </c>
      <c r="AZ128" t="s">
        <v>111</v>
      </c>
      <c r="BA128" t="s">
        <v>221</v>
      </c>
      <c r="BC128" t="s">
        <v>982</v>
      </c>
      <c r="BD128" t="s">
        <v>983</v>
      </c>
      <c r="BE128">
        <v>2020</v>
      </c>
      <c r="BF128">
        <v>2020</v>
      </c>
    </row>
    <row r="129" spans="1:58">
      <c r="A129">
        <v>2642200</v>
      </c>
      <c r="B129">
        <v>138</v>
      </c>
      <c r="D129">
        <v>6213630</v>
      </c>
      <c r="F129" t="s">
        <v>80</v>
      </c>
      <c r="G129" t="s">
        <v>81</v>
      </c>
      <c r="H129" t="s">
        <v>11</v>
      </c>
      <c r="I129" t="s">
        <v>11</v>
      </c>
      <c r="J129" t="s">
        <v>5</v>
      </c>
      <c r="K129" t="s">
        <v>83</v>
      </c>
      <c r="L129" s="3">
        <v>46180</v>
      </c>
      <c r="M129" t="s">
        <v>193</v>
      </c>
      <c r="N129">
        <v>19972407</v>
      </c>
      <c r="O129" t="s">
        <v>266</v>
      </c>
      <c r="P129" t="s">
        <v>984</v>
      </c>
      <c r="R129">
        <v>221.36500000000001</v>
      </c>
      <c r="S129" s="3">
        <v>46025</v>
      </c>
      <c r="W129" t="s">
        <v>86</v>
      </c>
      <c r="X129" t="s">
        <v>87</v>
      </c>
      <c r="Y129">
        <v>0</v>
      </c>
      <c r="Z129">
        <v>0</v>
      </c>
      <c r="AC129">
        <v>3862494</v>
      </c>
      <c r="AE129" t="s">
        <v>248</v>
      </c>
      <c r="AF129" t="s">
        <v>80</v>
      </c>
      <c r="AH129" t="s">
        <v>5</v>
      </c>
      <c r="AI129">
        <v>942717151</v>
      </c>
      <c r="AL129" t="s">
        <v>985</v>
      </c>
      <c r="AO129" t="s">
        <v>986</v>
      </c>
      <c r="AP129" t="s">
        <v>987</v>
      </c>
      <c r="AQ129" t="s">
        <v>178</v>
      </c>
      <c r="AR129" t="s">
        <v>988</v>
      </c>
      <c r="AS129" t="s">
        <v>346</v>
      </c>
      <c r="AT129" t="s">
        <v>141</v>
      </c>
      <c r="AU129" t="s">
        <v>285</v>
      </c>
      <c r="AW129" t="s">
        <v>410</v>
      </c>
      <c r="AX129" t="s">
        <v>248</v>
      </c>
      <c r="AY129" t="s">
        <v>220</v>
      </c>
      <c r="AZ129" t="s">
        <v>98</v>
      </c>
      <c r="BA129" t="s">
        <v>285</v>
      </c>
      <c r="BB129" t="s">
        <v>989</v>
      </c>
      <c r="BC129" t="s">
        <v>990</v>
      </c>
      <c r="BD129" t="s">
        <v>991</v>
      </c>
      <c r="BE129">
        <v>2021</v>
      </c>
      <c r="BF129">
        <v>2021</v>
      </c>
    </row>
    <row r="130" spans="1:58">
      <c r="A130">
        <v>2645056</v>
      </c>
      <c r="B130">
        <v>197</v>
      </c>
      <c r="D130">
        <v>16611407</v>
      </c>
      <c r="F130" t="s">
        <v>80</v>
      </c>
      <c r="G130" t="s">
        <v>81</v>
      </c>
      <c r="H130" t="s">
        <v>11</v>
      </c>
      <c r="I130" t="s">
        <v>11</v>
      </c>
      <c r="J130" t="s">
        <v>5</v>
      </c>
      <c r="K130" t="s">
        <v>83</v>
      </c>
      <c r="L130" s="3">
        <v>46180</v>
      </c>
      <c r="N130">
        <v>13038018</v>
      </c>
      <c r="O130">
        <v>2</v>
      </c>
      <c r="P130" t="s">
        <v>992</v>
      </c>
      <c r="R130">
        <v>414.68400000000003</v>
      </c>
      <c r="S130" s="3">
        <v>46023</v>
      </c>
      <c r="W130" t="s">
        <v>86</v>
      </c>
      <c r="X130" t="s">
        <v>87</v>
      </c>
      <c r="Y130">
        <v>0</v>
      </c>
      <c r="Z130">
        <v>0</v>
      </c>
      <c r="AC130">
        <v>16611407</v>
      </c>
      <c r="AH130" t="s">
        <v>5</v>
      </c>
      <c r="AI130">
        <v>950884880</v>
      </c>
      <c r="AL130" t="s">
        <v>993</v>
      </c>
      <c r="AO130" t="s">
        <v>994</v>
      </c>
      <c r="AP130" t="s">
        <v>952</v>
      </c>
      <c r="AQ130" t="s">
        <v>92</v>
      </c>
      <c r="AR130" t="s">
        <v>995</v>
      </c>
      <c r="AS130" t="s">
        <v>388</v>
      </c>
      <c r="AT130" t="s">
        <v>122</v>
      </c>
      <c r="AU130" t="s">
        <v>96</v>
      </c>
      <c r="AZ130" t="s">
        <v>111</v>
      </c>
      <c r="BA130" t="s">
        <v>99</v>
      </c>
      <c r="BB130" t="s">
        <v>996</v>
      </c>
      <c r="BC130" t="s">
        <v>133</v>
      </c>
      <c r="BD130" t="s">
        <v>997</v>
      </c>
      <c r="BE130">
        <v>2022</v>
      </c>
      <c r="BF130">
        <v>2022</v>
      </c>
    </row>
    <row r="131" spans="1:58">
      <c r="A131">
        <v>2655575</v>
      </c>
      <c r="B131">
        <v>1</v>
      </c>
      <c r="D131">
        <v>6875617</v>
      </c>
      <c r="F131" t="s">
        <v>80</v>
      </c>
      <c r="G131" t="s">
        <v>81</v>
      </c>
      <c r="H131" t="s">
        <v>11</v>
      </c>
      <c r="I131" t="s">
        <v>11</v>
      </c>
      <c r="J131" t="s">
        <v>5</v>
      </c>
      <c r="K131" t="s">
        <v>83</v>
      </c>
      <c r="L131" s="3">
        <v>46180</v>
      </c>
      <c r="M131" t="s">
        <v>193</v>
      </c>
      <c r="N131">
        <v>16186899</v>
      </c>
      <c r="O131" t="s">
        <v>266</v>
      </c>
      <c r="P131" t="s">
        <v>998</v>
      </c>
      <c r="R131">
        <v>248.43799999999999</v>
      </c>
      <c r="S131" s="3">
        <v>46028</v>
      </c>
      <c r="W131" t="s">
        <v>86</v>
      </c>
      <c r="Y131">
        <v>0</v>
      </c>
      <c r="Z131">
        <v>0</v>
      </c>
      <c r="AC131">
        <v>6875617</v>
      </c>
      <c r="AH131" t="s">
        <v>5</v>
      </c>
      <c r="AI131">
        <v>995033638</v>
      </c>
      <c r="AL131" t="s">
        <v>999</v>
      </c>
      <c r="AO131" t="s">
        <v>1000</v>
      </c>
      <c r="AP131" t="s">
        <v>1001</v>
      </c>
      <c r="AQ131" t="s">
        <v>178</v>
      </c>
      <c r="AR131" t="s">
        <v>271</v>
      </c>
      <c r="AS131" t="s">
        <v>1002</v>
      </c>
      <c r="AT131" t="s">
        <v>141</v>
      </c>
      <c r="AU131" t="s">
        <v>96</v>
      </c>
      <c r="AZ131" t="s">
        <v>98</v>
      </c>
      <c r="BA131" t="s">
        <v>99</v>
      </c>
      <c r="BB131" t="s">
        <v>1003</v>
      </c>
      <c r="BC131" t="s">
        <v>287</v>
      </c>
      <c r="BD131" t="s">
        <v>1004</v>
      </c>
      <c r="BE131">
        <v>2022</v>
      </c>
      <c r="BF131">
        <v>2022</v>
      </c>
    </row>
    <row r="132" spans="1:58">
      <c r="A132">
        <v>2663330</v>
      </c>
      <c r="B132">
        <v>503</v>
      </c>
      <c r="D132">
        <v>14089202</v>
      </c>
      <c r="F132" t="s">
        <v>80</v>
      </c>
      <c r="G132" t="s">
        <v>81</v>
      </c>
      <c r="H132" t="s">
        <v>115</v>
      </c>
      <c r="I132" t="s">
        <v>115</v>
      </c>
      <c r="J132" t="s">
        <v>5</v>
      </c>
      <c r="K132" t="s">
        <v>83</v>
      </c>
      <c r="L132" s="3">
        <v>46180</v>
      </c>
      <c r="N132">
        <v>7044994</v>
      </c>
      <c r="O132">
        <v>3</v>
      </c>
      <c r="P132" t="s">
        <v>1005</v>
      </c>
      <c r="R132">
        <v>763.93200000000002</v>
      </c>
      <c r="S132" s="3">
        <v>45660</v>
      </c>
      <c r="W132" t="s">
        <v>86</v>
      </c>
      <c r="Y132">
        <v>0</v>
      </c>
      <c r="Z132">
        <v>0</v>
      </c>
      <c r="AC132">
        <v>14089202</v>
      </c>
      <c r="AH132" t="s">
        <v>5</v>
      </c>
      <c r="AI132">
        <v>998852088</v>
      </c>
      <c r="AL132" t="s">
        <v>1006</v>
      </c>
      <c r="AO132" t="s">
        <v>1007</v>
      </c>
      <c r="AP132" t="s">
        <v>715</v>
      </c>
      <c r="AQ132" t="s">
        <v>92</v>
      </c>
      <c r="AR132" t="s">
        <v>1008</v>
      </c>
      <c r="AS132" t="s">
        <v>1009</v>
      </c>
      <c r="AT132" t="s">
        <v>122</v>
      </c>
      <c r="AU132" t="s">
        <v>96</v>
      </c>
      <c r="AZ132" t="s">
        <v>111</v>
      </c>
      <c r="BA132" t="s">
        <v>99</v>
      </c>
      <c r="BB132" t="s">
        <v>1010</v>
      </c>
      <c r="BC132" t="s">
        <v>375</v>
      </c>
      <c r="BD132" t="s">
        <v>1011</v>
      </c>
      <c r="BE132">
        <v>2017</v>
      </c>
      <c r="BF132">
        <v>2017</v>
      </c>
    </row>
    <row r="133" spans="1:58">
      <c r="A133">
        <v>2668943</v>
      </c>
      <c r="B133">
        <v>107</v>
      </c>
      <c r="D133">
        <v>13708767</v>
      </c>
      <c r="F133" t="s">
        <v>80</v>
      </c>
      <c r="G133" t="s">
        <v>81</v>
      </c>
      <c r="H133" t="s">
        <v>11</v>
      </c>
      <c r="I133" t="s">
        <v>11</v>
      </c>
      <c r="J133" t="s">
        <v>5</v>
      </c>
      <c r="K133" t="s">
        <v>83</v>
      </c>
      <c r="L133" s="3">
        <v>46180</v>
      </c>
      <c r="M133" t="s">
        <v>193</v>
      </c>
      <c r="N133">
        <v>18420136</v>
      </c>
      <c r="O133">
        <v>4</v>
      </c>
      <c r="P133" t="s">
        <v>1012</v>
      </c>
      <c r="R133">
        <v>373.91300000000001</v>
      </c>
      <c r="S133" s="3">
        <v>46026</v>
      </c>
      <c r="W133" t="s">
        <v>86</v>
      </c>
      <c r="X133" t="s">
        <v>87</v>
      </c>
      <c r="Y133">
        <v>0</v>
      </c>
      <c r="Z133">
        <v>0</v>
      </c>
      <c r="AC133">
        <v>13708767</v>
      </c>
      <c r="AH133" t="s">
        <v>5</v>
      </c>
      <c r="AI133">
        <v>56966400955</v>
      </c>
      <c r="AL133" t="s">
        <v>1013</v>
      </c>
      <c r="AO133" t="s">
        <v>1014</v>
      </c>
      <c r="AP133" t="s">
        <v>206</v>
      </c>
      <c r="AQ133" t="s">
        <v>160</v>
      </c>
      <c r="AR133" t="s">
        <v>1015</v>
      </c>
      <c r="AS133" t="s">
        <v>180</v>
      </c>
      <c r="AT133" t="s">
        <v>122</v>
      </c>
      <c r="AU133" t="s">
        <v>96</v>
      </c>
      <c r="AZ133" t="s">
        <v>111</v>
      </c>
      <c r="BA133" t="s">
        <v>99</v>
      </c>
      <c r="BB133" t="s">
        <v>1016</v>
      </c>
      <c r="BC133" t="s">
        <v>200</v>
      </c>
      <c r="BD133" t="s">
        <v>1017</v>
      </c>
      <c r="BE133">
        <v>2023</v>
      </c>
      <c r="BF133">
        <v>2023</v>
      </c>
    </row>
    <row r="134" spans="1:58">
      <c r="A134">
        <v>2673094</v>
      </c>
      <c r="B134">
        <v>138</v>
      </c>
      <c r="D134">
        <v>9694975</v>
      </c>
      <c r="F134" t="s">
        <v>80</v>
      </c>
      <c r="G134" t="s">
        <v>81</v>
      </c>
      <c r="H134" t="s">
        <v>11</v>
      </c>
      <c r="I134" t="s">
        <v>11</v>
      </c>
      <c r="J134" t="s">
        <v>5</v>
      </c>
      <c r="K134" t="s">
        <v>83</v>
      </c>
      <c r="L134" s="3">
        <v>46180</v>
      </c>
      <c r="M134" t="s">
        <v>193</v>
      </c>
      <c r="N134">
        <v>14379008</v>
      </c>
      <c r="O134">
        <v>8</v>
      </c>
      <c r="P134" t="s">
        <v>1018</v>
      </c>
      <c r="R134">
        <v>283.91300000000001</v>
      </c>
      <c r="S134" s="3">
        <v>46025</v>
      </c>
      <c r="W134" t="s">
        <v>86</v>
      </c>
      <c r="X134" t="s">
        <v>87</v>
      </c>
      <c r="Y134">
        <v>0</v>
      </c>
      <c r="Z134">
        <v>0</v>
      </c>
      <c r="AC134">
        <v>9694975</v>
      </c>
      <c r="AH134" t="s">
        <v>5</v>
      </c>
      <c r="AI134">
        <v>56949640086</v>
      </c>
      <c r="AL134" t="s">
        <v>1019</v>
      </c>
      <c r="AO134" t="s">
        <v>1020</v>
      </c>
      <c r="AP134" t="s">
        <v>1021</v>
      </c>
      <c r="AQ134" t="s">
        <v>215</v>
      </c>
      <c r="AR134" t="s">
        <v>916</v>
      </c>
      <c r="AS134" t="s">
        <v>346</v>
      </c>
      <c r="AT134" t="s">
        <v>141</v>
      </c>
      <c r="AU134" t="s">
        <v>96</v>
      </c>
      <c r="AZ134" t="s">
        <v>98</v>
      </c>
      <c r="BA134" t="s">
        <v>99</v>
      </c>
      <c r="BB134" t="s">
        <v>1022</v>
      </c>
      <c r="BC134" t="s">
        <v>287</v>
      </c>
      <c r="BD134" t="s">
        <v>1023</v>
      </c>
      <c r="BE134">
        <v>2023</v>
      </c>
      <c r="BF134">
        <v>2023</v>
      </c>
    </row>
    <row r="135" spans="1:58">
      <c r="A135">
        <v>2675827</v>
      </c>
      <c r="B135">
        <v>138</v>
      </c>
      <c r="D135">
        <v>4540946</v>
      </c>
      <c r="F135" t="s">
        <v>80</v>
      </c>
      <c r="G135" t="s">
        <v>81</v>
      </c>
      <c r="H135" t="s">
        <v>11</v>
      </c>
      <c r="I135" t="s">
        <v>11</v>
      </c>
      <c r="J135" t="s">
        <v>5</v>
      </c>
      <c r="K135" t="s">
        <v>83</v>
      </c>
      <c r="L135" s="3">
        <v>46180</v>
      </c>
      <c r="M135" t="s">
        <v>193</v>
      </c>
      <c r="N135">
        <v>16873958</v>
      </c>
      <c r="O135">
        <v>3</v>
      </c>
      <c r="P135" t="s">
        <v>1024</v>
      </c>
      <c r="R135">
        <v>197.95599999999999</v>
      </c>
      <c r="S135" s="3">
        <v>46025</v>
      </c>
      <c r="W135" t="s">
        <v>86</v>
      </c>
      <c r="Y135">
        <v>0</v>
      </c>
      <c r="Z135">
        <v>0</v>
      </c>
      <c r="AC135">
        <v>4540946</v>
      </c>
      <c r="AH135" t="s">
        <v>5</v>
      </c>
      <c r="AI135">
        <v>979555363</v>
      </c>
      <c r="AL135" t="s">
        <v>1025</v>
      </c>
      <c r="AO135" t="s">
        <v>1026</v>
      </c>
      <c r="AP135" t="s">
        <v>1027</v>
      </c>
      <c r="AQ135" t="s">
        <v>434</v>
      </c>
      <c r="AR135" t="s">
        <v>1028</v>
      </c>
      <c r="AS135" t="s">
        <v>131</v>
      </c>
      <c r="AT135" t="s">
        <v>141</v>
      </c>
      <c r="AU135" t="s">
        <v>96</v>
      </c>
      <c r="AZ135" t="s">
        <v>98</v>
      </c>
      <c r="BA135" t="s">
        <v>99</v>
      </c>
      <c r="BC135" t="s">
        <v>475</v>
      </c>
      <c r="BD135" t="s">
        <v>1029</v>
      </c>
      <c r="BE135">
        <v>2014</v>
      </c>
      <c r="BF135">
        <v>2014</v>
      </c>
    </row>
    <row r="136" spans="1:58">
      <c r="A136">
        <v>2678909</v>
      </c>
      <c r="B136">
        <v>228</v>
      </c>
      <c r="D136">
        <v>5062075</v>
      </c>
      <c r="F136" t="s">
        <v>80</v>
      </c>
      <c r="G136" t="s">
        <v>81</v>
      </c>
      <c r="H136" t="s">
        <v>11</v>
      </c>
      <c r="I136" t="s">
        <v>11</v>
      </c>
      <c r="J136" t="s">
        <v>5</v>
      </c>
      <c r="K136" t="s">
        <v>83</v>
      </c>
      <c r="L136" s="3">
        <v>46180</v>
      </c>
      <c r="N136">
        <v>77081782</v>
      </c>
      <c r="O136" t="s">
        <v>266</v>
      </c>
      <c r="P136" t="s">
        <v>1030</v>
      </c>
      <c r="R136">
        <v>506.20800000000003</v>
      </c>
      <c r="S136" s="3">
        <v>45669</v>
      </c>
      <c r="W136" t="s">
        <v>86</v>
      </c>
      <c r="Y136">
        <v>0</v>
      </c>
      <c r="Z136">
        <v>0</v>
      </c>
      <c r="AC136">
        <v>5062075</v>
      </c>
      <c r="AH136" t="s">
        <v>5</v>
      </c>
      <c r="AI136">
        <v>973425995</v>
      </c>
      <c r="AL136" t="s">
        <v>1031</v>
      </c>
      <c r="AO136" t="s">
        <v>1032</v>
      </c>
      <c r="AP136" t="s">
        <v>735</v>
      </c>
      <c r="AQ136" t="s">
        <v>92</v>
      </c>
      <c r="AR136" t="s">
        <v>621</v>
      </c>
      <c r="AS136" t="s">
        <v>243</v>
      </c>
      <c r="AT136" t="s">
        <v>503</v>
      </c>
      <c r="AU136" t="s">
        <v>96</v>
      </c>
      <c r="AZ136" t="s">
        <v>111</v>
      </c>
      <c r="BA136" t="s">
        <v>99</v>
      </c>
      <c r="BB136" t="s">
        <v>1033</v>
      </c>
      <c r="BC136" t="s">
        <v>421</v>
      </c>
      <c r="BD136" t="s">
        <v>1034</v>
      </c>
      <c r="BE136">
        <v>2023</v>
      </c>
      <c r="BF136">
        <v>2023</v>
      </c>
    </row>
    <row r="137" spans="1:58">
      <c r="A137">
        <v>2690834</v>
      </c>
      <c r="B137">
        <v>472</v>
      </c>
      <c r="D137">
        <v>10261073</v>
      </c>
      <c r="F137" t="s">
        <v>80</v>
      </c>
      <c r="G137" t="s">
        <v>81</v>
      </c>
      <c r="H137" t="s">
        <v>115</v>
      </c>
      <c r="I137" t="s">
        <v>115</v>
      </c>
      <c r="J137" t="s">
        <v>5</v>
      </c>
      <c r="K137" t="s">
        <v>83</v>
      </c>
      <c r="L137" s="3">
        <v>46180</v>
      </c>
      <c r="N137">
        <v>15913479</v>
      </c>
      <c r="O137">
        <v>2</v>
      </c>
      <c r="P137" t="s">
        <v>1035</v>
      </c>
      <c r="R137">
        <v>290.78199999999998</v>
      </c>
      <c r="S137" s="3">
        <v>45661</v>
      </c>
      <c r="W137" t="s">
        <v>86</v>
      </c>
      <c r="X137" t="s">
        <v>87</v>
      </c>
      <c r="Y137">
        <v>0</v>
      </c>
      <c r="Z137">
        <v>0</v>
      </c>
      <c r="AC137">
        <v>10261073</v>
      </c>
      <c r="AH137" t="s">
        <v>5</v>
      </c>
      <c r="AI137">
        <v>982918469</v>
      </c>
      <c r="AL137" t="s">
        <v>1036</v>
      </c>
      <c r="AO137" t="s">
        <v>1037</v>
      </c>
      <c r="AP137" t="s">
        <v>214</v>
      </c>
      <c r="AQ137" t="s">
        <v>215</v>
      </c>
      <c r="AR137" t="s">
        <v>271</v>
      </c>
      <c r="AS137" t="s">
        <v>542</v>
      </c>
      <c r="AT137" t="s">
        <v>141</v>
      </c>
      <c r="AU137" t="s">
        <v>96</v>
      </c>
      <c r="AZ137" t="s">
        <v>98</v>
      </c>
      <c r="BA137" t="s">
        <v>99</v>
      </c>
      <c r="BB137" t="s">
        <v>1038</v>
      </c>
      <c r="BC137" t="s">
        <v>278</v>
      </c>
      <c r="BD137" t="s">
        <v>1039</v>
      </c>
      <c r="BE137">
        <v>2024</v>
      </c>
      <c r="BF137">
        <v>2024</v>
      </c>
    </row>
    <row r="138" spans="1:58">
      <c r="A138">
        <v>2699951</v>
      </c>
      <c r="B138">
        <v>166</v>
      </c>
      <c r="D138">
        <v>10007396</v>
      </c>
      <c r="F138" t="s">
        <v>80</v>
      </c>
      <c r="G138" t="s">
        <v>81</v>
      </c>
      <c r="H138" t="s">
        <v>11</v>
      </c>
      <c r="I138" t="s">
        <v>11</v>
      </c>
      <c r="J138" t="s">
        <v>5</v>
      </c>
      <c r="K138" t="s">
        <v>83</v>
      </c>
      <c r="L138" s="3">
        <v>46180</v>
      </c>
      <c r="N138">
        <v>77144932</v>
      </c>
      <c r="O138">
        <v>8</v>
      </c>
      <c r="P138" t="s">
        <v>1040</v>
      </c>
      <c r="R138">
        <v>407.79899999999998</v>
      </c>
      <c r="S138" s="3">
        <v>46024</v>
      </c>
      <c r="W138" t="s">
        <v>86</v>
      </c>
      <c r="X138" t="s">
        <v>87</v>
      </c>
      <c r="Y138">
        <v>0</v>
      </c>
      <c r="Z138">
        <v>0</v>
      </c>
      <c r="AC138">
        <v>10007396</v>
      </c>
      <c r="AH138" t="s">
        <v>5</v>
      </c>
      <c r="AI138">
        <v>940859641</v>
      </c>
      <c r="AL138" t="s">
        <v>1041</v>
      </c>
      <c r="AO138" t="s">
        <v>1042</v>
      </c>
      <c r="AP138" t="s">
        <v>586</v>
      </c>
      <c r="AQ138" t="s">
        <v>92</v>
      </c>
      <c r="AR138" t="s">
        <v>1043</v>
      </c>
      <c r="AS138" t="s">
        <v>752</v>
      </c>
      <c r="AT138" t="s">
        <v>122</v>
      </c>
      <c r="AU138" t="s">
        <v>96</v>
      </c>
      <c r="AZ138" t="s">
        <v>111</v>
      </c>
      <c r="BA138" t="s">
        <v>99</v>
      </c>
      <c r="BB138" t="s">
        <v>1044</v>
      </c>
      <c r="BC138" t="s">
        <v>1045</v>
      </c>
      <c r="BD138" t="s">
        <v>1046</v>
      </c>
      <c r="BE138">
        <v>2022</v>
      </c>
      <c r="BF138">
        <v>2022</v>
      </c>
    </row>
    <row r="139" spans="1:58">
      <c r="A139">
        <v>2740588</v>
      </c>
      <c r="B139">
        <v>228</v>
      </c>
      <c r="D139">
        <v>9109254</v>
      </c>
      <c r="F139" t="s">
        <v>80</v>
      </c>
      <c r="G139" t="s">
        <v>81</v>
      </c>
      <c r="H139" t="s">
        <v>11</v>
      </c>
      <c r="I139" t="s">
        <v>11</v>
      </c>
      <c r="J139" t="s">
        <v>5</v>
      </c>
      <c r="K139" t="s">
        <v>83</v>
      </c>
      <c r="L139" s="3">
        <v>46180</v>
      </c>
      <c r="N139">
        <v>10639738</v>
      </c>
      <c r="O139">
        <v>4</v>
      </c>
      <c r="P139" t="s">
        <v>1047</v>
      </c>
      <c r="R139">
        <v>186.61099999999999</v>
      </c>
      <c r="S139" s="3">
        <v>45669</v>
      </c>
      <c r="W139" t="s">
        <v>156</v>
      </c>
      <c r="Y139">
        <v>0</v>
      </c>
      <c r="Z139">
        <v>0</v>
      </c>
      <c r="AC139">
        <v>9109254</v>
      </c>
      <c r="AH139" t="s">
        <v>5</v>
      </c>
      <c r="AI139">
        <v>941007327</v>
      </c>
      <c r="AL139" t="s">
        <v>1048</v>
      </c>
      <c r="AO139" t="s">
        <v>1049</v>
      </c>
      <c r="AP139" t="s">
        <v>915</v>
      </c>
      <c r="AQ139" t="s">
        <v>92</v>
      </c>
      <c r="AR139" t="s">
        <v>1050</v>
      </c>
      <c r="AS139" t="s">
        <v>455</v>
      </c>
      <c r="AT139" t="s">
        <v>122</v>
      </c>
      <c r="AU139" t="s">
        <v>96</v>
      </c>
      <c r="AZ139" t="s">
        <v>111</v>
      </c>
      <c r="BA139" t="s">
        <v>99</v>
      </c>
      <c r="BC139" t="s">
        <v>164</v>
      </c>
      <c r="BD139" t="s">
        <v>1051</v>
      </c>
      <c r="BE139">
        <v>2022</v>
      </c>
      <c r="BF139">
        <v>2022</v>
      </c>
    </row>
    <row r="140" spans="1:58">
      <c r="A140">
        <v>2749966</v>
      </c>
      <c r="B140">
        <v>166</v>
      </c>
      <c r="D140">
        <v>11670690</v>
      </c>
      <c r="F140" t="s">
        <v>80</v>
      </c>
      <c r="G140" t="s">
        <v>81</v>
      </c>
      <c r="H140" t="s">
        <v>11</v>
      </c>
      <c r="I140" t="s">
        <v>11</v>
      </c>
      <c r="J140" t="s">
        <v>5</v>
      </c>
      <c r="K140" t="s">
        <v>83</v>
      </c>
      <c r="L140" s="3">
        <v>46180</v>
      </c>
      <c r="N140">
        <v>12401950</v>
      </c>
      <c r="O140">
        <v>8</v>
      </c>
      <c r="P140" t="s">
        <v>1052</v>
      </c>
      <c r="R140">
        <v>331.70100000000002</v>
      </c>
      <c r="S140" s="3">
        <v>46024</v>
      </c>
      <c r="W140" t="s">
        <v>86</v>
      </c>
      <c r="Y140">
        <v>0</v>
      </c>
      <c r="Z140">
        <v>0</v>
      </c>
      <c r="AC140">
        <v>7513017</v>
      </c>
      <c r="AH140" t="s">
        <v>5</v>
      </c>
      <c r="AI140">
        <v>963856994</v>
      </c>
      <c r="AL140" t="s">
        <v>1053</v>
      </c>
      <c r="AO140" t="s">
        <v>1054</v>
      </c>
      <c r="AP140" t="s">
        <v>902</v>
      </c>
      <c r="AQ140" t="s">
        <v>92</v>
      </c>
      <c r="AR140" t="s">
        <v>1055</v>
      </c>
      <c r="AS140" t="s">
        <v>418</v>
      </c>
      <c r="AT140" t="s">
        <v>110</v>
      </c>
      <c r="AU140" t="s">
        <v>96</v>
      </c>
      <c r="AZ140" t="s">
        <v>111</v>
      </c>
      <c r="BA140" t="s">
        <v>221</v>
      </c>
      <c r="BB140" t="s">
        <v>1056</v>
      </c>
      <c r="BC140" t="s">
        <v>1057</v>
      </c>
      <c r="BD140" t="s">
        <v>1058</v>
      </c>
      <c r="BE140">
        <v>2024</v>
      </c>
      <c r="BF140">
        <v>2024</v>
      </c>
    </row>
    <row r="141" spans="1:58">
      <c r="A141">
        <v>2751867</v>
      </c>
      <c r="B141">
        <v>197</v>
      </c>
      <c r="D141">
        <v>5982190</v>
      </c>
      <c r="F141" t="s">
        <v>80</v>
      </c>
      <c r="G141" t="s">
        <v>81</v>
      </c>
      <c r="H141" t="s">
        <v>11</v>
      </c>
      <c r="I141" t="s">
        <v>11</v>
      </c>
      <c r="J141" t="s">
        <v>5</v>
      </c>
      <c r="K141" t="s">
        <v>83</v>
      </c>
      <c r="L141" s="3">
        <v>46180</v>
      </c>
      <c r="N141">
        <v>25588177</v>
      </c>
      <c r="O141">
        <v>9</v>
      </c>
      <c r="P141" t="s">
        <v>1059</v>
      </c>
      <c r="R141">
        <v>190.48699999999999</v>
      </c>
      <c r="S141" s="3">
        <v>46023</v>
      </c>
      <c r="W141" t="s">
        <v>86</v>
      </c>
      <c r="Y141">
        <v>0</v>
      </c>
      <c r="Z141">
        <v>0</v>
      </c>
      <c r="AC141">
        <v>5982190</v>
      </c>
      <c r="AH141" t="s">
        <v>5</v>
      </c>
      <c r="AI141">
        <v>930329460</v>
      </c>
      <c r="AL141" t="s">
        <v>1060</v>
      </c>
      <c r="AO141" t="s">
        <v>1061</v>
      </c>
      <c r="AP141" t="s">
        <v>800</v>
      </c>
      <c r="AQ141" t="s">
        <v>801</v>
      </c>
      <c r="AR141" t="s">
        <v>1062</v>
      </c>
      <c r="AS141" t="s">
        <v>228</v>
      </c>
      <c r="AT141" t="s">
        <v>122</v>
      </c>
      <c r="AU141" t="s">
        <v>96</v>
      </c>
      <c r="AZ141" t="s">
        <v>111</v>
      </c>
      <c r="BA141" t="s">
        <v>99</v>
      </c>
      <c r="BC141" t="s">
        <v>550</v>
      </c>
      <c r="BD141" t="s">
        <v>1063</v>
      </c>
      <c r="BE141">
        <v>2021</v>
      </c>
      <c r="BF141">
        <v>2021</v>
      </c>
    </row>
    <row r="142" spans="1:58">
      <c r="A142">
        <v>2753455</v>
      </c>
      <c r="B142">
        <v>258</v>
      </c>
      <c r="D142">
        <v>10000175</v>
      </c>
      <c r="F142" t="s">
        <v>80</v>
      </c>
      <c r="G142" t="s">
        <v>81</v>
      </c>
      <c r="H142" t="s">
        <v>11</v>
      </c>
      <c r="I142" t="s">
        <v>11</v>
      </c>
      <c r="J142" t="s">
        <v>5</v>
      </c>
      <c r="K142" t="s">
        <v>83</v>
      </c>
      <c r="L142" s="3">
        <v>46180</v>
      </c>
      <c r="N142">
        <v>18491040</v>
      </c>
      <c r="O142">
        <v>3</v>
      </c>
      <c r="P142" t="s">
        <v>1064</v>
      </c>
      <c r="R142">
        <v>276.01299999999998</v>
      </c>
      <c r="S142" s="3">
        <v>45668</v>
      </c>
      <c r="W142" t="s">
        <v>86</v>
      </c>
      <c r="X142" t="s">
        <v>87</v>
      </c>
      <c r="Y142">
        <v>0</v>
      </c>
      <c r="Z142">
        <v>0</v>
      </c>
      <c r="AC142">
        <v>10000175</v>
      </c>
      <c r="AH142" t="s">
        <v>5</v>
      </c>
      <c r="AI142">
        <v>946243802</v>
      </c>
      <c r="AL142" t="s">
        <v>1065</v>
      </c>
      <c r="AO142" t="s">
        <v>1066</v>
      </c>
      <c r="AP142" t="s">
        <v>159</v>
      </c>
      <c r="AQ142" t="s">
        <v>160</v>
      </c>
      <c r="AR142" t="s">
        <v>1067</v>
      </c>
      <c r="AS142" t="s">
        <v>284</v>
      </c>
      <c r="AT142" t="s">
        <v>141</v>
      </c>
      <c r="AU142" t="s">
        <v>96</v>
      </c>
      <c r="AZ142" t="s">
        <v>98</v>
      </c>
      <c r="BA142" t="s">
        <v>99</v>
      </c>
      <c r="BB142" t="s">
        <v>1068</v>
      </c>
      <c r="BC142" t="s">
        <v>287</v>
      </c>
      <c r="BD142" t="s">
        <v>1069</v>
      </c>
      <c r="BE142">
        <v>2024</v>
      </c>
      <c r="BF142">
        <v>2024</v>
      </c>
    </row>
    <row r="143" spans="1:58">
      <c r="A143">
        <v>2757617</v>
      </c>
      <c r="B143">
        <v>197</v>
      </c>
      <c r="D143">
        <v>9115829</v>
      </c>
      <c r="F143" t="s">
        <v>80</v>
      </c>
      <c r="G143" t="s">
        <v>81</v>
      </c>
      <c r="H143" t="s">
        <v>11</v>
      </c>
      <c r="I143" t="s">
        <v>11</v>
      </c>
      <c r="J143" t="s">
        <v>5</v>
      </c>
      <c r="K143" t="s">
        <v>83</v>
      </c>
      <c r="L143" s="3">
        <v>46180</v>
      </c>
      <c r="N143">
        <v>10908669</v>
      </c>
      <c r="O143" t="s">
        <v>266</v>
      </c>
      <c r="P143" t="s">
        <v>1070</v>
      </c>
      <c r="R143">
        <v>309.13</v>
      </c>
      <c r="S143" s="3">
        <v>46023</v>
      </c>
      <c r="W143" t="s">
        <v>86</v>
      </c>
      <c r="X143" t="s">
        <v>87</v>
      </c>
      <c r="Y143">
        <v>0</v>
      </c>
      <c r="Z143">
        <v>0</v>
      </c>
      <c r="AC143">
        <v>9115829</v>
      </c>
      <c r="AE143" t="s">
        <v>203</v>
      </c>
      <c r="AF143" t="s">
        <v>80</v>
      </c>
      <c r="AH143" t="s">
        <v>5</v>
      </c>
      <c r="AI143">
        <v>964496387</v>
      </c>
      <c r="AL143" t="s">
        <v>1071</v>
      </c>
      <c r="AO143" t="s">
        <v>1072</v>
      </c>
      <c r="AP143" t="s">
        <v>314</v>
      </c>
      <c r="AQ143" t="s">
        <v>92</v>
      </c>
      <c r="AR143" t="s">
        <v>1062</v>
      </c>
      <c r="AS143" t="s">
        <v>455</v>
      </c>
      <c r="AT143" t="s">
        <v>122</v>
      </c>
      <c r="AU143" t="s">
        <v>96</v>
      </c>
      <c r="AZ143" t="s">
        <v>111</v>
      </c>
      <c r="BA143" t="s">
        <v>99</v>
      </c>
      <c r="BB143" t="s">
        <v>1073</v>
      </c>
      <c r="BC143" t="s">
        <v>1074</v>
      </c>
      <c r="BD143" t="s">
        <v>1075</v>
      </c>
      <c r="BE143">
        <v>2024</v>
      </c>
      <c r="BF143">
        <v>2024</v>
      </c>
    </row>
    <row r="144" spans="1:58">
      <c r="A144">
        <v>2758458</v>
      </c>
      <c r="B144">
        <v>442</v>
      </c>
      <c r="D144">
        <v>7453892</v>
      </c>
      <c r="F144" t="s">
        <v>80</v>
      </c>
      <c r="G144" t="s">
        <v>81</v>
      </c>
      <c r="H144" t="s">
        <v>115</v>
      </c>
      <c r="I144" t="s">
        <v>115</v>
      </c>
      <c r="J144" t="s">
        <v>5</v>
      </c>
      <c r="K144" t="s">
        <v>83</v>
      </c>
      <c r="L144" s="3">
        <v>46180</v>
      </c>
      <c r="N144">
        <v>12522128</v>
      </c>
      <c r="O144">
        <v>9</v>
      </c>
      <c r="P144" t="s">
        <v>1076</v>
      </c>
      <c r="R144">
        <v>188.285</v>
      </c>
      <c r="S144" s="3">
        <v>45662</v>
      </c>
      <c r="W144" t="s">
        <v>86</v>
      </c>
      <c r="X144" t="s">
        <v>87</v>
      </c>
      <c r="Y144">
        <v>0</v>
      </c>
      <c r="Z144">
        <v>0</v>
      </c>
      <c r="AC144">
        <v>7453892</v>
      </c>
      <c r="AH144" t="s">
        <v>5</v>
      </c>
      <c r="AI144">
        <v>56999343435</v>
      </c>
      <c r="AL144" t="s">
        <v>1077</v>
      </c>
      <c r="AO144" t="s">
        <v>1078</v>
      </c>
      <c r="AP144" t="s">
        <v>408</v>
      </c>
      <c r="AQ144" t="s">
        <v>92</v>
      </c>
      <c r="AR144" t="s">
        <v>367</v>
      </c>
      <c r="AS144" t="s">
        <v>1079</v>
      </c>
      <c r="AT144" t="s">
        <v>122</v>
      </c>
      <c r="AU144" t="s">
        <v>96</v>
      </c>
      <c r="AZ144" t="s">
        <v>111</v>
      </c>
      <c r="BA144" t="s">
        <v>99</v>
      </c>
      <c r="BB144" t="s">
        <v>1080</v>
      </c>
      <c r="BC144" t="s">
        <v>1081</v>
      </c>
      <c r="BD144" t="s">
        <v>1082</v>
      </c>
      <c r="BE144">
        <v>2023</v>
      </c>
      <c r="BF144">
        <v>2023</v>
      </c>
    </row>
    <row r="145" spans="1:58">
      <c r="A145">
        <v>2762910</v>
      </c>
      <c r="B145">
        <v>442</v>
      </c>
      <c r="D145">
        <v>15253118</v>
      </c>
      <c r="F145" t="s">
        <v>80</v>
      </c>
      <c r="G145" t="s">
        <v>81</v>
      </c>
      <c r="H145" t="s">
        <v>115</v>
      </c>
      <c r="I145" t="s">
        <v>115</v>
      </c>
      <c r="J145" t="s">
        <v>5</v>
      </c>
      <c r="K145" t="s">
        <v>83</v>
      </c>
      <c r="L145" s="3">
        <v>46180</v>
      </c>
      <c r="N145">
        <v>9369669</v>
      </c>
      <c r="O145">
        <v>7</v>
      </c>
      <c r="P145" t="s">
        <v>1083</v>
      </c>
      <c r="R145">
        <v>316.42</v>
      </c>
      <c r="S145" s="3">
        <v>45662</v>
      </c>
      <c r="W145" t="s">
        <v>86</v>
      </c>
      <c r="X145" t="s">
        <v>87</v>
      </c>
      <c r="Y145">
        <v>0</v>
      </c>
      <c r="Z145">
        <v>0</v>
      </c>
      <c r="AC145">
        <v>15253118</v>
      </c>
      <c r="AE145" t="s">
        <v>248</v>
      </c>
      <c r="AF145" t="s">
        <v>80</v>
      </c>
      <c r="AH145" t="s">
        <v>5</v>
      </c>
      <c r="AI145">
        <v>992941506</v>
      </c>
      <c r="AL145" t="s">
        <v>1084</v>
      </c>
      <c r="AO145" t="s">
        <v>1085</v>
      </c>
      <c r="AP145" t="s">
        <v>1086</v>
      </c>
      <c r="AQ145" t="s">
        <v>322</v>
      </c>
      <c r="AR145" t="s">
        <v>418</v>
      </c>
      <c r="AS145" t="s">
        <v>831</v>
      </c>
      <c r="AT145" t="s">
        <v>122</v>
      </c>
      <c r="AU145" t="s">
        <v>96</v>
      </c>
      <c r="AZ145" t="s">
        <v>111</v>
      </c>
      <c r="BA145" t="s">
        <v>99</v>
      </c>
      <c r="BB145" t="s">
        <v>1087</v>
      </c>
      <c r="BC145" t="s">
        <v>153</v>
      </c>
      <c r="BD145" t="s">
        <v>978</v>
      </c>
      <c r="BE145">
        <v>2022</v>
      </c>
      <c r="BF145">
        <v>2022</v>
      </c>
    </row>
    <row r="146" spans="1:58">
      <c r="A146">
        <v>2764515</v>
      </c>
      <c r="B146">
        <v>197</v>
      </c>
      <c r="D146">
        <v>6725884</v>
      </c>
      <c r="F146" t="s">
        <v>80</v>
      </c>
      <c r="G146" t="s">
        <v>81</v>
      </c>
      <c r="H146" t="s">
        <v>11</v>
      </c>
      <c r="I146" t="s">
        <v>11</v>
      </c>
      <c r="J146" t="s">
        <v>5</v>
      </c>
      <c r="K146" t="s">
        <v>83</v>
      </c>
      <c r="L146" s="3">
        <v>46180</v>
      </c>
      <c r="N146">
        <v>24025013</v>
      </c>
      <c r="O146">
        <v>6</v>
      </c>
      <c r="P146" t="s">
        <v>1088</v>
      </c>
      <c r="R146">
        <v>228.19800000000001</v>
      </c>
      <c r="S146" s="3">
        <v>46023</v>
      </c>
      <c r="W146" t="s">
        <v>86</v>
      </c>
      <c r="Y146">
        <v>0</v>
      </c>
      <c r="Z146">
        <v>0</v>
      </c>
      <c r="AC146">
        <v>6725884</v>
      </c>
      <c r="AH146" t="s">
        <v>5</v>
      </c>
      <c r="AI146">
        <v>988285711</v>
      </c>
      <c r="AL146" t="s">
        <v>1089</v>
      </c>
      <c r="AO146" t="s">
        <v>908</v>
      </c>
      <c r="AP146" t="s">
        <v>800</v>
      </c>
      <c r="AQ146" t="s">
        <v>801</v>
      </c>
      <c r="AR146" t="s">
        <v>1090</v>
      </c>
      <c r="AS146" t="s">
        <v>217</v>
      </c>
      <c r="AT146" t="s">
        <v>122</v>
      </c>
      <c r="AU146" t="s">
        <v>96</v>
      </c>
      <c r="AZ146" t="s">
        <v>111</v>
      </c>
      <c r="BA146" t="s">
        <v>99</v>
      </c>
      <c r="BC146" t="s">
        <v>164</v>
      </c>
      <c r="BD146" t="s">
        <v>1091</v>
      </c>
      <c r="BE146">
        <v>2019</v>
      </c>
      <c r="BF146">
        <v>2019</v>
      </c>
    </row>
    <row r="147" spans="1:58">
      <c r="A147">
        <v>2768727</v>
      </c>
      <c r="B147">
        <v>350</v>
      </c>
      <c r="D147">
        <v>8654891</v>
      </c>
      <c r="F147" t="s">
        <v>80</v>
      </c>
      <c r="G147" t="s">
        <v>81</v>
      </c>
      <c r="H147" t="s">
        <v>11</v>
      </c>
      <c r="I147" t="s">
        <v>11</v>
      </c>
      <c r="J147" t="s">
        <v>5</v>
      </c>
      <c r="K147" t="s">
        <v>83</v>
      </c>
      <c r="L147" s="3">
        <v>46180</v>
      </c>
      <c r="N147">
        <v>18151055</v>
      </c>
      <c r="O147">
        <v>2</v>
      </c>
      <c r="P147" t="s">
        <v>1092</v>
      </c>
      <c r="R147">
        <v>250.66499999999999</v>
      </c>
      <c r="S147" s="3">
        <v>45665</v>
      </c>
      <c r="W147" t="s">
        <v>86</v>
      </c>
      <c r="Y147">
        <v>0</v>
      </c>
      <c r="Z147">
        <v>0</v>
      </c>
      <c r="AC147">
        <v>4853261</v>
      </c>
      <c r="AH147" t="s">
        <v>5</v>
      </c>
      <c r="AI147">
        <v>982757098</v>
      </c>
      <c r="AL147" t="s">
        <v>1093</v>
      </c>
      <c r="AO147" t="s">
        <v>1094</v>
      </c>
      <c r="AP147" t="s">
        <v>91</v>
      </c>
      <c r="AQ147" t="s">
        <v>92</v>
      </c>
      <c r="AR147" t="s">
        <v>1095</v>
      </c>
      <c r="AS147" t="s">
        <v>560</v>
      </c>
      <c r="AT147" t="s">
        <v>244</v>
      </c>
      <c r="AU147" t="s">
        <v>96</v>
      </c>
      <c r="AZ147" t="s">
        <v>111</v>
      </c>
      <c r="BA147" t="s">
        <v>99</v>
      </c>
      <c r="BC147" t="s">
        <v>287</v>
      </c>
      <c r="BD147" t="s">
        <v>1096</v>
      </c>
      <c r="BE147">
        <v>2021</v>
      </c>
      <c r="BF147">
        <v>2021</v>
      </c>
    </row>
    <row r="148" spans="1:58">
      <c r="A148">
        <v>2791167</v>
      </c>
      <c r="B148">
        <v>411</v>
      </c>
      <c r="D148">
        <v>12778445</v>
      </c>
      <c r="F148" t="s">
        <v>80</v>
      </c>
      <c r="G148" t="s">
        <v>81</v>
      </c>
      <c r="H148" t="s">
        <v>115</v>
      </c>
      <c r="I148" t="s">
        <v>115</v>
      </c>
      <c r="J148" t="s">
        <v>5</v>
      </c>
      <c r="K148" t="s">
        <v>83</v>
      </c>
      <c r="L148" s="3">
        <v>46180</v>
      </c>
      <c r="N148">
        <v>11047578</v>
      </c>
      <c r="O148">
        <v>0</v>
      </c>
      <c r="P148" t="s">
        <v>1097</v>
      </c>
      <c r="R148">
        <v>289.85300000000001</v>
      </c>
      <c r="S148" s="3">
        <v>45663</v>
      </c>
      <c r="W148" t="s">
        <v>86</v>
      </c>
      <c r="Y148">
        <v>0</v>
      </c>
      <c r="Z148">
        <v>0</v>
      </c>
      <c r="AC148">
        <v>7967844</v>
      </c>
      <c r="AH148" t="s">
        <v>5</v>
      </c>
      <c r="AL148" t="s">
        <v>1098</v>
      </c>
      <c r="AO148" t="s">
        <v>1099</v>
      </c>
      <c r="AP148" t="s">
        <v>915</v>
      </c>
      <c r="AQ148" t="s">
        <v>92</v>
      </c>
      <c r="AR148" t="s">
        <v>120</v>
      </c>
      <c r="AS148" t="s">
        <v>455</v>
      </c>
      <c r="AT148" t="s">
        <v>244</v>
      </c>
      <c r="AU148" t="s">
        <v>96</v>
      </c>
      <c r="AZ148" t="s">
        <v>111</v>
      </c>
      <c r="BA148" t="s">
        <v>99</v>
      </c>
      <c r="BB148" t="s">
        <v>1100</v>
      </c>
      <c r="BC148" t="s">
        <v>1074</v>
      </c>
      <c r="BD148" t="s">
        <v>1101</v>
      </c>
      <c r="BE148">
        <v>2024</v>
      </c>
      <c r="BF148">
        <v>2024</v>
      </c>
    </row>
    <row r="149" spans="1:58">
      <c r="A149">
        <v>2793595</v>
      </c>
      <c r="B149">
        <v>411</v>
      </c>
      <c r="D149">
        <v>19891250</v>
      </c>
      <c r="F149" t="s">
        <v>80</v>
      </c>
      <c r="G149" t="s">
        <v>81</v>
      </c>
      <c r="H149" t="s">
        <v>115</v>
      </c>
      <c r="I149" t="s">
        <v>115</v>
      </c>
      <c r="J149" t="s">
        <v>5</v>
      </c>
      <c r="K149" t="s">
        <v>83</v>
      </c>
      <c r="L149" s="3">
        <v>46180</v>
      </c>
      <c r="N149">
        <v>77192919</v>
      </c>
      <c r="O149">
        <v>2</v>
      </c>
      <c r="P149" t="s">
        <v>1102</v>
      </c>
      <c r="R149">
        <v>604.04899999999998</v>
      </c>
      <c r="S149" s="3">
        <v>45663</v>
      </c>
      <c r="W149" t="s">
        <v>86</v>
      </c>
      <c r="Y149">
        <v>0</v>
      </c>
      <c r="Z149">
        <v>0</v>
      </c>
      <c r="AC149">
        <v>19891250</v>
      </c>
      <c r="AH149" t="s">
        <v>5</v>
      </c>
      <c r="AI149">
        <v>944974587</v>
      </c>
      <c r="AL149" t="s">
        <v>1103</v>
      </c>
      <c r="AO149" t="s">
        <v>1104</v>
      </c>
      <c r="AP149" t="s">
        <v>688</v>
      </c>
      <c r="AQ149" t="s">
        <v>299</v>
      </c>
      <c r="AR149" t="s">
        <v>1105</v>
      </c>
      <c r="AS149" t="s">
        <v>388</v>
      </c>
      <c r="AT149" t="s">
        <v>122</v>
      </c>
      <c r="AU149" t="s">
        <v>96</v>
      </c>
      <c r="AZ149" t="s">
        <v>111</v>
      </c>
      <c r="BA149" t="s">
        <v>99</v>
      </c>
      <c r="BC149" t="s">
        <v>960</v>
      </c>
      <c r="BD149" t="s">
        <v>1106</v>
      </c>
      <c r="BE149">
        <v>2017</v>
      </c>
      <c r="BF149">
        <v>2017</v>
      </c>
    </row>
    <row r="150" spans="1:58">
      <c r="A150">
        <v>2811631</v>
      </c>
      <c r="B150">
        <v>228</v>
      </c>
      <c r="D150">
        <v>9297429</v>
      </c>
      <c r="F150" t="s">
        <v>80</v>
      </c>
      <c r="G150" t="s">
        <v>81</v>
      </c>
      <c r="H150" t="s">
        <v>11</v>
      </c>
      <c r="I150" t="s">
        <v>11</v>
      </c>
      <c r="J150" t="s">
        <v>5</v>
      </c>
      <c r="K150" t="s">
        <v>83</v>
      </c>
      <c r="L150" s="3">
        <v>46180</v>
      </c>
      <c r="N150">
        <v>76818886</v>
      </c>
      <c r="O150">
        <v>6</v>
      </c>
      <c r="P150" t="s">
        <v>1107</v>
      </c>
      <c r="R150">
        <v>267.67899999999997</v>
      </c>
      <c r="S150" s="3">
        <v>45669</v>
      </c>
      <c r="W150" t="s">
        <v>86</v>
      </c>
      <c r="Y150">
        <v>0</v>
      </c>
      <c r="Z150">
        <v>0</v>
      </c>
      <c r="AC150">
        <v>9297429</v>
      </c>
      <c r="AH150" t="s">
        <v>5</v>
      </c>
      <c r="AI150">
        <v>941601649</v>
      </c>
      <c r="AL150" t="s">
        <v>1108</v>
      </c>
      <c r="AO150" t="s">
        <v>1109</v>
      </c>
      <c r="AP150" t="s">
        <v>214</v>
      </c>
      <c r="AQ150" t="s">
        <v>215</v>
      </c>
      <c r="AR150" t="s">
        <v>662</v>
      </c>
      <c r="AS150" t="s">
        <v>418</v>
      </c>
      <c r="AT150" t="s">
        <v>122</v>
      </c>
      <c r="AU150" t="s">
        <v>96</v>
      </c>
      <c r="AZ150" t="s">
        <v>111</v>
      </c>
      <c r="BA150" t="s">
        <v>99</v>
      </c>
      <c r="BC150" t="s">
        <v>101</v>
      </c>
      <c r="BD150" t="s">
        <v>1110</v>
      </c>
      <c r="BE150">
        <v>2017</v>
      </c>
      <c r="BF150">
        <v>2017</v>
      </c>
    </row>
    <row r="151" spans="1:58">
      <c r="A151">
        <v>2811998</v>
      </c>
      <c r="B151">
        <v>289</v>
      </c>
      <c r="D151">
        <v>9900746</v>
      </c>
      <c r="F151" t="s">
        <v>80</v>
      </c>
      <c r="G151" t="s">
        <v>81</v>
      </c>
      <c r="H151" t="s">
        <v>11</v>
      </c>
      <c r="I151" t="s">
        <v>11</v>
      </c>
      <c r="J151" t="s">
        <v>5</v>
      </c>
      <c r="K151" t="s">
        <v>83</v>
      </c>
      <c r="L151" s="3">
        <v>46180</v>
      </c>
      <c r="N151">
        <v>8481610</v>
      </c>
      <c r="O151">
        <v>8</v>
      </c>
      <c r="P151" t="s">
        <v>1111</v>
      </c>
      <c r="R151">
        <v>238.21</v>
      </c>
      <c r="S151" s="3">
        <v>45667</v>
      </c>
      <c r="W151" t="s">
        <v>156</v>
      </c>
      <c r="Y151">
        <v>0</v>
      </c>
      <c r="Z151">
        <v>0</v>
      </c>
      <c r="AC151">
        <v>9900746</v>
      </c>
      <c r="AH151" t="s">
        <v>5</v>
      </c>
      <c r="AI151">
        <v>963325072</v>
      </c>
      <c r="AL151" t="s">
        <v>1112</v>
      </c>
      <c r="AO151" t="s">
        <v>1113</v>
      </c>
      <c r="AP151" t="s">
        <v>593</v>
      </c>
      <c r="AQ151" t="s">
        <v>215</v>
      </c>
      <c r="AR151" t="s">
        <v>787</v>
      </c>
      <c r="AS151" t="s">
        <v>560</v>
      </c>
      <c r="AT151" t="s">
        <v>503</v>
      </c>
      <c r="AU151" t="s">
        <v>96</v>
      </c>
      <c r="AZ151" t="s">
        <v>111</v>
      </c>
      <c r="BA151" t="s">
        <v>99</v>
      </c>
      <c r="BC151" t="s">
        <v>164</v>
      </c>
      <c r="BD151" t="s">
        <v>1114</v>
      </c>
      <c r="BE151">
        <v>2021</v>
      </c>
      <c r="BF151">
        <v>2021</v>
      </c>
    </row>
    <row r="152" spans="1:58">
      <c r="A152">
        <v>2872325</v>
      </c>
      <c r="B152">
        <v>319</v>
      </c>
      <c r="D152">
        <v>12727665</v>
      </c>
      <c r="F152" t="s">
        <v>80</v>
      </c>
      <c r="G152" t="s">
        <v>81</v>
      </c>
      <c r="H152" t="s">
        <v>11</v>
      </c>
      <c r="I152" t="s">
        <v>11</v>
      </c>
      <c r="J152" t="s">
        <v>5</v>
      </c>
      <c r="K152" t="s">
        <v>83</v>
      </c>
      <c r="L152" s="3">
        <v>46180</v>
      </c>
      <c r="N152">
        <v>19514399</v>
      </c>
      <c r="O152">
        <v>4</v>
      </c>
      <c r="P152" t="s">
        <v>1115</v>
      </c>
      <c r="R152">
        <v>478.892</v>
      </c>
      <c r="S152" s="3">
        <v>45666</v>
      </c>
      <c r="W152" t="s">
        <v>86</v>
      </c>
      <c r="X152" t="s">
        <v>87</v>
      </c>
      <c r="Y152">
        <v>0</v>
      </c>
      <c r="Z152">
        <v>0</v>
      </c>
      <c r="AC152">
        <v>12727665</v>
      </c>
      <c r="AH152" t="s">
        <v>5</v>
      </c>
      <c r="AI152">
        <v>927292591</v>
      </c>
      <c r="AL152" t="s">
        <v>1116</v>
      </c>
      <c r="AO152" t="s">
        <v>1117</v>
      </c>
      <c r="AP152" t="s">
        <v>107</v>
      </c>
      <c r="AQ152" t="s">
        <v>92</v>
      </c>
      <c r="AR152" t="s">
        <v>1118</v>
      </c>
      <c r="AS152" t="s">
        <v>198</v>
      </c>
      <c r="AT152" t="s">
        <v>141</v>
      </c>
      <c r="AU152" t="s">
        <v>96</v>
      </c>
      <c r="AZ152" t="s">
        <v>98</v>
      </c>
      <c r="BA152" t="s">
        <v>99</v>
      </c>
      <c r="BB152" t="s">
        <v>1119</v>
      </c>
      <c r="BC152" t="s">
        <v>133</v>
      </c>
      <c r="BD152" t="s">
        <v>997</v>
      </c>
      <c r="BE152">
        <v>2014</v>
      </c>
      <c r="BF152">
        <v>2014</v>
      </c>
    </row>
    <row r="153" spans="1:58">
      <c r="A153">
        <v>2872668</v>
      </c>
      <c r="B153">
        <v>258</v>
      </c>
      <c r="D153">
        <v>17431081</v>
      </c>
      <c r="F153" t="s">
        <v>80</v>
      </c>
      <c r="G153" t="s">
        <v>81</v>
      </c>
      <c r="H153" t="s">
        <v>11</v>
      </c>
      <c r="I153" t="s">
        <v>11</v>
      </c>
      <c r="J153" t="s">
        <v>5</v>
      </c>
      <c r="K153" t="s">
        <v>83</v>
      </c>
      <c r="L153" s="3">
        <v>46180</v>
      </c>
      <c r="N153">
        <v>16260523</v>
      </c>
      <c r="O153">
        <v>2</v>
      </c>
      <c r="P153" t="s">
        <v>1120</v>
      </c>
      <c r="R153">
        <v>510.81900000000002</v>
      </c>
      <c r="S153" s="3">
        <v>45668</v>
      </c>
      <c r="W153" t="s">
        <v>86</v>
      </c>
      <c r="X153" t="s">
        <v>87</v>
      </c>
      <c r="Y153">
        <v>0</v>
      </c>
      <c r="Z153">
        <v>0</v>
      </c>
      <c r="AC153">
        <v>17431081</v>
      </c>
      <c r="AH153" t="s">
        <v>5</v>
      </c>
      <c r="AI153">
        <v>971410925</v>
      </c>
      <c r="AL153" t="s">
        <v>1121</v>
      </c>
      <c r="AO153" t="s">
        <v>1122</v>
      </c>
      <c r="AP153" t="s">
        <v>1123</v>
      </c>
      <c r="AQ153" t="s">
        <v>188</v>
      </c>
      <c r="AR153" t="s">
        <v>1124</v>
      </c>
      <c r="AS153" t="s">
        <v>367</v>
      </c>
      <c r="AT153" t="s">
        <v>122</v>
      </c>
      <c r="AU153" t="s">
        <v>96</v>
      </c>
      <c r="AZ153" t="s">
        <v>111</v>
      </c>
      <c r="BA153" t="s">
        <v>99</v>
      </c>
      <c r="BB153" t="s">
        <v>1125</v>
      </c>
      <c r="BC153" t="s">
        <v>133</v>
      </c>
      <c r="BD153" t="s">
        <v>1126</v>
      </c>
      <c r="BE153">
        <v>2024</v>
      </c>
      <c r="BF153">
        <v>2024</v>
      </c>
    </row>
    <row r="154" spans="1:58">
      <c r="A154">
        <v>2873911</v>
      </c>
      <c r="B154">
        <v>166</v>
      </c>
      <c r="D154">
        <v>14567474</v>
      </c>
      <c r="F154" t="s">
        <v>80</v>
      </c>
      <c r="G154" t="s">
        <v>81</v>
      </c>
      <c r="H154" t="s">
        <v>11</v>
      </c>
      <c r="I154" t="s">
        <v>11</v>
      </c>
      <c r="J154" t="s">
        <v>5</v>
      </c>
      <c r="K154" t="s">
        <v>83</v>
      </c>
      <c r="L154" s="3">
        <v>46180</v>
      </c>
      <c r="N154">
        <v>20054145</v>
      </c>
      <c r="O154">
        <v>6</v>
      </c>
      <c r="P154" t="s">
        <v>1127</v>
      </c>
      <c r="R154">
        <v>414.15</v>
      </c>
      <c r="S154" s="3">
        <v>46024</v>
      </c>
      <c r="W154" t="s">
        <v>86</v>
      </c>
      <c r="X154" t="s">
        <v>87</v>
      </c>
      <c r="Y154">
        <v>0</v>
      </c>
      <c r="Z154">
        <v>0</v>
      </c>
      <c r="AC154">
        <v>14567474</v>
      </c>
      <c r="AH154" t="s">
        <v>5</v>
      </c>
      <c r="AI154">
        <v>956317245</v>
      </c>
      <c r="AL154" t="s">
        <v>1128</v>
      </c>
      <c r="AO154" t="s">
        <v>1129</v>
      </c>
      <c r="AP154" t="s">
        <v>902</v>
      </c>
      <c r="AQ154" t="s">
        <v>92</v>
      </c>
      <c r="AR154" t="s">
        <v>1130</v>
      </c>
      <c r="AS154" t="s">
        <v>198</v>
      </c>
      <c r="AT154" t="s">
        <v>122</v>
      </c>
      <c r="AU154" t="s">
        <v>96</v>
      </c>
      <c r="AZ154" t="s">
        <v>111</v>
      </c>
      <c r="BA154" t="s">
        <v>99</v>
      </c>
      <c r="BB154" t="s">
        <v>1131</v>
      </c>
      <c r="BC154" t="s">
        <v>278</v>
      </c>
      <c r="BD154" t="s">
        <v>1132</v>
      </c>
      <c r="BE154">
        <v>2024</v>
      </c>
      <c r="BF154">
        <v>2024</v>
      </c>
    </row>
    <row r="155" spans="1:58">
      <c r="A155">
        <v>2879575</v>
      </c>
      <c r="B155">
        <v>350</v>
      </c>
      <c r="D155">
        <v>21853028</v>
      </c>
      <c r="F155" t="s">
        <v>80</v>
      </c>
      <c r="G155" t="s">
        <v>81</v>
      </c>
      <c r="H155" t="s">
        <v>11</v>
      </c>
      <c r="I155" t="s">
        <v>11</v>
      </c>
      <c r="J155" t="s">
        <v>5</v>
      </c>
      <c r="K155" t="s">
        <v>83</v>
      </c>
      <c r="L155" s="3">
        <v>46180</v>
      </c>
      <c r="N155">
        <v>16744379</v>
      </c>
      <c r="O155">
        <v>6</v>
      </c>
      <c r="P155" t="s">
        <v>1133</v>
      </c>
      <c r="R155">
        <v>553.26800000000003</v>
      </c>
      <c r="S155" s="3">
        <v>45665</v>
      </c>
      <c r="W155" t="s">
        <v>86</v>
      </c>
      <c r="Y155">
        <v>0</v>
      </c>
      <c r="Z155">
        <v>0</v>
      </c>
      <c r="AC155">
        <v>21853028</v>
      </c>
      <c r="AH155" t="s">
        <v>5</v>
      </c>
      <c r="AI155">
        <v>940170824</v>
      </c>
      <c r="AL155" t="s">
        <v>1134</v>
      </c>
      <c r="AO155" t="s">
        <v>1135</v>
      </c>
      <c r="AP155" t="s">
        <v>675</v>
      </c>
      <c r="AQ155" t="s">
        <v>92</v>
      </c>
      <c r="AR155" t="s">
        <v>1136</v>
      </c>
      <c r="AS155" t="s">
        <v>339</v>
      </c>
      <c r="AT155" t="s">
        <v>141</v>
      </c>
      <c r="AU155" t="s">
        <v>96</v>
      </c>
      <c r="AZ155" t="s">
        <v>98</v>
      </c>
      <c r="BA155" t="s">
        <v>99</v>
      </c>
      <c r="BC155" t="s">
        <v>133</v>
      </c>
      <c r="BD155" t="s">
        <v>1137</v>
      </c>
      <c r="BE155">
        <v>2022</v>
      </c>
      <c r="BF155">
        <v>2022</v>
      </c>
    </row>
    <row r="156" spans="1:58">
      <c r="A156">
        <v>2887545</v>
      </c>
      <c r="B156">
        <v>107</v>
      </c>
      <c r="D156">
        <v>5603310</v>
      </c>
      <c r="F156" t="s">
        <v>80</v>
      </c>
      <c r="G156" t="s">
        <v>81</v>
      </c>
      <c r="H156" t="s">
        <v>11</v>
      </c>
      <c r="I156" t="s">
        <v>11</v>
      </c>
      <c r="J156" t="s">
        <v>5</v>
      </c>
      <c r="K156" t="s">
        <v>83</v>
      </c>
      <c r="L156" s="3">
        <v>46180</v>
      </c>
      <c r="M156" t="s">
        <v>193</v>
      </c>
      <c r="N156">
        <v>10602886</v>
      </c>
      <c r="O156">
        <v>9</v>
      </c>
      <c r="P156" t="s">
        <v>1138</v>
      </c>
      <c r="R156">
        <v>466.94200000000001</v>
      </c>
      <c r="S156" s="3">
        <v>46026</v>
      </c>
      <c r="W156" t="s">
        <v>86</v>
      </c>
      <c r="X156" t="s">
        <v>87</v>
      </c>
      <c r="Y156">
        <v>0</v>
      </c>
      <c r="Z156">
        <v>0</v>
      </c>
      <c r="AC156">
        <v>5603310</v>
      </c>
      <c r="AH156" t="s">
        <v>5</v>
      </c>
      <c r="AI156">
        <v>950129182</v>
      </c>
      <c r="AL156" t="s">
        <v>1139</v>
      </c>
      <c r="AO156" t="s">
        <v>1140</v>
      </c>
      <c r="AP156" t="s">
        <v>855</v>
      </c>
      <c r="AQ156" t="s">
        <v>856</v>
      </c>
      <c r="AR156" t="s">
        <v>1141</v>
      </c>
      <c r="AS156" t="s">
        <v>162</v>
      </c>
      <c r="AT156" t="s">
        <v>122</v>
      </c>
      <c r="AU156" t="s">
        <v>96</v>
      </c>
      <c r="AZ156" t="s">
        <v>111</v>
      </c>
      <c r="BA156" t="s">
        <v>99</v>
      </c>
      <c r="BB156" t="s">
        <v>1142</v>
      </c>
      <c r="BC156" t="s">
        <v>278</v>
      </c>
      <c r="BD156" t="s">
        <v>1143</v>
      </c>
      <c r="BE156">
        <v>2015</v>
      </c>
      <c r="BF156">
        <v>2015</v>
      </c>
    </row>
    <row r="157" spans="1:58">
      <c r="A157">
        <v>2895886</v>
      </c>
      <c r="B157">
        <v>258</v>
      </c>
      <c r="D157">
        <v>10374206</v>
      </c>
      <c r="F157" t="s">
        <v>80</v>
      </c>
      <c r="G157" t="s">
        <v>81</v>
      </c>
      <c r="H157" t="s">
        <v>11</v>
      </c>
      <c r="I157" t="s">
        <v>11</v>
      </c>
      <c r="J157" t="s">
        <v>5</v>
      </c>
      <c r="K157" t="s">
        <v>83</v>
      </c>
      <c r="L157" s="3">
        <v>46180</v>
      </c>
      <c r="N157">
        <v>25456204</v>
      </c>
      <c r="O157">
        <v>1</v>
      </c>
      <c r="P157" t="s">
        <v>1144</v>
      </c>
      <c r="R157">
        <v>317.08499999999998</v>
      </c>
      <c r="S157" s="3">
        <v>45668</v>
      </c>
      <c r="W157" t="s">
        <v>156</v>
      </c>
      <c r="Y157">
        <v>0</v>
      </c>
      <c r="Z157">
        <v>0</v>
      </c>
      <c r="AC157">
        <v>10374206</v>
      </c>
      <c r="AH157" t="s">
        <v>5</v>
      </c>
      <c r="AI157">
        <v>946521331</v>
      </c>
      <c r="AL157" t="s">
        <v>1145</v>
      </c>
      <c r="AO157" t="s">
        <v>1146</v>
      </c>
      <c r="AP157" t="s">
        <v>330</v>
      </c>
      <c r="AQ157" t="s">
        <v>92</v>
      </c>
      <c r="AR157" t="s">
        <v>631</v>
      </c>
      <c r="AS157" t="s">
        <v>228</v>
      </c>
      <c r="AT157" t="s">
        <v>122</v>
      </c>
      <c r="AU157" t="s">
        <v>96</v>
      </c>
      <c r="AZ157" t="s">
        <v>111</v>
      </c>
      <c r="BA157" t="s">
        <v>99</v>
      </c>
      <c r="BC157" t="s">
        <v>164</v>
      </c>
      <c r="BD157" t="s">
        <v>1147</v>
      </c>
      <c r="BE157">
        <v>2021</v>
      </c>
      <c r="BF157">
        <v>2021</v>
      </c>
    </row>
    <row r="158" spans="1:58">
      <c r="A158">
        <v>2908514</v>
      </c>
      <c r="B158">
        <v>1</v>
      </c>
      <c r="D158">
        <v>11508272</v>
      </c>
      <c r="F158" t="s">
        <v>80</v>
      </c>
      <c r="G158" t="s">
        <v>81</v>
      </c>
      <c r="H158" t="s">
        <v>11</v>
      </c>
      <c r="I158" t="s">
        <v>11</v>
      </c>
      <c r="J158" t="s">
        <v>5</v>
      </c>
      <c r="K158" t="s">
        <v>83</v>
      </c>
      <c r="L158" s="3">
        <v>46180</v>
      </c>
      <c r="M158" t="s">
        <v>193</v>
      </c>
      <c r="N158">
        <v>20910306</v>
      </c>
      <c r="O158">
        <v>0</v>
      </c>
      <c r="P158" t="s">
        <v>1148</v>
      </c>
      <c r="R158">
        <v>393.678</v>
      </c>
      <c r="S158" s="3">
        <v>46028</v>
      </c>
      <c r="W158" t="s">
        <v>86</v>
      </c>
      <c r="Y158">
        <v>0</v>
      </c>
      <c r="Z158">
        <v>0</v>
      </c>
      <c r="AC158">
        <v>11508272</v>
      </c>
      <c r="AH158" t="s">
        <v>5</v>
      </c>
      <c r="AI158">
        <v>930981316</v>
      </c>
      <c r="AL158" t="s">
        <v>1149</v>
      </c>
      <c r="AO158" t="s">
        <v>1150</v>
      </c>
      <c r="AP158" t="s">
        <v>1151</v>
      </c>
      <c r="AQ158" t="s">
        <v>92</v>
      </c>
      <c r="AR158" t="s">
        <v>676</v>
      </c>
      <c r="AS158" t="s">
        <v>189</v>
      </c>
      <c r="AT158" t="s">
        <v>122</v>
      </c>
      <c r="AU158" t="s">
        <v>96</v>
      </c>
      <c r="AZ158" t="s">
        <v>111</v>
      </c>
      <c r="BA158" t="s">
        <v>99</v>
      </c>
      <c r="BB158" t="s">
        <v>1152</v>
      </c>
      <c r="BC158" t="s">
        <v>153</v>
      </c>
      <c r="BD158" t="s">
        <v>1153</v>
      </c>
      <c r="BE158">
        <v>2024</v>
      </c>
      <c r="BF158">
        <v>2024</v>
      </c>
    </row>
    <row r="159" spans="1:58">
      <c r="A159">
        <v>2924242</v>
      </c>
      <c r="B159">
        <v>166</v>
      </c>
      <c r="D159">
        <v>2184677</v>
      </c>
      <c r="F159" t="s">
        <v>80</v>
      </c>
      <c r="G159" t="s">
        <v>81</v>
      </c>
      <c r="H159" t="s">
        <v>11</v>
      </c>
      <c r="I159" t="s">
        <v>11</v>
      </c>
      <c r="J159" t="s">
        <v>5</v>
      </c>
      <c r="K159" t="s">
        <v>83</v>
      </c>
      <c r="L159" s="3">
        <v>46180</v>
      </c>
      <c r="N159">
        <v>17329518</v>
      </c>
      <c r="O159">
        <v>9</v>
      </c>
      <c r="P159" t="s">
        <v>1154</v>
      </c>
      <c r="R159">
        <v>198.607</v>
      </c>
      <c r="S159" s="3">
        <v>46024</v>
      </c>
      <c r="W159" t="s">
        <v>86</v>
      </c>
      <c r="X159" t="s">
        <v>87</v>
      </c>
      <c r="Y159">
        <v>0</v>
      </c>
      <c r="Z159">
        <v>0</v>
      </c>
      <c r="AC159">
        <v>2184677</v>
      </c>
      <c r="AH159" t="s">
        <v>5</v>
      </c>
      <c r="AI159">
        <v>968333562</v>
      </c>
      <c r="AL159" t="s">
        <v>1155</v>
      </c>
      <c r="AO159" t="s">
        <v>1156</v>
      </c>
      <c r="AP159" t="s">
        <v>380</v>
      </c>
      <c r="AQ159" t="s">
        <v>381</v>
      </c>
      <c r="AR159" t="s">
        <v>988</v>
      </c>
      <c r="AS159" t="s">
        <v>449</v>
      </c>
      <c r="AT159" t="s">
        <v>141</v>
      </c>
      <c r="AU159" t="s">
        <v>96</v>
      </c>
      <c r="AZ159" t="s">
        <v>98</v>
      </c>
      <c r="BA159" t="s">
        <v>99</v>
      </c>
      <c r="BB159" t="s">
        <v>1157</v>
      </c>
      <c r="BC159" t="s">
        <v>769</v>
      </c>
      <c r="BD159" t="s">
        <v>1158</v>
      </c>
      <c r="BE159">
        <v>2012</v>
      </c>
      <c r="BF159">
        <v>2012</v>
      </c>
    </row>
    <row r="160" spans="1:58">
      <c r="A160">
        <v>2926004</v>
      </c>
      <c r="B160">
        <v>1</v>
      </c>
      <c r="D160">
        <v>15601296</v>
      </c>
      <c r="F160" t="s">
        <v>80</v>
      </c>
      <c r="G160" t="s">
        <v>81</v>
      </c>
      <c r="H160" t="s">
        <v>11</v>
      </c>
      <c r="I160" t="s">
        <v>11</v>
      </c>
      <c r="J160" t="s">
        <v>5</v>
      </c>
      <c r="K160" t="s">
        <v>83</v>
      </c>
      <c r="L160" s="3">
        <v>46180</v>
      </c>
      <c r="M160" t="s">
        <v>193</v>
      </c>
      <c r="N160">
        <v>18770850</v>
      </c>
      <c r="O160">
        <v>8</v>
      </c>
      <c r="P160" t="s">
        <v>1159</v>
      </c>
      <c r="R160">
        <v>402.55200000000002</v>
      </c>
      <c r="S160" s="3">
        <v>46028</v>
      </c>
      <c r="W160" t="s">
        <v>86</v>
      </c>
      <c r="Y160">
        <v>0</v>
      </c>
      <c r="Z160">
        <v>0</v>
      </c>
      <c r="AC160">
        <v>15601296</v>
      </c>
      <c r="AH160" t="s">
        <v>5</v>
      </c>
      <c r="AI160">
        <v>946952676</v>
      </c>
      <c r="AL160" t="s">
        <v>1160</v>
      </c>
      <c r="AO160" t="s">
        <v>1161</v>
      </c>
      <c r="AP160" t="s">
        <v>800</v>
      </c>
      <c r="AQ160" t="s">
        <v>801</v>
      </c>
      <c r="AR160" t="s">
        <v>729</v>
      </c>
      <c r="AS160" t="s">
        <v>271</v>
      </c>
      <c r="AT160" t="s">
        <v>141</v>
      </c>
      <c r="AU160" t="s">
        <v>96</v>
      </c>
      <c r="AZ160" t="s">
        <v>98</v>
      </c>
      <c r="BA160" t="s">
        <v>99</v>
      </c>
      <c r="BC160" t="s">
        <v>278</v>
      </c>
      <c r="BD160" t="s">
        <v>1162</v>
      </c>
      <c r="BE160">
        <v>2024</v>
      </c>
      <c r="BF160">
        <v>2024</v>
      </c>
    </row>
    <row r="161" spans="1:58">
      <c r="A161">
        <v>2930448</v>
      </c>
      <c r="B161">
        <v>228</v>
      </c>
      <c r="D161">
        <v>15322216</v>
      </c>
      <c r="F161" t="s">
        <v>80</v>
      </c>
      <c r="G161" t="s">
        <v>81</v>
      </c>
      <c r="H161" t="s">
        <v>11</v>
      </c>
      <c r="I161" t="s">
        <v>11</v>
      </c>
      <c r="J161" t="s">
        <v>5</v>
      </c>
      <c r="K161" t="s">
        <v>83</v>
      </c>
      <c r="L161" s="3">
        <v>46180</v>
      </c>
      <c r="N161">
        <v>14505314</v>
      </c>
      <c r="O161">
        <v>5</v>
      </c>
      <c r="P161" t="s">
        <v>1163</v>
      </c>
      <c r="R161">
        <v>321.94499999999999</v>
      </c>
      <c r="S161" s="3">
        <v>45669</v>
      </c>
      <c r="W161" t="s">
        <v>86</v>
      </c>
      <c r="X161" t="s">
        <v>87</v>
      </c>
      <c r="Y161">
        <v>0</v>
      </c>
      <c r="Z161">
        <v>0</v>
      </c>
      <c r="AC161">
        <v>15322216</v>
      </c>
      <c r="AH161" t="s">
        <v>5</v>
      </c>
      <c r="AI161">
        <v>986423239</v>
      </c>
      <c r="AL161" t="s">
        <v>1164</v>
      </c>
      <c r="AO161" t="s">
        <v>1165</v>
      </c>
      <c r="AP161" t="s">
        <v>800</v>
      </c>
      <c r="AQ161" t="s">
        <v>801</v>
      </c>
      <c r="AR161" t="s">
        <v>1166</v>
      </c>
      <c r="AS161" t="s">
        <v>561</v>
      </c>
      <c r="AT161" t="s">
        <v>122</v>
      </c>
      <c r="AU161" t="s">
        <v>96</v>
      </c>
      <c r="AZ161" t="s">
        <v>111</v>
      </c>
      <c r="BA161" t="s">
        <v>99</v>
      </c>
      <c r="BB161" t="s">
        <v>1167</v>
      </c>
      <c r="BC161" t="s">
        <v>200</v>
      </c>
      <c r="BD161" t="s">
        <v>1168</v>
      </c>
      <c r="BE161">
        <v>2023</v>
      </c>
      <c r="BF161">
        <v>2023</v>
      </c>
    </row>
    <row r="162" spans="1:58">
      <c r="A162">
        <v>2933440</v>
      </c>
      <c r="B162">
        <v>442</v>
      </c>
      <c r="D162">
        <v>21874712</v>
      </c>
      <c r="F162" t="s">
        <v>80</v>
      </c>
      <c r="G162" t="s">
        <v>81</v>
      </c>
      <c r="H162" t="s">
        <v>115</v>
      </c>
      <c r="I162" t="s">
        <v>115</v>
      </c>
      <c r="J162" t="s">
        <v>5</v>
      </c>
      <c r="K162" t="s">
        <v>83</v>
      </c>
      <c r="L162" s="3">
        <v>46180</v>
      </c>
      <c r="N162">
        <v>6951673</v>
      </c>
      <c r="O162">
        <v>4</v>
      </c>
      <c r="P162" t="s">
        <v>1169</v>
      </c>
      <c r="R162">
        <v>571</v>
      </c>
      <c r="S162" s="3">
        <v>45662</v>
      </c>
      <c r="W162" t="s">
        <v>86</v>
      </c>
      <c r="X162" t="s">
        <v>87</v>
      </c>
      <c r="Y162">
        <v>0</v>
      </c>
      <c r="Z162">
        <v>0</v>
      </c>
      <c r="AC162">
        <v>7348829</v>
      </c>
      <c r="AH162" t="s">
        <v>5</v>
      </c>
      <c r="AI162">
        <v>976755392</v>
      </c>
      <c r="AL162" t="s">
        <v>1170</v>
      </c>
      <c r="AO162" t="s">
        <v>1171</v>
      </c>
      <c r="AP162" t="s">
        <v>408</v>
      </c>
      <c r="AQ162" t="s">
        <v>92</v>
      </c>
      <c r="AR162" t="s">
        <v>208</v>
      </c>
      <c r="AS162" t="s">
        <v>441</v>
      </c>
      <c r="AT162" t="s">
        <v>141</v>
      </c>
      <c r="AU162" t="s">
        <v>96</v>
      </c>
      <c r="AZ162" t="s">
        <v>98</v>
      </c>
      <c r="BA162" t="s">
        <v>99</v>
      </c>
      <c r="BB162" t="s">
        <v>1172</v>
      </c>
      <c r="BC162" t="s">
        <v>182</v>
      </c>
      <c r="BD162" t="s">
        <v>1173</v>
      </c>
      <c r="BE162">
        <v>2024</v>
      </c>
      <c r="BF162">
        <v>2024</v>
      </c>
    </row>
    <row r="163" spans="1:58">
      <c r="A163">
        <v>2942690</v>
      </c>
      <c r="B163">
        <v>442</v>
      </c>
      <c r="D163">
        <v>12943322</v>
      </c>
      <c r="F163" t="s">
        <v>80</v>
      </c>
      <c r="G163" t="s">
        <v>81</v>
      </c>
      <c r="H163" t="s">
        <v>115</v>
      </c>
      <c r="I163" t="s">
        <v>115</v>
      </c>
      <c r="J163" t="s">
        <v>5</v>
      </c>
      <c r="K163" t="s">
        <v>83</v>
      </c>
      <c r="L163" s="3">
        <v>46180</v>
      </c>
      <c r="N163">
        <v>12408989</v>
      </c>
      <c r="O163">
        <v>1</v>
      </c>
      <c r="P163" t="s">
        <v>1174</v>
      </c>
      <c r="R163">
        <v>302.291</v>
      </c>
      <c r="S163" s="3">
        <v>45662</v>
      </c>
      <c r="W163" t="s">
        <v>86</v>
      </c>
      <c r="Y163">
        <v>0</v>
      </c>
      <c r="Z163">
        <v>0</v>
      </c>
      <c r="AC163">
        <v>12943322</v>
      </c>
      <c r="AH163" t="s">
        <v>5</v>
      </c>
      <c r="AI163">
        <v>949527270</v>
      </c>
      <c r="AL163" t="s">
        <v>1175</v>
      </c>
      <c r="AO163" t="s">
        <v>1176</v>
      </c>
      <c r="AP163" t="s">
        <v>800</v>
      </c>
      <c r="AQ163" t="s">
        <v>801</v>
      </c>
      <c r="AR163" t="s">
        <v>151</v>
      </c>
      <c r="AS163" t="s">
        <v>1177</v>
      </c>
      <c r="AT163" t="s">
        <v>122</v>
      </c>
      <c r="AU163" t="s">
        <v>96</v>
      </c>
      <c r="AZ163" t="s">
        <v>111</v>
      </c>
      <c r="BA163" t="s">
        <v>99</v>
      </c>
      <c r="BC163" t="s">
        <v>133</v>
      </c>
      <c r="BD163" t="s">
        <v>1178</v>
      </c>
      <c r="BE163">
        <v>2017</v>
      </c>
      <c r="BF163">
        <v>2017</v>
      </c>
    </row>
    <row r="164" spans="1:58">
      <c r="A164">
        <v>2957432</v>
      </c>
      <c r="B164">
        <v>197</v>
      </c>
      <c r="D164">
        <v>6324796</v>
      </c>
      <c r="F164" t="s">
        <v>80</v>
      </c>
      <c r="G164" t="s">
        <v>81</v>
      </c>
      <c r="H164" t="s">
        <v>11</v>
      </c>
      <c r="I164" t="s">
        <v>11</v>
      </c>
      <c r="J164" t="s">
        <v>5</v>
      </c>
      <c r="K164" t="s">
        <v>83</v>
      </c>
      <c r="L164" s="3">
        <v>46180</v>
      </c>
      <c r="N164">
        <v>9499422</v>
      </c>
      <c r="O164">
        <v>5</v>
      </c>
      <c r="P164" t="s">
        <v>1179</v>
      </c>
      <c r="R164">
        <v>200.17599999999999</v>
      </c>
      <c r="S164" s="3">
        <v>46023</v>
      </c>
      <c r="W164" t="s">
        <v>86</v>
      </c>
      <c r="X164" t="s">
        <v>87</v>
      </c>
      <c r="Y164">
        <v>0</v>
      </c>
      <c r="Z164">
        <v>0</v>
      </c>
      <c r="AC164">
        <v>6324796</v>
      </c>
      <c r="AH164" t="s">
        <v>5</v>
      </c>
      <c r="AI164">
        <v>954966744</v>
      </c>
      <c r="AJ164">
        <v>954966744</v>
      </c>
      <c r="AL164" t="s">
        <v>1180</v>
      </c>
      <c r="AO164" t="s">
        <v>1181</v>
      </c>
      <c r="AP164" t="s">
        <v>958</v>
      </c>
      <c r="AQ164" t="s">
        <v>92</v>
      </c>
      <c r="AR164" t="s">
        <v>1182</v>
      </c>
      <c r="AS164" t="s">
        <v>455</v>
      </c>
      <c r="AT164" t="s">
        <v>122</v>
      </c>
      <c r="AU164" t="s">
        <v>96</v>
      </c>
      <c r="AZ164" t="s">
        <v>111</v>
      </c>
      <c r="BA164" t="s">
        <v>99</v>
      </c>
      <c r="BB164" t="s">
        <v>1183</v>
      </c>
      <c r="BC164" t="s">
        <v>191</v>
      </c>
      <c r="BD164" t="s">
        <v>1184</v>
      </c>
      <c r="BE164">
        <v>2019</v>
      </c>
      <c r="BF164">
        <v>2019</v>
      </c>
    </row>
    <row r="165" spans="1:58">
      <c r="A165">
        <v>2959119</v>
      </c>
      <c r="B165">
        <v>197</v>
      </c>
      <c r="D165">
        <v>6731141</v>
      </c>
      <c r="F165" t="s">
        <v>80</v>
      </c>
      <c r="G165" t="s">
        <v>81</v>
      </c>
      <c r="H165" t="s">
        <v>11</v>
      </c>
      <c r="I165" t="s">
        <v>11</v>
      </c>
      <c r="J165" t="s">
        <v>5</v>
      </c>
      <c r="K165" t="s">
        <v>83</v>
      </c>
      <c r="L165" s="3">
        <v>46180</v>
      </c>
      <c r="N165">
        <v>19898341</v>
      </c>
      <c r="O165">
        <v>1</v>
      </c>
      <c r="P165" t="s">
        <v>1185</v>
      </c>
      <c r="R165">
        <v>184.41499999999999</v>
      </c>
      <c r="S165" s="3">
        <v>46023</v>
      </c>
      <c r="W165" t="s">
        <v>86</v>
      </c>
      <c r="Y165">
        <v>0</v>
      </c>
      <c r="Z165">
        <v>0</v>
      </c>
      <c r="AC165">
        <v>6731141</v>
      </c>
      <c r="AH165" t="s">
        <v>5</v>
      </c>
      <c r="AI165">
        <v>957301208</v>
      </c>
      <c r="AL165" t="s">
        <v>1186</v>
      </c>
      <c r="AO165" t="s">
        <v>1187</v>
      </c>
      <c r="AP165" t="s">
        <v>408</v>
      </c>
      <c r="AQ165" t="s">
        <v>92</v>
      </c>
      <c r="AR165" t="s">
        <v>1188</v>
      </c>
      <c r="AS165" t="s">
        <v>162</v>
      </c>
      <c r="AT165" t="s">
        <v>122</v>
      </c>
      <c r="AU165" t="s">
        <v>96</v>
      </c>
      <c r="AZ165" t="s">
        <v>111</v>
      </c>
      <c r="BA165" t="s">
        <v>99</v>
      </c>
      <c r="BC165" t="s">
        <v>287</v>
      </c>
      <c r="BD165" t="s">
        <v>1189</v>
      </c>
      <c r="BE165">
        <v>2022</v>
      </c>
      <c r="BF165">
        <v>2022</v>
      </c>
    </row>
    <row r="166" spans="1:58">
      <c r="A166">
        <v>2960003</v>
      </c>
      <c r="B166">
        <v>411</v>
      </c>
      <c r="D166">
        <v>25392714</v>
      </c>
      <c r="F166" t="s">
        <v>80</v>
      </c>
      <c r="G166" t="s">
        <v>81</v>
      </c>
      <c r="H166" t="s">
        <v>115</v>
      </c>
      <c r="I166" t="s">
        <v>115</v>
      </c>
      <c r="J166" t="s">
        <v>5</v>
      </c>
      <c r="K166" t="s">
        <v>83</v>
      </c>
      <c r="L166" s="3">
        <v>46180</v>
      </c>
      <c r="N166">
        <v>13492280</v>
      </c>
      <c r="O166" t="s">
        <v>266</v>
      </c>
      <c r="P166" t="s">
        <v>1190</v>
      </c>
      <c r="R166">
        <v>627.63699999999994</v>
      </c>
      <c r="S166" s="3">
        <v>45663</v>
      </c>
      <c r="W166" t="s">
        <v>86</v>
      </c>
      <c r="X166" t="s">
        <v>87</v>
      </c>
      <c r="Y166">
        <v>0</v>
      </c>
      <c r="Z166">
        <v>0</v>
      </c>
      <c r="AC166">
        <v>25392714</v>
      </c>
      <c r="AH166" t="s">
        <v>5</v>
      </c>
      <c r="AI166">
        <v>989813352</v>
      </c>
      <c r="AL166" t="s">
        <v>1191</v>
      </c>
      <c r="AO166" t="s">
        <v>1192</v>
      </c>
      <c r="AP166" t="s">
        <v>426</v>
      </c>
      <c r="AQ166" t="s">
        <v>92</v>
      </c>
      <c r="AR166" t="s">
        <v>284</v>
      </c>
      <c r="AS166" t="s">
        <v>1193</v>
      </c>
      <c r="AT166" t="s">
        <v>122</v>
      </c>
      <c r="AU166" t="s">
        <v>96</v>
      </c>
      <c r="AZ166" t="s">
        <v>111</v>
      </c>
      <c r="BA166" t="s">
        <v>99</v>
      </c>
      <c r="BB166" t="s">
        <v>1194</v>
      </c>
      <c r="BC166" t="s">
        <v>182</v>
      </c>
      <c r="BD166" t="s">
        <v>1195</v>
      </c>
      <c r="BE166">
        <v>2024</v>
      </c>
      <c r="BF166">
        <v>2024</v>
      </c>
    </row>
    <row r="167" spans="1:58">
      <c r="A167">
        <v>2974045</v>
      </c>
      <c r="B167">
        <v>381</v>
      </c>
      <c r="D167">
        <v>13891343</v>
      </c>
      <c r="F167" t="s">
        <v>80</v>
      </c>
      <c r="G167" t="s">
        <v>81</v>
      </c>
      <c r="H167" t="s">
        <v>115</v>
      </c>
      <c r="I167" t="s">
        <v>115</v>
      </c>
      <c r="J167" t="s">
        <v>5</v>
      </c>
      <c r="K167" t="s">
        <v>83</v>
      </c>
      <c r="L167" s="3">
        <v>46180</v>
      </c>
      <c r="N167">
        <v>77436846</v>
      </c>
      <c r="O167">
        <v>9</v>
      </c>
      <c r="P167" t="s">
        <v>1196</v>
      </c>
      <c r="R167">
        <v>636.17200000000003</v>
      </c>
      <c r="S167" s="3">
        <v>45664</v>
      </c>
      <c r="W167" t="s">
        <v>86</v>
      </c>
      <c r="X167" t="s">
        <v>87</v>
      </c>
      <c r="Y167">
        <v>0</v>
      </c>
      <c r="Z167">
        <v>0</v>
      </c>
      <c r="AC167">
        <v>13891343</v>
      </c>
      <c r="AH167" t="s">
        <v>5</v>
      </c>
      <c r="AI167">
        <v>978000861</v>
      </c>
      <c r="AL167" t="s">
        <v>1197</v>
      </c>
      <c r="AO167" t="s">
        <v>1198</v>
      </c>
      <c r="AP167" t="s">
        <v>1199</v>
      </c>
      <c r="AQ167" t="s">
        <v>299</v>
      </c>
      <c r="AR167" t="s">
        <v>1200</v>
      </c>
      <c r="AS167" t="s">
        <v>396</v>
      </c>
      <c r="AT167" t="s">
        <v>122</v>
      </c>
      <c r="AU167" t="s">
        <v>96</v>
      </c>
      <c r="AZ167" t="s">
        <v>111</v>
      </c>
      <c r="BA167" t="s">
        <v>99</v>
      </c>
      <c r="BB167" t="s">
        <v>1201</v>
      </c>
      <c r="BC167" t="s">
        <v>200</v>
      </c>
      <c r="BD167" t="s">
        <v>1202</v>
      </c>
      <c r="BE167">
        <v>2016</v>
      </c>
      <c r="BF167">
        <v>2016</v>
      </c>
    </row>
    <row r="168" spans="1:58">
      <c r="A168">
        <v>2975455</v>
      </c>
      <c r="B168">
        <v>166</v>
      </c>
      <c r="D168">
        <v>5130013</v>
      </c>
      <c r="F168" t="s">
        <v>80</v>
      </c>
      <c r="G168" t="s">
        <v>81</v>
      </c>
      <c r="H168" t="s">
        <v>11</v>
      </c>
      <c r="I168" t="s">
        <v>11</v>
      </c>
      <c r="J168" t="s">
        <v>5</v>
      </c>
      <c r="K168" t="s">
        <v>83</v>
      </c>
      <c r="L168" s="3">
        <v>46180</v>
      </c>
      <c r="N168">
        <v>15175277</v>
      </c>
      <c r="O168">
        <v>2</v>
      </c>
      <c r="P168" t="s">
        <v>1203</v>
      </c>
      <c r="R168">
        <v>156.59299999999999</v>
      </c>
      <c r="S168" s="3">
        <v>46024</v>
      </c>
      <c r="W168" t="s">
        <v>86</v>
      </c>
      <c r="Y168">
        <v>0</v>
      </c>
      <c r="Z168">
        <v>0</v>
      </c>
      <c r="AC168">
        <v>5130013</v>
      </c>
      <c r="AH168" t="s">
        <v>5</v>
      </c>
      <c r="AI168">
        <v>957823016</v>
      </c>
      <c r="AJ168">
        <v>957823016</v>
      </c>
      <c r="AL168" t="s">
        <v>1204</v>
      </c>
      <c r="AO168" t="s">
        <v>1205</v>
      </c>
      <c r="AP168" t="s">
        <v>593</v>
      </c>
      <c r="AQ168" t="s">
        <v>215</v>
      </c>
      <c r="AR168" t="s">
        <v>1206</v>
      </c>
      <c r="AS168" t="s">
        <v>556</v>
      </c>
      <c r="AT168" t="s">
        <v>110</v>
      </c>
      <c r="AU168" t="s">
        <v>96</v>
      </c>
      <c r="AZ168" t="s">
        <v>111</v>
      </c>
      <c r="BA168" t="s">
        <v>221</v>
      </c>
      <c r="BB168" t="s">
        <v>1207</v>
      </c>
      <c r="BC168" t="s">
        <v>182</v>
      </c>
      <c r="BD168" t="s">
        <v>1208</v>
      </c>
      <c r="BE168">
        <v>2021</v>
      </c>
      <c r="BF168">
        <v>2021</v>
      </c>
    </row>
    <row r="169" spans="1:58">
      <c r="A169">
        <v>2994448</v>
      </c>
      <c r="B169">
        <v>381</v>
      </c>
      <c r="D169">
        <v>9026755</v>
      </c>
      <c r="F169" t="s">
        <v>80</v>
      </c>
      <c r="G169" t="s">
        <v>81</v>
      </c>
      <c r="H169" t="s">
        <v>115</v>
      </c>
      <c r="I169" t="s">
        <v>115</v>
      </c>
      <c r="J169" t="s">
        <v>5</v>
      </c>
      <c r="K169" t="s">
        <v>83</v>
      </c>
      <c r="L169" s="3">
        <v>46180</v>
      </c>
      <c r="N169">
        <v>17329047</v>
      </c>
      <c r="O169">
        <v>0</v>
      </c>
      <c r="P169" t="s">
        <v>1209</v>
      </c>
      <c r="R169">
        <v>249.54</v>
      </c>
      <c r="S169" s="3">
        <v>45664</v>
      </c>
      <c r="W169" t="s">
        <v>86</v>
      </c>
      <c r="X169" t="s">
        <v>87</v>
      </c>
      <c r="Y169">
        <v>0</v>
      </c>
      <c r="Z169">
        <v>0</v>
      </c>
      <c r="AC169">
        <v>9026755</v>
      </c>
      <c r="AH169" t="s">
        <v>5</v>
      </c>
      <c r="AI169">
        <v>963733673</v>
      </c>
      <c r="AL169" t="s">
        <v>1210</v>
      </c>
      <c r="AO169" t="s">
        <v>1211</v>
      </c>
      <c r="AP169" t="s">
        <v>1212</v>
      </c>
      <c r="AQ169" t="s">
        <v>299</v>
      </c>
      <c r="AR169" t="s">
        <v>120</v>
      </c>
      <c r="AS169" t="s">
        <v>228</v>
      </c>
      <c r="AT169" t="s">
        <v>141</v>
      </c>
      <c r="AU169" t="s">
        <v>96</v>
      </c>
      <c r="AZ169" t="s">
        <v>98</v>
      </c>
      <c r="BA169" t="s">
        <v>99</v>
      </c>
      <c r="BB169" t="s">
        <v>1213</v>
      </c>
      <c r="BC169" t="s">
        <v>164</v>
      </c>
      <c r="BD169" t="s">
        <v>1214</v>
      </c>
      <c r="BE169">
        <v>2016</v>
      </c>
      <c r="BF169">
        <v>2016</v>
      </c>
    </row>
    <row r="170" spans="1:58">
      <c r="A170">
        <v>3018111</v>
      </c>
      <c r="B170">
        <v>258</v>
      </c>
      <c r="D170">
        <v>7956679</v>
      </c>
      <c r="F170" t="s">
        <v>80</v>
      </c>
      <c r="G170" t="s">
        <v>81</v>
      </c>
      <c r="H170" t="s">
        <v>11</v>
      </c>
      <c r="I170" t="s">
        <v>11</v>
      </c>
      <c r="J170" t="s">
        <v>5</v>
      </c>
      <c r="K170" t="s">
        <v>83</v>
      </c>
      <c r="L170" s="3">
        <v>46180</v>
      </c>
      <c r="N170">
        <v>19064959</v>
      </c>
      <c r="O170">
        <v>8</v>
      </c>
      <c r="P170" t="s">
        <v>1215</v>
      </c>
      <c r="R170">
        <v>259.42099999999999</v>
      </c>
      <c r="S170" s="3">
        <v>45668</v>
      </c>
      <c r="W170" t="s">
        <v>86</v>
      </c>
      <c r="Y170">
        <v>0</v>
      </c>
      <c r="Z170">
        <v>0</v>
      </c>
      <c r="AC170">
        <v>7956679</v>
      </c>
      <c r="AH170" t="s">
        <v>5</v>
      </c>
      <c r="AI170">
        <v>931456047</v>
      </c>
      <c r="AL170" t="s">
        <v>1216</v>
      </c>
      <c r="AO170" t="s">
        <v>1217</v>
      </c>
      <c r="AP170" t="s">
        <v>915</v>
      </c>
      <c r="AQ170" t="s">
        <v>92</v>
      </c>
      <c r="AR170" t="s">
        <v>1218</v>
      </c>
      <c r="AS170" t="s">
        <v>121</v>
      </c>
      <c r="AT170" t="s">
        <v>141</v>
      </c>
      <c r="AU170" t="s">
        <v>96</v>
      </c>
      <c r="AZ170" t="s">
        <v>98</v>
      </c>
      <c r="BA170" t="s">
        <v>99</v>
      </c>
      <c r="BC170" t="s">
        <v>200</v>
      </c>
      <c r="BD170" t="s">
        <v>333</v>
      </c>
      <c r="BE170">
        <v>2021</v>
      </c>
      <c r="BF170">
        <v>2021</v>
      </c>
    </row>
    <row r="171" spans="1:58">
      <c r="A171">
        <v>3023630</v>
      </c>
      <c r="B171">
        <v>319</v>
      </c>
      <c r="D171">
        <v>6008596</v>
      </c>
      <c r="F171" t="s">
        <v>80</v>
      </c>
      <c r="G171" t="s">
        <v>81</v>
      </c>
      <c r="H171" t="s">
        <v>11</v>
      </c>
      <c r="I171" t="s">
        <v>11</v>
      </c>
      <c r="J171" t="s">
        <v>5</v>
      </c>
      <c r="K171" t="s">
        <v>83</v>
      </c>
      <c r="L171" s="3">
        <v>46180</v>
      </c>
      <c r="N171">
        <v>18590183</v>
      </c>
      <c r="O171">
        <v>1</v>
      </c>
      <c r="P171" t="s">
        <v>1219</v>
      </c>
      <c r="R171">
        <v>134.518</v>
      </c>
      <c r="S171" s="3">
        <v>45666</v>
      </c>
      <c r="W171" t="s">
        <v>86</v>
      </c>
      <c r="Y171">
        <v>0</v>
      </c>
      <c r="Z171">
        <v>0</v>
      </c>
      <c r="AC171">
        <v>6008596</v>
      </c>
      <c r="AH171" t="s">
        <v>5</v>
      </c>
      <c r="AI171">
        <v>981782252</v>
      </c>
      <c r="AL171" t="s">
        <v>1220</v>
      </c>
      <c r="AO171" t="s">
        <v>1221</v>
      </c>
      <c r="AQ171" t="s">
        <v>765</v>
      </c>
      <c r="AR171" t="s">
        <v>1222</v>
      </c>
      <c r="AS171" t="s">
        <v>198</v>
      </c>
      <c r="AT171" t="s">
        <v>122</v>
      </c>
      <c r="AU171" t="s">
        <v>96</v>
      </c>
      <c r="AZ171" t="s">
        <v>111</v>
      </c>
      <c r="BA171" t="s">
        <v>99</v>
      </c>
      <c r="BC171" t="s">
        <v>230</v>
      </c>
      <c r="BD171" t="s">
        <v>1223</v>
      </c>
      <c r="BE171">
        <v>2021</v>
      </c>
      <c r="BF171">
        <v>2021</v>
      </c>
    </row>
    <row r="172" spans="1:58">
      <c r="A172">
        <v>3024161</v>
      </c>
      <c r="B172">
        <v>258</v>
      </c>
      <c r="D172">
        <v>2427639</v>
      </c>
      <c r="F172" t="s">
        <v>80</v>
      </c>
      <c r="G172" t="s">
        <v>81</v>
      </c>
      <c r="H172" t="s">
        <v>11</v>
      </c>
      <c r="I172" t="s">
        <v>11</v>
      </c>
      <c r="J172" t="s">
        <v>5</v>
      </c>
      <c r="K172" t="s">
        <v>83</v>
      </c>
      <c r="L172" s="3">
        <v>46180</v>
      </c>
      <c r="N172">
        <v>14252587</v>
      </c>
      <c r="O172">
        <v>9</v>
      </c>
      <c r="P172" t="s">
        <v>1224</v>
      </c>
      <c r="R172">
        <v>110.155</v>
      </c>
      <c r="S172" s="3">
        <v>45668</v>
      </c>
      <c r="W172" t="s">
        <v>86</v>
      </c>
      <c r="Y172">
        <v>0</v>
      </c>
      <c r="Z172">
        <v>0</v>
      </c>
      <c r="AC172">
        <v>2427639</v>
      </c>
      <c r="AH172" t="s">
        <v>5</v>
      </c>
      <c r="AI172">
        <v>962782435</v>
      </c>
      <c r="AL172" t="s">
        <v>1225</v>
      </c>
      <c r="AO172" t="s">
        <v>1226</v>
      </c>
      <c r="AP172" t="s">
        <v>682</v>
      </c>
      <c r="AQ172" t="s">
        <v>92</v>
      </c>
      <c r="AR172" t="s">
        <v>580</v>
      </c>
      <c r="AS172" t="s">
        <v>396</v>
      </c>
      <c r="AT172" t="s">
        <v>141</v>
      </c>
      <c r="AU172" t="s">
        <v>96</v>
      </c>
      <c r="AZ172" t="s">
        <v>98</v>
      </c>
      <c r="BA172" t="s">
        <v>99</v>
      </c>
      <c r="BC172" t="s">
        <v>287</v>
      </c>
      <c r="BD172" t="s">
        <v>1227</v>
      </c>
      <c r="BE172">
        <v>2019</v>
      </c>
      <c r="BF172">
        <v>2019</v>
      </c>
    </row>
    <row r="173" spans="1:58">
      <c r="A173">
        <v>3030656</v>
      </c>
      <c r="B173">
        <v>1</v>
      </c>
      <c r="D173">
        <v>2994288</v>
      </c>
      <c r="F173" t="s">
        <v>80</v>
      </c>
      <c r="G173" t="s">
        <v>81</v>
      </c>
      <c r="H173" t="s">
        <v>11</v>
      </c>
      <c r="I173" t="s">
        <v>11</v>
      </c>
      <c r="J173" t="s">
        <v>5</v>
      </c>
      <c r="K173" t="s">
        <v>83</v>
      </c>
      <c r="L173" s="3">
        <v>46180</v>
      </c>
      <c r="M173" t="s">
        <v>193</v>
      </c>
      <c r="N173">
        <v>76996041</v>
      </c>
      <c r="O173">
        <v>4</v>
      </c>
      <c r="P173" t="s">
        <v>1228</v>
      </c>
      <c r="R173">
        <v>230.50899999999999</v>
      </c>
      <c r="S173" s="3">
        <v>46028</v>
      </c>
      <c r="W173" t="s">
        <v>86</v>
      </c>
      <c r="Y173">
        <v>0</v>
      </c>
      <c r="Z173">
        <v>0</v>
      </c>
      <c r="AC173">
        <v>2994288</v>
      </c>
      <c r="AH173" t="s">
        <v>5</v>
      </c>
      <c r="AI173">
        <v>968658906</v>
      </c>
      <c r="AL173" t="s">
        <v>1229</v>
      </c>
      <c r="AO173" t="s">
        <v>1230</v>
      </c>
      <c r="AP173" t="s">
        <v>742</v>
      </c>
      <c r="AQ173" t="s">
        <v>92</v>
      </c>
      <c r="AR173" t="s">
        <v>1231</v>
      </c>
      <c r="AS173" t="s">
        <v>243</v>
      </c>
      <c r="AT173" t="s">
        <v>141</v>
      </c>
      <c r="AU173" t="s">
        <v>96</v>
      </c>
      <c r="AZ173" t="s">
        <v>98</v>
      </c>
      <c r="BA173" t="s">
        <v>99</v>
      </c>
      <c r="BB173" t="s">
        <v>1232</v>
      </c>
      <c r="BC173" t="s">
        <v>664</v>
      </c>
      <c r="BD173" t="s">
        <v>1233</v>
      </c>
      <c r="BE173">
        <v>2022</v>
      </c>
      <c r="BF173">
        <v>2022</v>
      </c>
    </row>
    <row r="174" spans="1:58">
      <c r="A174">
        <v>3033201</v>
      </c>
      <c r="B174">
        <v>197</v>
      </c>
      <c r="D174">
        <v>9131337</v>
      </c>
      <c r="F174" t="s">
        <v>80</v>
      </c>
      <c r="G174" t="s">
        <v>81</v>
      </c>
      <c r="H174" t="s">
        <v>11</v>
      </c>
      <c r="I174" t="s">
        <v>11</v>
      </c>
      <c r="J174" t="s">
        <v>5</v>
      </c>
      <c r="K174" t="s">
        <v>83</v>
      </c>
      <c r="L174" s="3">
        <v>46180</v>
      </c>
      <c r="N174">
        <v>12008530</v>
      </c>
      <c r="O174">
        <v>1</v>
      </c>
      <c r="P174" t="s">
        <v>1234</v>
      </c>
      <c r="R174">
        <v>313.78899999999999</v>
      </c>
      <c r="S174" s="3">
        <v>46023</v>
      </c>
      <c r="W174" t="s">
        <v>86</v>
      </c>
      <c r="Y174">
        <v>0</v>
      </c>
      <c r="Z174">
        <v>0</v>
      </c>
      <c r="AC174">
        <v>9131337</v>
      </c>
      <c r="AH174" t="s">
        <v>5</v>
      </c>
      <c r="AI174">
        <v>940236335</v>
      </c>
      <c r="AJ174">
        <v>940236335</v>
      </c>
      <c r="AL174" t="s">
        <v>1235</v>
      </c>
      <c r="AM174" t="s">
        <v>1236</v>
      </c>
      <c r="AO174" t="s">
        <v>1237</v>
      </c>
      <c r="AP174" t="s">
        <v>1238</v>
      </c>
      <c r="AQ174" t="s">
        <v>724</v>
      </c>
      <c r="AR174" t="s">
        <v>1239</v>
      </c>
      <c r="AS174" t="s">
        <v>189</v>
      </c>
      <c r="AT174" t="s">
        <v>122</v>
      </c>
      <c r="AU174" t="s">
        <v>96</v>
      </c>
      <c r="AZ174" t="s">
        <v>111</v>
      </c>
      <c r="BA174" t="s">
        <v>99</v>
      </c>
      <c r="BC174" t="s">
        <v>348</v>
      </c>
      <c r="BD174" t="s">
        <v>1240</v>
      </c>
      <c r="BE174">
        <v>2019</v>
      </c>
      <c r="BF174">
        <v>2019</v>
      </c>
    </row>
    <row r="175" spans="1:58">
      <c r="A175">
        <v>3033614</v>
      </c>
      <c r="B175">
        <v>381</v>
      </c>
      <c r="D175">
        <v>9235537</v>
      </c>
      <c r="F175" t="s">
        <v>80</v>
      </c>
      <c r="G175" t="s">
        <v>81</v>
      </c>
      <c r="H175" t="s">
        <v>115</v>
      </c>
      <c r="I175" t="s">
        <v>115</v>
      </c>
      <c r="J175" t="s">
        <v>5</v>
      </c>
      <c r="K175" t="s">
        <v>83</v>
      </c>
      <c r="L175" s="3">
        <v>46180</v>
      </c>
      <c r="N175">
        <v>18763987</v>
      </c>
      <c r="O175">
        <v>5</v>
      </c>
      <c r="P175" t="s">
        <v>1241</v>
      </c>
      <c r="R175">
        <v>310.23599999999999</v>
      </c>
      <c r="S175" s="3">
        <v>45664</v>
      </c>
      <c r="W175" t="s">
        <v>86</v>
      </c>
      <c r="X175" t="s">
        <v>87</v>
      </c>
      <c r="Y175">
        <v>0</v>
      </c>
      <c r="Z175">
        <v>0</v>
      </c>
      <c r="AC175">
        <v>9235537</v>
      </c>
      <c r="AH175" t="s">
        <v>5</v>
      </c>
      <c r="AI175">
        <v>978301493</v>
      </c>
      <c r="AL175" t="s">
        <v>1242</v>
      </c>
      <c r="AO175" t="s">
        <v>1243</v>
      </c>
      <c r="AP175" t="s">
        <v>91</v>
      </c>
      <c r="AQ175" t="s">
        <v>92</v>
      </c>
      <c r="AR175" t="s">
        <v>1244</v>
      </c>
      <c r="AS175" t="s">
        <v>189</v>
      </c>
      <c r="AT175" t="s">
        <v>141</v>
      </c>
      <c r="AU175" t="s">
        <v>96</v>
      </c>
      <c r="AZ175" t="s">
        <v>98</v>
      </c>
      <c r="BA175" t="s">
        <v>99</v>
      </c>
      <c r="BB175" t="s">
        <v>1245</v>
      </c>
      <c r="BC175" t="s">
        <v>278</v>
      </c>
      <c r="BD175" t="s">
        <v>1246</v>
      </c>
      <c r="BE175">
        <v>2014</v>
      </c>
      <c r="BF175">
        <v>2014</v>
      </c>
    </row>
    <row r="176" spans="1:58">
      <c r="A176">
        <v>3048075</v>
      </c>
      <c r="B176">
        <v>258</v>
      </c>
      <c r="D176">
        <v>6301684</v>
      </c>
      <c r="F176" t="s">
        <v>80</v>
      </c>
      <c r="G176" t="s">
        <v>81</v>
      </c>
      <c r="H176" t="s">
        <v>11</v>
      </c>
      <c r="I176" t="s">
        <v>11</v>
      </c>
      <c r="J176" t="s">
        <v>5</v>
      </c>
      <c r="K176" t="s">
        <v>83</v>
      </c>
      <c r="L176" s="3">
        <v>46180</v>
      </c>
      <c r="N176">
        <v>18582115</v>
      </c>
      <c r="O176">
        <v>3</v>
      </c>
      <c r="P176" t="s">
        <v>1247</v>
      </c>
      <c r="R176">
        <v>211.27099999999999</v>
      </c>
      <c r="S176" s="3">
        <v>45668</v>
      </c>
      <c r="W176" t="s">
        <v>86</v>
      </c>
      <c r="Y176">
        <v>0</v>
      </c>
      <c r="Z176">
        <v>0</v>
      </c>
      <c r="AC176">
        <v>6301684</v>
      </c>
      <c r="AH176" t="s">
        <v>5</v>
      </c>
      <c r="AI176">
        <v>949456259</v>
      </c>
      <c r="AL176" t="s">
        <v>1248</v>
      </c>
      <c r="AO176" t="s">
        <v>1249</v>
      </c>
      <c r="AP176" t="s">
        <v>1250</v>
      </c>
      <c r="AQ176" t="s">
        <v>188</v>
      </c>
      <c r="AR176" t="s">
        <v>1251</v>
      </c>
      <c r="AS176" t="s">
        <v>752</v>
      </c>
      <c r="AT176" t="s">
        <v>122</v>
      </c>
      <c r="AU176" t="s">
        <v>96</v>
      </c>
      <c r="AZ176" t="s">
        <v>111</v>
      </c>
      <c r="BA176" t="s">
        <v>99</v>
      </c>
      <c r="BC176" t="s">
        <v>191</v>
      </c>
      <c r="BD176" t="s">
        <v>1252</v>
      </c>
      <c r="BE176">
        <v>2016</v>
      </c>
      <c r="BF176">
        <v>2016</v>
      </c>
    </row>
    <row r="177" spans="1:58">
      <c r="A177">
        <v>3052601</v>
      </c>
      <c r="B177">
        <v>350</v>
      </c>
      <c r="D177">
        <v>28194778</v>
      </c>
      <c r="F177" t="s">
        <v>80</v>
      </c>
      <c r="G177" t="s">
        <v>81</v>
      </c>
      <c r="H177" t="s">
        <v>11</v>
      </c>
      <c r="I177" t="s">
        <v>11</v>
      </c>
      <c r="J177" t="s">
        <v>5</v>
      </c>
      <c r="K177" t="s">
        <v>83</v>
      </c>
      <c r="L177" s="3">
        <v>46180</v>
      </c>
      <c r="N177">
        <v>26929191</v>
      </c>
      <c r="O177">
        <v>5</v>
      </c>
      <c r="P177" t="s">
        <v>1253</v>
      </c>
      <c r="R177">
        <v>763.67899999999997</v>
      </c>
      <c r="S177" s="3">
        <v>45665</v>
      </c>
      <c r="W177" t="s">
        <v>86</v>
      </c>
      <c r="X177" t="s">
        <v>87</v>
      </c>
      <c r="Y177">
        <v>0</v>
      </c>
      <c r="Z177">
        <v>0</v>
      </c>
      <c r="AC177">
        <v>28194778</v>
      </c>
      <c r="AH177" t="s">
        <v>5</v>
      </c>
      <c r="AI177">
        <v>979783428</v>
      </c>
      <c r="AL177" t="s">
        <v>1254</v>
      </c>
      <c r="AO177" t="s">
        <v>1255</v>
      </c>
      <c r="AP177" t="s">
        <v>1256</v>
      </c>
      <c r="AQ177" t="s">
        <v>92</v>
      </c>
      <c r="AR177" t="s">
        <v>1257</v>
      </c>
      <c r="AS177" t="s">
        <v>449</v>
      </c>
      <c r="AT177" t="s">
        <v>122</v>
      </c>
      <c r="AU177" t="s">
        <v>96</v>
      </c>
      <c r="AZ177" t="s">
        <v>111</v>
      </c>
      <c r="BA177" t="s">
        <v>99</v>
      </c>
      <c r="BB177" t="s">
        <v>1258</v>
      </c>
      <c r="BC177" t="s">
        <v>133</v>
      </c>
      <c r="BD177" t="s">
        <v>1259</v>
      </c>
      <c r="BE177">
        <v>2022</v>
      </c>
      <c r="BF177">
        <v>2022</v>
      </c>
    </row>
    <row r="178" spans="1:58">
      <c r="A178">
        <v>3052978</v>
      </c>
      <c r="B178">
        <v>138</v>
      </c>
      <c r="D178">
        <v>14420891</v>
      </c>
      <c r="F178" t="s">
        <v>80</v>
      </c>
      <c r="G178" t="s">
        <v>81</v>
      </c>
      <c r="H178" t="s">
        <v>11</v>
      </c>
      <c r="I178" t="s">
        <v>11</v>
      </c>
      <c r="J178" t="s">
        <v>5</v>
      </c>
      <c r="K178" t="s">
        <v>83</v>
      </c>
      <c r="L178" s="3">
        <v>46180</v>
      </c>
      <c r="M178" t="s">
        <v>193</v>
      </c>
      <c r="N178">
        <v>14398506</v>
      </c>
      <c r="O178">
        <v>7</v>
      </c>
      <c r="P178" t="s">
        <v>1260</v>
      </c>
      <c r="R178">
        <v>366.13200000000001</v>
      </c>
      <c r="S178" s="3">
        <v>46025</v>
      </c>
      <c r="W178" t="s">
        <v>86</v>
      </c>
      <c r="X178" t="s">
        <v>87</v>
      </c>
      <c r="Y178">
        <v>0</v>
      </c>
      <c r="Z178">
        <v>0</v>
      </c>
      <c r="AC178">
        <v>14420891</v>
      </c>
      <c r="AH178" t="s">
        <v>5</v>
      </c>
      <c r="AI178">
        <v>998143296</v>
      </c>
      <c r="AL178" t="s">
        <v>1261</v>
      </c>
      <c r="AO178" t="s">
        <v>1262</v>
      </c>
      <c r="AP178" t="s">
        <v>433</v>
      </c>
      <c r="AQ178" t="s">
        <v>434</v>
      </c>
      <c r="AR178" t="s">
        <v>251</v>
      </c>
      <c r="AS178" t="s">
        <v>131</v>
      </c>
      <c r="AT178" t="s">
        <v>122</v>
      </c>
      <c r="AU178" t="s">
        <v>96</v>
      </c>
      <c r="AZ178" t="s">
        <v>111</v>
      </c>
      <c r="BA178" t="s">
        <v>99</v>
      </c>
      <c r="BB178" t="s">
        <v>1263</v>
      </c>
      <c r="BC178" t="s">
        <v>309</v>
      </c>
      <c r="BD178" t="s">
        <v>1264</v>
      </c>
      <c r="BE178">
        <v>2024</v>
      </c>
      <c r="BF178">
        <v>2024</v>
      </c>
    </row>
    <row r="179" spans="1:58">
      <c r="A179">
        <v>3101591</v>
      </c>
      <c r="B179">
        <v>289</v>
      </c>
      <c r="D179">
        <v>5397065</v>
      </c>
      <c r="F179" t="s">
        <v>80</v>
      </c>
      <c r="G179" t="s">
        <v>81</v>
      </c>
      <c r="H179" t="s">
        <v>11</v>
      </c>
      <c r="I179" t="s">
        <v>11</v>
      </c>
      <c r="J179" t="s">
        <v>5</v>
      </c>
      <c r="K179" t="s">
        <v>83</v>
      </c>
      <c r="L179" s="3">
        <v>46180</v>
      </c>
      <c r="N179">
        <v>12522459</v>
      </c>
      <c r="O179">
        <v>8</v>
      </c>
      <c r="P179" t="s">
        <v>1265</v>
      </c>
      <c r="R179">
        <v>189.39400000000001</v>
      </c>
      <c r="S179" s="3">
        <v>45667</v>
      </c>
      <c r="W179" t="s">
        <v>86</v>
      </c>
      <c r="Y179">
        <v>0</v>
      </c>
      <c r="Z179">
        <v>0</v>
      </c>
      <c r="AC179">
        <v>5397065</v>
      </c>
      <c r="AH179" t="s">
        <v>5</v>
      </c>
      <c r="AI179">
        <v>957255253</v>
      </c>
      <c r="AL179" t="s">
        <v>1266</v>
      </c>
      <c r="AO179" t="s">
        <v>1267</v>
      </c>
      <c r="AP179" t="s">
        <v>107</v>
      </c>
      <c r="AQ179" t="s">
        <v>92</v>
      </c>
      <c r="AR179" t="s">
        <v>1268</v>
      </c>
      <c r="AS179" t="s">
        <v>198</v>
      </c>
      <c r="AT179" t="s">
        <v>141</v>
      </c>
      <c r="AU179" t="s">
        <v>96</v>
      </c>
      <c r="AZ179" t="s">
        <v>98</v>
      </c>
      <c r="BA179" t="s">
        <v>99</v>
      </c>
      <c r="BC179" t="s">
        <v>309</v>
      </c>
      <c r="BD179" t="s">
        <v>1269</v>
      </c>
      <c r="BE179">
        <v>2022</v>
      </c>
      <c r="BF179">
        <v>2022</v>
      </c>
    </row>
    <row r="180" spans="1:58">
      <c r="A180">
        <v>3111100</v>
      </c>
      <c r="B180">
        <v>228</v>
      </c>
      <c r="D180">
        <v>16502517</v>
      </c>
      <c r="F180" t="s">
        <v>80</v>
      </c>
      <c r="G180" t="s">
        <v>81</v>
      </c>
      <c r="H180" t="s">
        <v>11</v>
      </c>
      <c r="I180" t="s">
        <v>11</v>
      </c>
      <c r="J180" t="s">
        <v>5</v>
      </c>
      <c r="K180" t="s">
        <v>83</v>
      </c>
      <c r="L180" s="3">
        <v>46180</v>
      </c>
      <c r="N180">
        <v>17069258</v>
      </c>
      <c r="O180">
        <v>6</v>
      </c>
      <c r="P180" t="s">
        <v>1270</v>
      </c>
      <c r="R180">
        <v>427.88600000000002</v>
      </c>
      <c r="S180" s="3">
        <v>45669</v>
      </c>
      <c r="W180" t="s">
        <v>86</v>
      </c>
      <c r="X180" t="s">
        <v>87</v>
      </c>
      <c r="Y180">
        <v>0</v>
      </c>
      <c r="Z180">
        <v>0</v>
      </c>
      <c r="AC180">
        <v>16502517</v>
      </c>
      <c r="AH180" t="s">
        <v>5</v>
      </c>
      <c r="AL180" t="s">
        <v>1271</v>
      </c>
      <c r="AO180" t="s">
        <v>1272</v>
      </c>
      <c r="AP180" t="s">
        <v>226</v>
      </c>
      <c r="AQ180" t="s">
        <v>92</v>
      </c>
      <c r="AR180" t="s">
        <v>1273</v>
      </c>
      <c r="AS180" t="s">
        <v>284</v>
      </c>
      <c r="AT180" t="s">
        <v>122</v>
      </c>
      <c r="AU180" t="s">
        <v>96</v>
      </c>
      <c r="AZ180" t="s">
        <v>111</v>
      </c>
      <c r="BA180" t="s">
        <v>99</v>
      </c>
      <c r="BB180" t="s">
        <v>1274</v>
      </c>
      <c r="BC180" t="s">
        <v>1074</v>
      </c>
      <c r="BD180" t="s">
        <v>1275</v>
      </c>
      <c r="BE180">
        <v>2024</v>
      </c>
      <c r="BF180">
        <v>2024</v>
      </c>
    </row>
    <row r="181" spans="1:58">
      <c r="A181">
        <v>3115354</v>
      </c>
      <c r="B181">
        <v>1</v>
      </c>
      <c r="D181">
        <v>12095207</v>
      </c>
      <c r="F181" t="s">
        <v>80</v>
      </c>
      <c r="G181" t="s">
        <v>81</v>
      </c>
      <c r="H181" t="s">
        <v>11</v>
      </c>
      <c r="I181" t="s">
        <v>11</v>
      </c>
      <c r="J181" t="s">
        <v>5</v>
      </c>
      <c r="K181" t="s">
        <v>83</v>
      </c>
      <c r="L181" s="3">
        <v>46180</v>
      </c>
      <c r="M181" t="s">
        <v>193</v>
      </c>
      <c r="N181">
        <v>13246307</v>
      </c>
      <c r="O181">
        <v>7</v>
      </c>
      <c r="P181" t="s">
        <v>1276</v>
      </c>
      <c r="R181">
        <v>374.21699999999998</v>
      </c>
      <c r="S181" s="3">
        <v>46028</v>
      </c>
      <c r="W181" t="s">
        <v>86</v>
      </c>
      <c r="X181" t="s">
        <v>87</v>
      </c>
      <c r="Y181">
        <v>0</v>
      </c>
      <c r="Z181">
        <v>0</v>
      </c>
      <c r="AC181">
        <v>12095207</v>
      </c>
      <c r="AH181" t="s">
        <v>5</v>
      </c>
      <c r="AI181">
        <v>956503014</v>
      </c>
      <c r="AL181" t="s">
        <v>1277</v>
      </c>
      <c r="AO181" t="s">
        <v>1278</v>
      </c>
      <c r="AP181" t="s">
        <v>1279</v>
      </c>
      <c r="AQ181" t="s">
        <v>188</v>
      </c>
      <c r="AR181" t="s">
        <v>1280</v>
      </c>
      <c r="AS181" t="s">
        <v>367</v>
      </c>
      <c r="AT181" t="s">
        <v>122</v>
      </c>
      <c r="AU181" t="s">
        <v>96</v>
      </c>
      <c r="AZ181" t="s">
        <v>111</v>
      </c>
      <c r="BA181" t="s">
        <v>99</v>
      </c>
      <c r="BB181" t="s">
        <v>1281</v>
      </c>
      <c r="BC181" t="s">
        <v>421</v>
      </c>
      <c r="BD181" t="s">
        <v>1282</v>
      </c>
      <c r="BE181">
        <v>2024</v>
      </c>
      <c r="BF181">
        <v>2024</v>
      </c>
    </row>
    <row r="182" spans="1:58">
      <c r="A182">
        <v>3115557</v>
      </c>
      <c r="B182">
        <v>197</v>
      </c>
      <c r="D182">
        <v>10316441</v>
      </c>
      <c r="F182" t="s">
        <v>80</v>
      </c>
      <c r="G182" t="s">
        <v>81</v>
      </c>
      <c r="H182" t="s">
        <v>11</v>
      </c>
      <c r="I182" t="s">
        <v>11</v>
      </c>
      <c r="J182" t="s">
        <v>5</v>
      </c>
      <c r="K182" t="s">
        <v>83</v>
      </c>
      <c r="L182" s="3">
        <v>46180</v>
      </c>
      <c r="N182">
        <v>18488596</v>
      </c>
      <c r="O182">
        <v>4</v>
      </c>
      <c r="P182" t="s">
        <v>1283</v>
      </c>
      <c r="R182">
        <v>280.54000000000002</v>
      </c>
      <c r="S182" s="3">
        <v>46023</v>
      </c>
      <c r="W182" t="s">
        <v>86</v>
      </c>
      <c r="Y182">
        <v>0</v>
      </c>
      <c r="Z182">
        <v>0</v>
      </c>
      <c r="AC182">
        <v>7816441</v>
      </c>
      <c r="AE182" t="s">
        <v>248</v>
      </c>
      <c r="AF182" t="s">
        <v>80</v>
      </c>
      <c r="AH182" t="s">
        <v>5</v>
      </c>
      <c r="AI182">
        <v>56955195058</v>
      </c>
      <c r="AL182" t="s">
        <v>1284</v>
      </c>
      <c r="AO182" t="s">
        <v>1285</v>
      </c>
      <c r="AP182" t="s">
        <v>488</v>
      </c>
      <c r="AQ182" t="s">
        <v>92</v>
      </c>
      <c r="AR182" t="s">
        <v>1286</v>
      </c>
      <c r="AS182" t="s">
        <v>284</v>
      </c>
      <c r="AT182" t="s">
        <v>122</v>
      </c>
      <c r="AU182" t="s">
        <v>96</v>
      </c>
      <c r="AZ182" t="s">
        <v>111</v>
      </c>
      <c r="BA182" t="s">
        <v>99</v>
      </c>
      <c r="BC182" t="s">
        <v>287</v>
      </c>
      <c r="BD182" t="s">
        <v>1287</v>
      </c>
      <c r="BE182">
        <v>0</v>
      </c>
      <c r="BF182">
        <v>0</v>
      </c>
    </row>
    <row r="183" spans="1:58">
      <c r="A183">
        <v>3120521</v>
      </c>
      <c r="B183">
        <v>258</v>
      </c>
      <c r="D183">
        <v>15352634</v>
      </c>
      <c r="F183" t="s">
        <v>80</v>
      </c>
      <c r="G183" t="s">
        <v>81</v>
      </c>
      <c r="H183" t="s">
        <v>11</v>
      </c>
      <c r="I183" t="s">
        <v>11</v>
      </c>
      <c r="J183" t="s">
        <v>5</v>
      </c>
      <c r="K183" t="s">
        <v>83</v>
      </c>
      <c r="L183" s="3">
        <v>46180</v>
      </c>
      <c r="N183">
        <v>6332455</v>
      </c>
      <c r="O183">
        <v>8</v>
      </c>
      <c r="P183" t="s">
        <v>1288</v>
      </c>
      <c r="R183">
        <v>432.15</v>
      </c>
      <c r="S183" s="3">
        <v>45668</v>
      </c>
      <c r="W183" t="s">
        <v>86</v>
      </c>
      <c r="Y183">
        <v>0</v>
      </c>
      <c r="Z183">
        <v>0</v>
      </c>
      <c r="AC183">
        <v>15352634</v>
      </c>
      <c r="AE183" t="s">
        <v>248</v>
      </c>
      <c r="AF183" t="s">
        <v>80</v>
      </c>
      <c r="AH183" t="s">
        <v>5</v>
      </c>
      <c r="AL183" t="s">
        <v>1289</v>
      </c>
      <c r="AO183" t="s">
        <v>1290</v>
      </c>
      <c r="AP183" t="s">
        <v>1291</v>
      </c>
      <c r="AQ183" t="s">
        <v>765</v>
      </c>
      <c r="AR183" t="s">
        <v>580</v>
      </c>
      <c r="AS183" t="s">
        <v>171</v>
      </c>
      <c r="AT183" t="s">
        <v>141</v>
      </c>
      <c r="AU183" t="s">
        <v>96</v>
      </c>
      <c r="AZ183" t="s">
        <v>98</v>
      </c>
      <c r="BA183" t="s">
        <v>99</v>
      </c>
      <c r="BC183" t="s">
        <v>421</v>
      </c>
      <c r="BD183" t="s">
        <v>1292</v>
      </c>
      <c r="BE183">
        <v>2024</v>
      </c>
      <c r="BF183">
        <v>2024</v>
      </c>
    </row>
    <row r="184" spans="1:58">
      <c r="A184">
        <v>3124170</v>
      </c>
      <c r="B184">
        <v>1</v>
      </c>
      <c r="D184">
        <v>9147991</v>
      </c>
      <c r="F184" t="s">
        <v>80</v>
      </c>
      <c r="G184" t="s">
        <v>81</v>
      </c>
      <c r="H184" t="s">
        <v>11</v>
      </c>
      <c r="I184" t="s">
        <v>11</v>
      </c>
      <c r="J184" t="s">
        <v>5</v>
      </c>
      <c r="K184" t="s">
        <v>83</v>
      </c>
      <c r="L184" s="3">
        <v>46180</v>
      </c>
      <c r="M184" t="s">
        <v>193</v>
      </c>
      <c r="N184">
        <v>16695588</v>
      </c>
      <c r="O184">
        <v>2</v>
      </c>
      <c r="P184" t="s">
        <v>1293</v>
      </c>
      <c r="R184">
        <v>234.404</v>
      </c>
      <c r="S184" s="3">
        <v>46028</v>
      </c>
      <c r="W184" t="s">
        <v>86</v>
      </c>
      <c r="Y184">
        <v>0</v>
      </c>
      <c r="Z184">
        <v>0</v>
      </c>
      <c r="AC184">
        <v>9147991</v>
      </c>
      <c r="AH184" t="s">
        <v>5</v>
      </c>
      <c r="AI184">
        <v>935923838</v>
      </c>
      <c r="AL184" t="s">
        <v>1294</v>
      </c>
      <c r="AO184" t="s">
        <v>1295</v>
      </c>
      <c r="AP184" t="s">
        <v>330</v>
      </c>
      <c r="AQ184" t="s">
        <v>92</v>
      </c>
      <c r="AR184" t="s">
        <v>1296</v>
      </c>
      <c r="AS184" t="s">
        <v>293</v>
      </c>
      <c r="AT184" t="s">
        <v>122</v>
      </c>
      <c r="AU184" t="s">
        <v>96</v>
      </c>
      <c r="AZ184" t="s">
        <v>111</v>
      </c>
      <c r="BA184" t="s">
        <v>99</v>
      </c>
      <c r="BB184" t="s">
        <v>1297</v>
      </c>
      <c r="BC184" t="s">
        <v>811</v>
      </c>
      <c r="BD184" t="s">
        <v>1298</v>
      </c>
      <c r="BE184">
        <v>2024</v>
      </c>
      <c r="BF184">
        <v>2024</v>
      </c>
    </row>
    <row r="185" spans="1:58">
      <c r="A185">
        <v>3136967</v>
      </c>
      <c r="B185">
        <v>289</v>
      </c>
      <c r="D185">
        <v>4486091</v>
      </c>
      <c r="F185" t="s">
        <v>80</v>
      </c>
      <c r="G185" t="s">
        <v>81</v>
      </c>
      <c r="H185" t="s">
        <v>11</v>
      </c>
      <c r="I185" t="s">
        <v>11</v>
      </c>
      <c r="J185" t="s">
        <v>5</v>
      </c>
      <c r="K185" t="s">
        <v>83</v>
      </c>
      <c r="L185" s="3">
        <v>46180</v>
      </c>
      <c r="N185">
        <v>19914674</v>
      </c>
      <c r="O185">
        <v>2</v>
      </c>
      <c r="P185" t="s">
        <v>1299</v>
      </c>
      <c r="R185">
        <v>115.854</v>
      </c>
      <c r="S185" s="3">
        <v>45667</v>
      </c>
      <c r="W185" t="s">
        <v>86</v>
      </c>
      <c r="Y185">
        <v>0</v>
      </c>
      <c r="Z185">
        <v>0</v>
      </c>
      <c r="AC185">
        <v>4486091</v>
      </c>
      <c r="AH185" t="s">
        <v>5</v>
      </c>
      <c r="AI185">
        <v>931221610</v>
      </c>
      <c r="AL185" t="s">
        <v>1300</v>
      </c>
      <c r="AO185" t="s">
        <v>1301</v>
      </c>
      <c r="AP185" t="s">
        <v>800</v>
      </c>
      <c r="AQ185" t="s">
        <v>801</v>
      </c>
      <c r="AR185" t="s">
        <v>870</v>
      </c>
      <c r="AS185" t="s">
        <v>323</v>
      </c>
      <c r="AT185" t="s">
        <v>141</v>
      </c>
      <c r="AU185" t="s">
        <v>96</v>
      </c>
      <c r="AZ185" t="s">
        <v>98</v>
      </c>
      <c r="BA185" t="s">
        <v>99</v>
      </c>
      <c r="BC185" t="s">
        <v>348</v>
      </c>
      <c r="BD185" t="s">
        <v>1302</v>
      </c>
      <c r="BE185">
        <v>2013</v>
      </c>
      <c r="BF185">
        <v>2013</v>
      </c>
    </row>
    <row r="186" spans="1:58">
      <c r="A186">
        <v>3139873</v>
      </c>
      <c r="B186">
        <v>289</v>
      </c>
      <c r="D186">
        <v>14952440</v>
      </c>
      <c r="F186" t="s">
        <v>80</v>
      </c>
      <c r="G186" t="s">
        <v>81</v>
      </c>
      <c r="H186" t="s">
        <v>11</v>
      </c>
      <c r="I186" t="s">
        <v>11</v>
      </c>
      <c r="J186" t="s">
        <v>5</v>
      </c>
      <c r="K186" t="s">
        <v>83</v>
      </c>
      <c r="L186" s="3">
        <v>46180</v>
      </c>
      <c r="N186">
        <v>77023777</v>
      </c>
      <c r="O186">
        <v>7</v>
      </c>
      <c r="P186" t="s">
        <v>1303</v>
      </c>
      <c r="R186">
        <v>428.84899999999999</v>
      </c>
      <c r="S186" s="3">
        <v>45667</v>
      </c>
      <c r="W186" t="s">
        <v>86</v>
      </c>
      <c r="Y186">
        <v>0</v>
      </c>
      <c r="Z186">
        <v>0</v>
      </c>
      <c r="AC186">
        <v>14952440</v>
      </c>
      <c r="AH186" t="s">
        <v>5</v>
      </c>
      <c r="AI186">
        <v>937291872</v>
      </c>
      <c r="AL186" t="s">
        <v>1304</v>
      </c>
      <c r="AO186" t="s">
        <v>1305</v>
      </c>
      <c r="AP186" t="s">
        <v>1306</v>
      </c>
      <c r="AQ186" t="s">
        <v>92</v>
      </c>
      <c r="AR186" t="s">
        <v>1307</v>
      </c>
      <c r="AS186" t="s">
        <v>418</v>
      </c>
      <c r="AT186" t="s">
        <v>122</v>
      </c>
      <c r="AU186" t="s">
        <v>96</v>
      </c>
      <c r="AZ186" t="s">
        <v>111</v>
      </c>
      <c r="BA186" t="s">
        <v>99</v>
      </c>
      <c r="BC186" t="s">
        <v>1045</v>
      </c>
      <c r="BD186" t="s">
        <v>1308</v>
      </c>
      <c r="BE186">
        <v>2019</v>
      </c>
      <c r="BF186">
        <v>2019</v>
      </c>
    </row>
    <row r="187" spans="1:58">
      <c r="A187">
        <v>3142604</v>
      </c>
      <c r="B187">
        <v>77</v>
      </c>
      <c r="D187">
        <v>10522779</v>
      </c>
      <c r="F187" t="s">
        <v>80</v>
      </c>
      <c r="G187" t="s">
        <v>81</v>
      </c>
      <c r="H187" t="s">
        <v>11</v>
      </c>
      <c r="I187" t="s">
        <v>11</v>
      </c>
      <c r="J187" t="s">
        <v>5</v>
      </c>
      <c r="K187" t="s">
        <v>83</v>
      </c>
      <c r="L187" s="3">
        <v>46180</v>
      </c>
      <c r="M187" t="s">
        <v>193</v>
      </c>
      <c r="N187">
        <v>18455951</v>
      </c>
      <c r="O187" t="s">
        <v>266</v>
      </c>
      <c r="P187" t="s">
        <v>1309</v>
      </c>
      <c r="R187">
        <v>388.916</v>
      </c>
      <c r="S187" s="3">
        <v>46027</v>
      </c>
      <c r="W187" t="s">
        <v>86</v>
      </c>
      <c r="X187" t="s">
        <v>87</v>
      </c>
      <c r="Y187">
        <v>0</v>
      </c>
      <c r="Z187">
        <v>0</v>
      </c>
      <c r="AC187">
        <v>10522779</v>
      </c>
      <c r="AH187" t="s">
        <v>5</v>
      </c>
      <c r="AI187">
        <v>975216849</v>
      </c>
      <c r="AL187" t="s">
        <v>1310</v>
      </c>
      <c r="AO187" t="s">
        <v>1311</v>
      </c>
      <c r="AP187" t="s">
        <v>517</v>
      </c>
      <c r="AQ187" t="s">
        <v>92</v>
      </c>
      <c r="AR187" t="s">
        <v>1312</v>
      </c>
      <c r="AS187" t="s">
        <v>151</v>
      </c>
      <c r="AT187" t="s">
        <v>141</v>
      </c>
      <c r="AU187" t="s">
        <v>96</v>
      </c>
      <c r="AZ187" t="s">
        <v>98</v>
      </c>
      <c r="BA187" t="s">
        <v>99</v>
      </c>
      <c r="BB187" t="s">
        <v>1313</v>
      </c>
      <c r="BC187" t="s">
        <v>421</v>
      </c>
      <c r="BD187" t="s">
        <v>1314</v>
      </c>
      <c r="BE187">
        <v>2025</v>
      </c>
      <c r="BF187">
        <v>2025</v>
      </c>
    </row>
    <row r="188" spans="1:58">
      <c r="A188">
        <v>3145390</v>
      </c>
      <c r="B188">
        <v>289</v>
      </c>
      <c r="D188">
        <v>11199444</v>
      </c>
      <c r="F188" t="s">
        <v>80</v>
      </c>
      <c r="G188" t="s">
        <v>81</v>
      </c>
      <c r="H188" t="s">
        <v>11</v>
      </c>
      <c r="I188" t="s">
        <v>11</v>
      </c>
      <c r="J188" t="s">
        <v>5</v>
      </c>
      <c r="K188" t="s">
        <v>83</v>
      </c>
      <c r="L188" s="3">
        <v>46180</v>
      </c>
      <c r="N188">
        <v>17899339</v>
      </c>
      <c r="O188">
        <v>9</v>
      </c>
      <c r="P188" t="s">
        <v>1315</v>
      </c>
      <c r="R188">
        <v>364.45499999999998</v>
      </c>
      <c r="S188" s="3">
        <v>45667</v>
      </c>
      <c r="W188" t="s">
        <v>86</v>
      </c>
      <c r="X188" t="s">
        <v>87</v>
      </c>
      <c r="Y188">
        <v>0</v>
      </c>
      <c r="Z188">
        <v>0</v>
      </c>
      <c r="AC188">
        <v>11199444</v>
      </c>
      <c r="AH188" t="s">
        <v>5</v>
      </c>
      <c r="AI188">
        <v>968162549</v>
      </c>
      <c r="AL188" t="s">
        <v>1316</v>
      </c>
      <c r="AO188" t="s">
        <v>1317</v>
      </c>
      <c r="AP188" t="s">
        <v>661</v>
      </c>
      <c r="AQ188" t="s">
        <v>149</v>
      </c>
      <c r="AR188" t="s">
        <v>1318</v>
      </c>
      <c r="AS188" t="s">
        <v>208</v>
      </c>
      <c r="AT188" t="s">
        <v>122</v>
      </c>
      <c r="AU188" t="s">
        <v>96</v>
      </c>
      <c r="AZ188" t="s">
        <v>111</v>
      </c>
      <c r="BA188" t="s">
        <v>99</v>
      </c>
      <c r="BB188" t="s">
        <v>1319</v>
      </c>
      <c r="BC188" t="s">
        <v>982</v>
      </c>
      <c r="BD188" t="s">
        <v>1320</v>
      </c>
      <c r="BE188">
        <v>2022</v>
      </c>
      <c r="BF188">
        <v>2022</v>
      </c>
    </row>
    <row r="189" spans="1:58">
      <c r="A189">
        <v>3159188</v>
      </c>
      <c r="B189">
        <v>258</v>
      </c>
      <c r="D189">
        <v>11018901</v>
      </c>
      <c r="F189" t="s">
        <v>80</v>
      </c>
      <c r="G189" t="s">
        <v>81</v>
      </c>
      <c r="H189" t="s">
        <v>11</v>
      </c>
      <c r="I189" t="s">
        <v>11</v>
      </c>
      <c r="J189" t="s">
        <v>5</v>
      </c>
      <c r="K189" t="s">
        <v>83</v>
      </c>
      <c r="L189" s="3">
        <v>46180</v>
      </c>
      <c r="N189">
        <v>17904802</v>
      </c>
      <c r="O189">
        <v>7</v>
      </c>
      <c r="P189" t="s">
        <v>1321</v>
      </c>
      <c r="R189">
        <v>259.666</v>
      </c>
      <c r="S189" s="3">
        <v>45668</v>
      </c>
      <c r="W189" t="s">
        <v>86</v>
      </c>
      <c r="X189" t="s">
        <v>87</v>
      </c>
      <c r="Y189">
        <v>0</v>
      </c>
      <c r="Z189">
        <v>0</v>
      </c>
      <c r="AC189">
        <v>11018901</v>
      </c>
      <c r="AH189" t="s">
        <v>5</v>
      </c>
      <c r="AI189">
        <v>998941845</v>
      </c>
      <c r="AL189" t="s">
        <v>1322</v>
      </c>
      <c r="AO189" t="s">
        <v>1323</v>
      </c>
      <c r="AP189" t="s">
        <v>1324</v>
      </c>
      <c r="AQ189" t="s">
        <v>188</v>
      </c>
      <c r="AR189" t="s">
        <v>1188</v>
      </c>
      <c r="AS189" t="s">
        <v>418</v>
      </c>
      <c r="AT189" t="s">
        <v>122</v>
      </c>
      <c r="AU189" t="s">
        <v>96</v>
      </c>
      <c r="AZ189" t="s">
        <v>111</v>
      </c>
      <c r="BA189" t="s">
        <v>99</v>
      </c>
      <c r="BB189" t="s">
        <v>1325</v>
      </c>
      <c r="BC189" t="s">
        <v>1074</v>
      </c>
      <c r="BD189" t="s">
        <v>1298</v>
      </c>
      <c r="BE189">
        <v>2025</v>
      </c>
      <c r="BF189">
        <v>2025</v>
      </c>
    </row>
    <row r="190" spans="1:58">
      <c r="A190">
        <v>3170179</v>
      </c>
      <c r="B190">
        <v>228</v>
      </c>
      <c r="D190">
        <v>20999759</v>
      </c>
      <c r="F190" t="s">
        <v>80</v>
      </c>
      <c r="G190" t="s">
        <v>81</v>
      </c>
      <c r="H190" t="s">
        <v>11</v>
      </c>
      <c r="I190" t="s">
        <v>11</v>
      </c>
      <c r="J190" t="s">
        <v>5</v>
      </c>
      <c r="K190" t="s">
        <v>83</v>
      </c>
      <c r="L190" s="3">
        <v>46180</v>
      </c>
      <c r="N190">
        <v>19056039</v>
      </c>
      <c r="O190">
        <v>2</v>
      </c>
      <c r="P190" t="s">
        <v>1326</v>
      </c>
      <c r="R190">
        <v>562.48500000000001</v>
      </c>
      <c r="S190" s="3">
        <v>45669</v>
      </c>
      <c r="W190" t="s">
        <v>86</v>
      </c>
      <c r="X190" t="s">
        <v>87</v>
      </c>
      <c r="Y190">
        <v>0</v>
      </c>
      <c r="Z190">
        <v>0</v>
      </c>
      <c r="AC190">
        <v>20999759</v>
      </c>
      <c r="AH190" t="s">
        <v>5</v>
      </c>
      <c r="AI190">
        <v>976531426</v>
      </c>
      <c r="AL190" t="s">
        <v>1327</v>
      </c>
      <c r="AO190" t="s">
        <v>1328</v>
      </c>
      <c r="AP190" t="s">
        <v>566</v>
      </c>
      <c r="AQ190" t="s">
        <v>92</v>
      </c>
      <c r="AR190" t="s">
        <v>1329</v>
      </c>
      <c r="AS190" t="s">
        <v>752</v>
      </c>
      <c r="AT190" t="s">
        <v>122</v>
      </c>
      <c r="AU190" t="s">
        <v>96</v>
      </c>
      <c r="AZ190" t="s">
        <v>111</v>
      </c>
      <c r="BA190" t="s">
        <v>99</v>
      </c>
      <c r="BB190" t="s">
        <v>1330</v>
      </c>
      <c r="BC190" t="s">
        <v>287</v>
      </c>
      <c r="BD190" t="s">
        <v>1331</v>
      </c>
      <c r="BE190">
        <v>2024</v>
      </c>
      <c r="BF190">
        <v>2024</v>
      </c>
    </row>
    <row r="191" spans="1:58">
      <c r="A191">
        <v>3178119</v>
      </c>
      <c r="B191">
        <v>107</v>
      </c>
      <c r="D191">
        <v>12625546</v>
      </c>
      <c r="F191" t="s">
        <v>80</v>
      </c>
      <c r="G191" t="s">
        <v>81</v>
      </c>
      <c r="H191" t="s">
        <v>11</v>
      </c>
      <c r="I191" t="s">
        <v>11</v>
      </c>
      <c r="J191" t="s">
        <v>5</v>
      </c>
      <c r="K191" t="s">
        <v>83</v>
      </c>
      <c r="L191" s="3">
        <v>46180</v>
      </c>
      <c r="M191" t="s">
        <v>193</v>
      </c>
      <c r="N191">
        <v>18531867</v>
      </c>
      <c r="O191">
        <v>2</v>
      </c>
      <c r="P191" t="s">
        <v>1332</v>
      </c>
      <c r="R191">
        <v>353.11700000000002</v>
      </c>
      <c r="S191" s="3">
        <v>46026</v>
      </c>
      <c r="W191" t="s">
        <v>86</v>
      </c>
      <c r="X191" t="s">
        <v>87</v>
      </c>
      <c r="Y191">
        <v>0</v>
      </c>
      <c r="Z191">
        <v>0</v>
      </c>
      <c r="AC191">
        <v>12625546</v>
      </c>
      <c r="AH191" t="s">
        <v>5</v>
      </c>
      <c r="AI191">
        <v>953979986</v>
      </c>
      <c r="AL191" t="s">
        <v>1333</v>
      </c>
      <c r="AO191" t="s">
        <v>1334</v>
      </c>
      <c r="AP191" t="s">
        <v>902</v>
      </c>
      <c r="AQ191" t="s">
        <v>92</v>
      </c>
      <c r="AR191" t="s">
        <v>1335</v>
      </c>
      <c r="AS191" t="s">
        <v>217</v>
      </c>
      <c r="AT191" t="s">
        <v>122</v>
      </c>
      <c r="AU191" t="s">
        <v>96</v>
      </c>
      <c r="AZ191" t="s">
        <v>111</v>
      </c>
      <c r="BA191" t="s">
        <v>99</v>
      </c>
      <c r="BB191" t="s">
        <v>1336</v>
      </c>
      <c r="BC191" t="s">
        <v>1337</v>
      </c>
      <c r="BD191" t="s">
        <v>1338</v>
      </c>
      <c r="BE191">
        <v>2025</v>
      </c>
      <c r="BF191">
        <v>2025</v>
      </c>
    </row>
    <row r="192" spans="1:58">
      <c r="A192">
        <v>3181529</v>
      </c>
      <c r="B192">
        <v>1</v>
      </c>
      <c r="D192">
        <v>8877640</v>
      </c>
      <c r="F192" t="s">
        <v>80</v>
      </c>
      <c r="G192" t="s">
        <v>81</v>
      </c>
      <c r="H192" t="s">
        <v>11</v>
      </c>
      <c r="I192" t="s">
        <v>11</v>
      </c>
      <c r="J192" t="s">
        <v>5</v>
      </c>
      <c r="K192" t="s">
        <v>83</v>
      </c>
      <c r="L192" s="3">
        <v>46180</v>
      </c>
      <c r="M192" t="s">
        <v>193</v>
      </c>
      <c r="N192">
        <v>12772771</v>
      </c>
      <c r="O192">
        <v>6</v>
      </c>
      <c r="P192" t="s">
        <v>1339</v>
      </c>
      <c r="R192">
        <v>259.25299999999999</v>
      </c>
      <c r="S192" s="3">
        <v>46028</v>
      </c>
      <c r="W192" t="s">
        <v>86</v>
      </c>
      <c r="Y192">
        <v>0</v>
      </c>
      <c r="Z192">
        <v>0</v>
      </c>
      <c r="AC192">
        <v>8877640</v>
      </c>
      <c r="AH192" t="s">
        <v>5</v>
      </c>
      <c r="AI192">
        <v>986437394</v>
      </c>
      <c r="AL192" t="s">
        <v>1340</v>
      </c>
      <c r="AO192" t="s">
        <v>1341</v>
      </c>
      <c r="AP192" t="s">
        <v>148</v>
      </c>
      <c r="AQ192" t="s">
        <v>149</v>
      </c>
      <c r="AR192" t="s">
        <v>1342</v>
      </c>
      <c r="AS192" t="s">
        <v>323</v>
      </c>
      <c r="AT192" t="s">
        <v>122</v>
      </c>
      <c r="AU192" t="s">
        <v>96</v>
      </c>
      <c r="AZ192" t="s">
        <v>111</v>
      </c>
      <c r="BA192" t="s">
        <v>99</v>
      </c>
      <c r="BB192" t="s">
        <v>1343</v>
      </c>
      <c r="BC192" t="s">
        <v>1344</v>
      </c>
      <c r="BD192" t="s">
        <v>1345</v>
      </c>
      <c r="BE192">
        <v>2025</v>
      </c>
      <c r="BF192">
        <v>2025</v>
      </c>
    </row>
    <row r="193" spans="1:58">
      <c r="A193">
        <v>3202810</v>
      </c>
      <c r="B193">
        <v>77</v>
      </c>
      <c r="D193">
        <v>6713809</v>
      </c>
      <c r="F193" t="s">
        <v>80</v>
      </c>
      <c r="G193" t="s">
        <v>81</v>
      </c>
      <c r="H193" t="s">
        <v>11</v>
      </c>
      <c r="I193" t="s">
        <v>11</v>
      </c>
      <c r="J193" t="s">
        <v>5</v>
      </c>
      <c r="K193" t="s">
        <v>83</v>
      </c>
      <c r="L193" s="3">
        <v>46180</v>
      </c>
      <c r="M193" t="s">
        <v>193</v>
      </c>
      <c r="N193">
        <v>7311388</v>
      </c>
      <c r="O193">
        <v>1</v>
      </c>
      <c r="P193" t="s">
        <v>1346</v>
      </c>
      <c r="R193">
        <v>245.864</v>
      </c>
      <c r="S193" s="3">
        <v>46027</v>
      </c>
      <c r="W193" t="s">
        <v>86</v>
      </c>
      <c r="Y193">
        <v>0</v>
      </c>
      <c r="Z193">
        <v>0</v>
      </c>
      <c r="AC193">
        <v>6713809</v>
      </c>
      <c r="AH193" t="s">
        <v>5</v>
      </c>
      <c r="AI193">
        <v>936956196</v>
      </c>
      <c r="AL193" t="s">
        <v>1347</v>
      </c>
      <c r="AO193" t="s">
        <v>1348</v>
      </c>
      <c r="AP193" t="s">
        <v>1349</v>
      </c>
      <c r="AQ193" t="s">
        <v>92</v>
      </c>
      <c r="AR193" t="s">
        <v>1350</v>
      </c>
      <c r="AS193" t="s">
        <v>198</v>
      </c>
      <c r="AT193" t="s">
        <v>122</v>
      </c>
      <c r="AU193" t="s">
        <v>96</v>
      </c>
      <c r="AZ193" t="s">
        <v>111</v>
      </c>
      <c r="BA193" t="s">
        <v>99</v>
      </c>
      <c r="BC193" t="s">
        <v>550</v>
      </c>
      <c r="BD193" t="s">
        <v>1063</v>
      </c>
      <c r="BE193">
        <v>2020</v>
      </c>
      <c r="BF193">
        <v>2020</v>
      </c>
    </row>
    <row r="194" spans="1:58">
      <c r="A194">
        <v>3211805</v>
      </c>
      <c r="B194">
        <v>197</v>
      </c>
      <c r="D194">
        <v>11543221</v>
      </c>
      <c r="F194" t="s">
        <v>80</v>
      </c>
      <c r="G194" t="s">
        <v>81</v>
      </c>
      <c r="H194" t="s">
        <v>11</v>
      </c>
      <c r="I194" t="s">
        <v>11</v>
      </c>
      <c r="J194" t="s">
        <v>5</v>
      </c>
      <c r="K194" t="s">
        <v>83</v>
      </c>
      <c r="L194" s="3">
        <v>46180</v>
      </c>
      <c r="N194">
        <v>19260262</v>
      </c>
      <c r="O194">
        <v>9</v>
      </c>
      <c r="P194" t="s">
        <v>1351</v>
      </c>
      <c r="R194">
        <v>308.13</v>
      </c>
      <c r="S194" s="3">
        <v>46023</v>
      </c>
      <c r="W194" t="s">
        <v>86</v>
      </c>
      <c r="X194" t="s">
        <v>87</v>
      </c>
      <c r="Y194">
        <v>0</v>
      </c>
      <c r="Z194">
        <v>0</v>
      </c>
      <c r="AC194">
        <v>11543221</v>
      </c>
      <c r="AH194" t="s">
        <v>5</v>
      </c>
      <c r="AI194">
        <v>56927619768</v>
      </c>
      <c r="AL194" t="s">
        <v>1352</v>
      </c>
      <c r="AO194" t="s">
        <v>1117</v>
      </c>
      <c r="AP194" t="s">
        <v>107</v>
      </c>
      <c r="AQ194" t="s">
        <v>92</v>
      </c>
      <c r="AR194" t="s">
        <v>373</v>
      </c>
      <c r="AS194" t="s">
        <v>208</v>
      </c>
      <c r="AT194" t="s">
        <v>122</v>
      </c>
      <c r="AU194" t="s">
        <v>96</v>
      </c>
      <c r="AZ194" t="s">
        <v>111</v>
      </c>
      <c r="BA194" t="s">
        <v>99</v>
      </c>
      <c r="BB194" t="s">
        <v>1353</v>
      </c>
      <c r="BC194" t="s">
        <v>191</v>
      </c>
      <c r="BD194">
        <v>301</v>
      </c>
      <c r="BE194">
        <v>2019</v>
      </c>
      <c r="BF194">
        <v>2019</v>
      </c>
    </row>
    <row r="195" spans="1:58">
      <c r="A195">
        <v>3229989</v>
      </c>
      <c r="B195">
        <v>197</v>
      </c>
      <c r="D195">
        <v>20974222</v>
      </c>
      <c r="F195" t="s">
        <v>80</v>
      </c>
      <c r="G195" t="s">
        <v>81</v>
      </c>
      <c r="H195" t="s">
        <v>11</v>
      </c>
      <c r="I195" t="s">
        <v>11</v>
      </c>
      <c r="J195" t="s">
        <v>5</v>
      </c>
      <c r="K195" t="s">
        <v>83</v>
      </c>
      <c r="L195" s="3">
        <v>46180</v>
      </c>
      <c r="N195">
        <v>12260401</v>
      </c>
      <c r="O195">
        <v>2</v>
      </c>
      <c r="P195" t="s">
        <v>1354</v>
      </c>
      <c r="R195">
        <v>561.79700000000003</v>
      </c>
      <c r="S195" s="3">
        <v>46023</v>
      </c>
      <c r="W195" t="s">
        <v>86</v>
      </c>
      <c r="X195" t="s">
        <v>87</v>
      </c>
      <c r="Y195">
        <v>0</v>
      </c>
      <c r="Z195">
        <v>0</v>
      </c>
      <c r="AC195">
        <v>20974222</v>
      </c>
      <c r="AH195" t="s">
        <v>5</v>
      </c>
      <c r="AI195">
        <v>995023293</v>
      </c>
      <c r="AL195" t="s">
        <v>1355</v>
      </c>
      <c r="AO195" t="s">
        <v>1356</v>
      </c>
      <c r="AP195" t="s">
        <v>107</v>
      </c>
      <c r="AQ195" t="s">
        <v>92</v>
      </c>
      <c r="AR195" t="s">
        <v>1357</v>
      </c>
      <c r="AS195" t="s">
        <v>293</v>
      </c>
      <c r="AT195" t="s">
        <v>122</v>
      </c>
      <c r="AU195" t="s">
        <v>96</v>
      </c>
      <c r="AZ195" t="s">
        <v>111</v>
      </c>
      <c r="BA195" t="s">
        <v>99</v>
      </c>
      <c r="BB195" t="s">
        <v>1358</v>
      </c>
      <c r="BC195" t="s">
        <v>421</v>
      </c>
      <c r="BD195" t="s">
        <v>1359</v>
      </c>
      <c r="BE195">
        <v>2025</v>
      </c>
      <c r="BF195">
        <v>2025</v>
      </c>
    </row>
    <row r="196" spans="1:58">
      <c r="A196">
        <v>3232308</v>
      </c>
      <c r="B196">
        <v>77</v>
      </c>
      <c r="D196">
        <v>17540129</v>
      </c>
      <c r="F196" t="s">
        <v>80</v>
      </c>
      <c r="G196" t="s">
        <v>81</v>
      </c>
      <c r="H196" t="s">
        <v>11</v>
      </c>
      <c r="I196" t="s">
        <v>11</v>
      </c>
      <c r="J196" t="s">
        <v>5</v>
      </c>
      <c r="K196" t="s">
        <v>83</v>
      </c>
      <c r="L196" s="3">
        <v>46180</v>
      </c>
      <c r="M196" t="s">
        <v>193</v>
      </c>
      <c r="N196">
        <v>12260401</v>
      </c>
      <c r="O196">
        <v>2</v>
      </c>
      <c r="P196" t="s">
        <v>1354</v>
      </c>
      <c r="R196">
        <v>488.38900000000001</v>
      </c>
      <c r="S196" s="3">
        <v>46027</v>
      </c>
      <c r="W196" t="s">
        <v>86</v>
      </c>
      <c r="X196" t="s">
        <v>87</v>
      </c>
      <c r="Y196">
        <v>0</v>
      </c>
      <c r="Z196">
        <v>0</v>
      </c>
      <c r="AC196">
        <v>17540129</v>
      </c>
      <c r="AH196" t="s">
        <v>5</v>
      </c>
      <c r="AI196">
        <v>995023293</v>
      </c>
      <c r="AL196" t="s">
        <v>1355</v>
      </c>
      <c r="AO196" t="s">
        <v>1356</v>
      </c>
      <c r="AP196" t="s">
        <v>107</v>
      </c>
      <c r="AQ196" t="s">
        <v>92</v>
      </c>
      <c r="AR196" t="s">
        <v>1360</v>
      </c>
      <c r="AS196" t="s">
        <v>293</v>
      </c>
      <c r="AT196" t="s">
        <v>122</v>
      </c>
      <c r="AU196" t="s">
        <v>96</v>
      </c>
      <c r="AZ196" t="s">
        <v>111</v>
      </c>
      <c r="BA196" t="s">
        <v>99</v>
      </c>
      <c r="BB196" t="s">
        <v>1361</v>
      </c>
      <c r="BC196" t="s">
        <v>1337</v>
      </c>
      <c r="BD196" t="s">
        <v>1362</v>
      </c>
      <c r="BE196">
        <v>2025</v>
      </c>
      <c r="BF196">
        <v>2025</v>
      </c>
    </row>
    <row r="197" spans="1:58">
      <c r="A197">
        <v>3246183</v>
      </c>
      <c r="B197">
        <v>166</v>
      </c>
      <c r="D197">
        <v>9836611</v>
      </c>
      <c r="F197" t="s">
        <v>80</v>
      </c>
      <c r="G197" t="s">
        <v>81</v>
      </c>
      <c r="H197" t="s">
        <v>11</v>
      </c>
      <c r="I197" t="s">
        <v>11</v>
      </c>
      <c r="J197" t="s">
        <v>5</v>
      </c>
      <c r="K197" t="s">
        <v>83</v>
      </c>
      <c r="L197" s="3">
        <v>46180</v>
      </c>
      <c r="N197">
        <v>12325963</v>
      </c>
      <c r="O197">
        <v>7</v>
      </c>
      <c r="P197" t="s">
        <v>1363</v>
      </c>
      <c r="R197">
        <v>276.27800000000002</v>
      </c>
      <c r="S197" s="3">
        <v>46024</v>
      </c>
      <c r="W197" t="s">
        <v>86</v>
      </c>
      <c r="Y197">
        <v>0</v>
      </c>
      <c r="Z197">
        <v>0</v>
      </c>
      <c r="AC197">
        <v>9836611</v>
      </c>
      <c r="AH197" t="s">
        <v>5</v>
      </c>
      <c r="AI197">
        <v>954563286</v>
      </c>
      <c r="AL197" t="s">
        <v>1364</v>
      </c>
      <c r="AO197" t="s">
        <v>1365</v>
      </c>
      <c r="AP197" t="s">
        <v>922</v>
      </c>
      <c r="AQ197" t="s">
        <v>149</v>
      </c>
      <c r="AR197" t="s">
        <v>1366</v>
      </c>
      <c r="AS197" t="s">
        <v>388</v>
      </c>
      <c r="AT197" t="s">
        <v>110</v>
      </c>
      <c r="AU197" t="s">
        <v>96</v>
      </c>
      <c r="AZ197" t="s">
        <v>111</v>
      </c>
      <c r="BA197" t="s">
        <v>221</v>
      </c>
      <c r="BC197" t="s">
        <v>287</v>
      </c>
      <c r="BD197" t="s">
        <v>1367</v>
      </c>
      <c r="BE197">
        <v>0</v>
      </c>
      <c r="BF197">
        <v>0</v>
      </c>
    </row>
    <row r="198" spans="1:58">
      <c r="A198">
        <v>3253290</v>
      </c>
      <c r="B198">
        <v>197</v>
      </c>
      <c r="D198">
        <v>11223328</v>
      </c>
      <c r="F198" t="s">
        <v>80</v>
      </c>
      <c r="G198" t="s">
        <v>81</v>
      </c>
      <c r="H198" t="s">
        <v>11</v>
      </c>
      <c r="I198" t="s">
        <v>11</v>
      </c>
      <c r="J198" t="s">
        <v>5</v>
      </c>
      <c r="K198" t="s">
        <v>83</v>
      </c>
      <c r="L198" s="3">
        <v>46180</v>
      </c>
      <c r="N198">
        <v>26312380</v>
      </c>
      <c r="O198">
        <v>8</v>
      </c>
      <c r="P198" t="s">
        <v>1368</v>
      </c>
      <c r="R198">
        <v>301.44499999999999</v>
      </c>
      <c r="S198" s="3">
        <v>46023</v>
      </c>
      <c r="W198" t="s">
        <v>86</v>
      </c>
      <c r="X198" t="s">
        <v>87</v>
      </c>
      <c r="Y198">
        <v>0</v>
      </c>
      <c r="Z198">
        <v>0</v>
      </c>
      <c r="AC198">
        <v>11223328</v>
      </c>
      <c r="AH198" t="s">
        <v>5</v>
      </c>
      <c r="AI198">
        <v>933581178</v>
      </c>
      <c r="AL198" t="s">
        <v>1369</v>
      </c>
      <c r="AO198" t="s">
        <v>1370</v>
      </c>
      <c r="AP198" t="s">
        <v>330</v>
      </c>
      <c r="AQ198" t="s">
        <v>92</v>
      </c>
      <c r="AR198" t="s">
        <v>1371</v>
      </c>
      <c r="AS198" t="s">
        <v>455</v>
      </c>
      <c r="AT198" t="s">
        <v>122</v>
      </c>
      <c r="AU198" t="s">
        <v>96</v>
      </c>
      <c r="AZ198" t="s">
        <v>111</v>
      </c>
      <c r="BA198" t="s">
        <v>99</v>
      </c>
      <c r="BB198" t="s">
        <v>1372</v>
      </c>
      <c r="BC198" t="s">
        <v>133</v>
      </c>
      <c r="BD198" t="s">
        <v>1373</v>
      </c>
      <c r="BE198">
        <v>2018</v>
      </c>
      <c r="BF198">
        <v>2018</v>
      </c>
    </row>
    <row r="199" spans="1:58">
      <c r="A199">
        <v>3279513</v>
      </c>
      <c r="B199">
        <v>138</v>
      </c>
      <c r="D199">
        <v>22258356</v>
      </c>
      <c r="F199" t="s">
        <v>80</v>
      </c>
      <c r="G199" t="s">
        <v>81</v>
      </c>
      <c r="H199" t="s">
        <v>11</v>
      </c>
      <c r="I199" t="s">
        <v>11</v>
      </c>
      <c r="J199" t="s">
        <v>5</v>
      </c>
      <c r="K199" t="s">
        <v>83</v>
      </c>
      <c r="L199" s="3">
        <v>46180</v>
      </c>
      <c r="M199" t="s">
        <v>193</v>
      </c>
      <c r="N199">
        <v>17633955</v>
      </c>
      <c r="O199">
        <v>1</v>
      </c>
      <c r="P199" t="s">
        <v>1374</v>
      </c>
      <c r="R199">
        <v>555.66600000000005</v>
      </c>
      <c r="S199" s="3">
        <v>46025</v>
      </c>
      <c r="W199" t="s">
        <v>86</v>
      </c>
      <c r="X199" t="s">
        <v>87</v>
      </c>
      <c r="Y199">
        <v>0</v>
      </c>
      <c r="Z199">
        <v>0</v>
      </c>
      <c r="AC199">
        <v>22258356</v>
      </c>
      <c r="AH199" t="s">
        <v>5</v>
      </c>
      <c r="AI199">
        <v>931800320</v>
      </c>
      <c r="AL199" t="s">
        <v>1375</v>
      </c>
      <c r="AO199" t="s">
        <v>1376</v>
      </c>
      <c r="AP199" t="s">
        <v>902</v>
      </c>
      <c r="AQ199" t="s">
        <v>92</v>
      </c>
      <c r="AR199" t="s">
        <v>1130</v>
      </c>
      <c r="AS199" t="s">
        <v>162</v>
      </c>
      <c r="AT199" t="s">
        <v>122</v>
      </c>
      <c r="AU199" t="s">
        <v>96</v>
      </c>
      <c r="AZ199" t="s">
        <v>111</v>
      </c>
      <c r="BA199" t="s">
        <v>99</v>
      </c>
      <c r="BB199" t="s">
        <v>1377</v>
      </c>
      <c r="BC199" t="s">
        <v>124</v>
      </c>
      <c r="BD199" t="s">
        <v>1378</v>
      </c>
      <c r="BE199">
        <v>2025</v>
      </c>
      <c r="BF199">
        <v>2025</v>
      </c>
    </row>
    <row r="200" spans="1:58">
      <c r="A200">
        <v>3289969</v>
      </c>
      <c r="B200">
        <v>1</v>
      </c>
      <c r="D200">
        <v>11183501</v>
      </c>
      <c r="F200" t="s">
        <v>80</v>
      </c>
      <c r="G200" t="s">
        <v>81</v>
      </c>
      <c r="H200" t="s">
        <v>11</v>
      </c>
      <c r="I200" t="s">
        <v>11</v>
      </c>
      <c r="J200" t="s">
        <v>5</v>
      </c>
      <c r="K200" t="s">
        <v>83</v>
      </c>
      <c r="L200" s="3">
        <v>46180</v>
      </c>
      <c r="M200" t="s">
        <v>193</v>
      </c>
      <c r="N200">
        <v>12285582</v>
      </c>
      <c r="O200">
        <v>1</v>
      </c>
      <c r="P200" t="s">
        <v>1379</v>
      </c>
      <c r="R200">
        <v>580.11099999999999</v>
      </c>
      <c r="S200" s="3">
        <v>46028</v>
      </c>
      <c r="W200" t="s">
        <v>86</v>
      </c>
      <c r="Y200">
        <v>0</v>
      </c>
      <c r="Z200">
        <v>0</v>
      </c>
      <c r="AC200">
        <v>11183501</v>
      </c>
      <c r="AH200" t="s">
        <v>5</v>
      </c>
      <c r="AI200">
        <v>934073455</v>
      </c>
      <c r="AL200" t="s">
        <v>1380</v>
      </c>
      <c r="AO200" t="s">
        <v>1381</v>
      </c>
      <c r="AP200" t="s">
        <v>1382</v>
      </c>
      <c r="AQ200" t="s">
        <v>92</v>
      </c>
      <c r="AR200" t="s">
        <v>1383</v>
      </c>
      <c r="AS200" t="s">
        <v>560</v>
      </c>
      <c r="AT200" t="s">
        <v>122</v>
      </c>
      <c r="AU200" t="s">
        <v>96</v>
      </c>
      <c r="AZ200" t="s">
        <v>111</v>
      </c>
      <c r="BA200" t="s">
        <v>99</v>
      </c>
      <c r="BC200" t="s">
        <v>825</v>
      </c>
      <c r="BD200" t="s">
        <v>1384</v>
      </c>
      <c r="BE200">
        <v>2023</v>
      </c>
      <c r="BF200">
        <v>2023</v>
      </c>
    </row>
    <row r="201" spans="1:58">
      <c r="A201">
        <v>3299202</v>
      </c>
      <c r="B201">
        <v>77</v>
      </c>
      <c r="D201">
        <v>6163231</v>
      </c>
      <c r="F201" t="s">
        <v>80</v>
      </c>
      <c r="G201" t="s">
        <v>81</v>
      </c>
      <c r="H201" t="s">
        <v>11</v>
      </c>
      <c r="I201" t="s">
        <v>11</v>
      </c>
      <c r="J201" t="s">
        <v>5</v>
      </c>
      <c r="K201" t="s">
        <v>83</v>
      </c>
      <c r="L201" s="3">
        <v>46180</v>
      </c>
      <c r="M201" t="s">
        <v>193</v>
      </c>
      <c r="N201">
        <v>12864382</v>
      </c>
      <c r="O201">
        <v>6</v>
      </c>
      <c r="P201" t="s">
        <v>1385</v>
      </c>
      <c r="R201">
        <v>289.41800000000001</v>
      </c>
      <c r="S201" s="3">
        <v>46027</v>
      </c>
      <c r="W201" t="s">
        <v>86</v>
      </c>
      <c r="Y201">
        <v>0</v>
      </c>
      <c r="Z201">
        <v>0</v>
      </c>
      <c r="AC201">
        <v>6163231</v>
      </c>
      <c r="AH201" t="s">
        <v>5</v>
      </c>
      <c r="AI201">
        <v>965648968</v>
      </c>
      <c r="AL201" t="s">
        <v>1386</v>
      </c>
      <c r="AO201" t="s">
        <v>1387</v>
      </c>
      <c r="AP201" t="s">
        <v>800</v>
      </c>
      <c r="AQ201" t="s">
        <v>801</v>
      </c>
      <c r="AR201" t="s">
        <v>1388</v>
      </c>
      <c r="AS201" t="s">
        <v>367</v>
      </c>
      <c r="AT201" t="s">
        <v>141</v>
      </c>
      <c r="AU201" t="s">
        <v>96</v>
      </c>
      <c r="AZ201" t="s">
        <v>98</v>
      </c>
      <c r="BA201" t="s">
        <v>99</v>
      </c>
      <c r="BC201" t="s">
        <v>550</v>
      </c>
      <c r="BD201" t="s">
        <v>1389</v>
      </c>
      <c r="BE201">
        <v>2022</v>
      </c>
      <c r="BF201">
        <v>2022</v>
      </c>
    </row>
    <row r="202" spans="1:58">
      <c r="A202">
        <v>3300923</v>
      </c>
      <c r="B202">
        <v>0</v>
      </c>
      <c r="D202">
        <v>4532228</v>
      </c>
      <c r="F202" t="s">
        <v>80</v>
      </c>
      <c r="G202" t="s">
        <v>81</v>
      </c>
      <c r="H202" t="s">
        <v>20</v>
      </c>
      <c r="I202" t="s">
        <v>21</v>
      </c>
      <c r="J202" t="s">
        <v>6</v>
      </c>
      <c r="K202" t="s">
        <v>83</v>
      </c>
      <c r="L202" s="3">
        <v>46028</v>
      </c>
      <c r="M202" t="s">
        <v>193</v>
      </c>
      <c r="N202">
        <v>14190835</v>
      </c>
      <c r="O202">
        <v>9</v>
      </c>
      <c r="P202" t="s">
        <v>1390</v>
      </c>
      <c r="Q202">
        <v>1</v>
      </c>
      <c r="R202">
        <v>164.08699999999999</v>
      </c>
      <c r="U202">
        <v>3</v>
      </c>
      <c r="W202" t="s">
        <v>1391</v>
      </c>
      <c r="Y202">
        <v>0</v>
      </c>
      <c r="Z202">
        <v>0</v>
      </c>
      <c r="AA202" t="s">
        <v>98</v>
      </c>
      <c r="AC202">
        <v>0</v>
      </c>
      <c r="AH202" t="s">
        <v>5</v>
      </c>
      <c r="AI202">
        <v>945106014</v>
      </c>
      <c r="AL202" t="s">
        <v>1392</v>
      </c>
      <c r="AO202" t="s">
        <v>1393</v>
      </c>
      <c r="AP202" t="s">
        <v>800</v>
      </c>
      <c r="AQ202" t="s">
        <v>801</v>
      </c>
      <c r="AR202" t="s">
        <v>1394</v>
      </c>
      <c r="AS202" t="s">
        <v>271</v>
      </c>
      <c r="AT202" t="s">
        <v>122</v>
      </c>
      <c r="AU202" t="s">
        <v>96</v>
      </c>
      <c r="AZ202" t="s">
        <v>111</v>
      </c>
      <c r="BA202" t="s">
        <v>99</v>
      </c>
      <c r="BC202" t="s">
        <v>804</v>
      </c>
      <c r="BD202" t="s">
        <v>1395</v>
      </c>
      <c r="BE202">
        <v>2012</v>
      </c>
      <c r="BF202">
        <v>2012</v>
      </c>
    </row>
    <row r="203" spans="1:58">
      <c r="A203">
        <v>3321265</v>
      </c>
      <c r="B203">
        <v>1</v>
      </c>
      <c r="D203">
        <v>10591084</v>
      </c>
      <c r="F203" t="s">
        <v>80</v>
      </c>
      <c r="G203" t="s">
        <v>81</v>
      </c>
      <c r="H203" t="s">
        <v>11</v>
      </c>
      <c r="I203" t="s">
        <v>11</v>
      </c>
      <c r="J203" t="s">
        <v>5</v>
      </c>
      <c r="K203" t="s">
        <v>83</v>
      </c>
      <c r="L203" s="3">
        <v>46180</v>
      </c>
      <c r="M203" t="s">
        <v>193</v>
      </c>
      <c r="N203">
        <v>77290431</v>
      </c>
      <c r="O203">
        <v>2</v>
      </c>
      <c r="P203" t="s">
        <v>1396</v>
      </c>
      <c r="R203">
        <v>295.77100000000002</v>
      </c>
      <c r="S203" s="3">
        <v>46028</v>
      </c>
      <c r="W203" t="s">
        <v>86</v>
      </c>
      <c r="Y203">
        <v>0</v>
      </c>
      <c r="Z203">
        <v>0</v>
      </c>
      <c r="AC203">
        <v>10591084</v>
      </c>
      <c r="AH203" t="s">
        <v>5</v>
      </c>
      <c r="AI203">
        <v>986131859</v>
      </c>
      <c r="AL203" t="s">
        <v>1397</v>
      </c>
      <c r="AO203" t="s">
        <v>1398</v>
      </c>
      <c r="AP203" t="s">
        <v>608</v>
      </c>
      <c r="AQ203" t="s">
        <v>92</v>
      </c>
      <c r="AR203" t="s">
        <v>1399</v>
      </c>
      <c r="AS203" t="s">
        <v>217</v>
      </c>
      <c r="AT203" t="s">
        <v>122</v>
      </c>
      <c r="AU203" t="s">
        <v>96</v>
      </c>
      <c r="AZ203" t="s">
        <v>111</v>
      </c>
      <c r="BA203" t="s">
        <v>99</v>
      </c>
      <c r="BC203" t="s">
        <v>191</v>
      </c>
      <c r="BD203">
        <v>2008</v>
      </c>
      <c r="BE203">
        <v>2021</v>
      </c>
      <c r="BF203">
        <v>2021</v>
      </c>
    </row>
    <row r="204" spans="1:58">
      <c r="A204">
        <v>3352545</v>
      </c>
      <c r="B204">
        <v>77</v>
      </c>
      <c r="D204">
        <v>20675906</v>
      </c>
      <c r="F204" t="s">
        <v>80</v>
      </c>
      <c r="G204" t="s">
        <v>81</v>
      </c>
      <c r="H204" t="s">
        <v>11</v>
      </c>
      <c r="I204" t="s">
        <v>11</v>
      </c>
      <c r="J204" t="s">
        <v>5</v>
      </c>
      <c r="K204" t="s">
        <v>83</v>
      </c>
      <c r="L204" s="3">
        <v>46180</v>
      </c>
      <c r="M204" t="s">
        <v>193</v>
      </c>
      <c r="N204">
        <v>19854071</v>
      </c>
      <c r="O204">
        <v>4</v>
      </c>
      <c r="P204" t="s">
        <v>1400</v>
      </c>
      <c r="R204">
        <v>517.322</v>
      </c>
      <c r="S204" s="3">
        <v>46027</v>
      </c>
      <c r="W204" t="s">
        <v>86</v>
      </c>
      <c r="Y204">
        <v>0</v>
      </c>
      <c r="Z204">
        <v>0</v>
      </c>
      <c r="AC204">
        <v>20675906</v>
      </c>
      <c r="AH204" t="s">
        <v>5</v>
      </c>
      <c r="AI204">
        <v>999525331</v>
      </c>
      <c r="AL204" t="s">
        <v>1401</v>
      </c>
      <c r="AO204" t="s">
        <v>1402</v>
      </c>
      <c r="AP204" t="s">
        <v>1403</v>
      </c>
      <c r="AQ204" t="s">
        <v>724</v>
      </c>
      <c r="AR204" t="s">
        <v>1404</v>
      </c>
      <c r="AS204" t="s">
        <v>162</v>
      </c>
      <c r="AT204" t="s">
        <v>141</v>
      </c>
      <c r="AU204" t="s">
        <v>96</v>
      </c>
      <c r="AZ204" t="s">
        <v>98</v>
      </c>
      <c r="BA204" t="s">
        <v>99</v>
      </c>
      <c r="BC204" t="s">
        <v>1045</v>
      </c>
      <c r="BD204" t="s">
        <v>1405</v>
      </c>
      <c r="BE204">
        <v>0</v>
      </c>
      <c r="BF204">
        <v>0</v>
      </c>
    </row>
    <row r="205" spans="1:58">
      <c r="A205">
        <v>3354368</v>
      </c>
      <c r="B205">
        <v>107</v>
      </c>
      <c r="D205">
        <v>28031094</v>
      </c>
      <c r="F205" t="s">
        <v>80</v>
      </c>
      <c r="G205" t="s">
        <v>81</v>
      </c>
      <c r="H205" t="s">
        <v>11</v>
      </c>
      <c r="I205" t="s">
        <v>11</v>
      </c>
      <c r="J205" t="s">
        <v>5</v>
      </c>
      <c r="K205" t="s">
        <v>83</v>
      </c>
      <c r="L205" s="3">
        <v>46180</v>
      </c>
      <c r="M205" t="s">
        <v>193</v>
      </c>
      <c r="N205">
        <v>11554758</v>
      </c>
      <c r="O205">
        <v>5</v>
      </c>
      <c r="P205" t="s">
        <v>1406</v>
      </c>
      <c r="R205">
        <v>660.73099999999999</v>
      </c>
      <c r="S205" s="3">
        <v>46026</v>
      </c>
      <c r="W205" t="s">
        <v>86</v>
      </c>
      <c r="Y205">
        <v>0</v>
      </c>
      <c r="Z205">
        <v>0</v>
      </c>
      <c r="AC205">
        <v>28031094</v>
      </c>
      <c r="AH205" t="s">
        <v>5</v>
      </c>
      <c r="AI205">
        <v>944902413</v>
      </c>
      <c r="AL205" t="s">
        <v>1407</v>
      </c>
      <c r="AO205" t="s">
        <v>1408</v>
      </c>
      <c r="AP205" t="s">
        <v>1409</v>
      </c>
      <c r="AQ205" t="s">
        <v>724</v>
      </c>
      <c r="AR205" t="s">
        <v>1410</v>
      </c>
      <c r="AS205" t="s">
        <v>228</v>
      </c>
      <c r="AT205" t="s">
        <v>122</v>
      </c>
      <c r="AU205" t="s">
        <v>96</v>
      </c>
      <c r="AZ205" t="s">
        <v>111</v>
      </c>
      <c r="BA205" t="s">
        <v>99</v>
      </c>
      <c r="BC205" t="s">
        <v>1411</v>
      </c>
      <c r="BD205" t="s">
        <v>1412</v>
      </c>
      <c r="BE205">
        <v>0</v>
      </c>
      <c r="BF205">
        <v>0</v>
      </c>
    </row>
    <row r="206" spans="1:58">
      <c r="A206">
        <v>3365202</v>
      </c>
      <c r="B206">
        <v>77</v>
      </c>
      <c r="D206">
        <v>10398573</v>
      </c>
      <c r="F206" t="s">
        <v>80</v>
      </c>
      <c r="G206" t="s">
        <v>81</v>
      </c>
      <c r="H206" t="s">
        <v>11</v>
      </c>
      <c r="I206" t="s">
        <v>11</v>
      </c>
      <c r="J206" t="s">
        <v>5</v>
      </c>
      <c r="K206" t="s">
        <v>83</v>
      </c>
      <c r="L206" s="3">
        <v>46180</v>
      </c>
      <c r="M206" t="s">
        <v>193</v>
      </c>
      <c r="N206">
        <v>26300999</v>
      </c>
      <c r="O206">
        <v>1</v>
      </c>
      <c r="P206" t="s">
        <v>1413</v>
      </c>
      <c r="R206">
        <v>282.81200000000001</v>
      </c>
      <c r="S206" s="3">
        <v>46027</v>
      </c>
      <c r="W206" t="s">
        <v>86</v>
      </c>
      <c r="Y206">
        <v>0</v>
      </c>
      <c r="Z206">
        <v>0</v>
      </c>
      <c r="AC206">
        <v>10398573</v>
      </c>
      <c r="AH206" t="s">
        <v>5</v>
      </c>
      <c r="AI206">
        <v>959126081</v>
      </c>
      <c r="AL206" t="s">
        <v>1414</v>
      </c>
      <c r="AO206" t="s">
        <v>1415</v>
      </c>
      <c r="AP206" t="s">
        <v>119</v>
      </c>
      <c r="AQ206" t="s">
        <v>92</v>
      </c>
      <c r="AR206" t="s">
        <v>1416</v>
      </c>
      <c r="AS206" t="s">
        <v>556</v>
      </c>
      <c r="AT206" t="s">
        <v>122</v>
      </c>
      <c r="AU206" t="s">
        <v>96</v>
      </c>
      <c r="AZ206" t="s">
        <v>111</v>
      </c>
      <c r="BA206" t="s">
        <v>99</v>
      </c>
      <c r="BC206" t="s">
        <v>1074</v>
      </c>
      <c r="BD206" t="s">
        <v>1417</v>
      </c>
      <c r="BE206">
        <v>2025</v>
      </c>
      <c r="BF206">
        <v>2025</v>
      </c>
    </row>
    <row r="207" spans="1:58">
      <c r="A207">
        <v>3386408</v>
      </c>
      <c r="B207">
        <v>1</v>
      </c>
      <c r="D207">
        <v>15423208</v>
      </c>
      <c r="F207" t="s">
        <v>80</v>
      </c>
      <c r="G207" t="s">
        <v>81</v>
      </c>
      <c r="H207" t="s">
        <v>11</v>
      </c>
      <c r="I207" t="s">
        <v>11</v>
      </c>
      <c r="J207" t="s">
        <v>5</v>
      </c>
      <c r="K207" t="s">
        <v>83</v>
      </c>
      <c r="L207" s="3">
        <v>46180</v>
      </c>
      <c r="M207" t="s">
        <v>193</v>
      </c>
      <c r="N207">
        <v>17586126</v>
      </c>
      <c r="O207">
        <v>2</v>
      </c>
      <c r="P207" t="s">
        <v>1418</v>
      </c>
      <c r="R207">
        <v>369.41</v>
      </c>
      <c r="S207" s="3">
        <v>46028</v>
      </c>
      <c r="W207" t="s">
        <v>86</v>
      </c>
      <c r="Y207">
        <v>0</v>
      </c>
      <c r="Z207">
        <v>0</v>
      </c>
      <c r="AC207">
        <v>15423208</v>
      </c>
      <c r="AH207" t="s">
        <v>5</v>
      </c>
      <c r="AI207">
        <v>987469887</v>
      </c>
      <c r="AL207" t="s">
        <v>1419</v>
      </c>
      <c r="AO207" t="s">
        <v>1420</v>
      </c>
      <c r="AP207" t="s">
        <v>922</v>
      </c>
      <c r="AQ207" t="s">
        <v>149</v>
      </c>
      <c r="AR207" t="s">
        <v>1421</v>
      </c>
      <c r="AS207" t="s">
        <v>271</v>
      </c>
      <c r="AT207" t="s">
        <v>122</v>
      </c>
      <c r="AU207" t="s">
        <v>96</v>
      </c>
      <c r="AZ207" t="s">
        <v>111</v>
      </c>
      <c r="BA207" t="s">
        <v>99</v>
      </c>
      <c r="BC207" t="s">
        <v>1422</v>
      </c>
      <c r="BD207" t="s">
        <v>1423</v>
      </c>
      <c r="BE207">
        <v>2025</v>
      </c>
      <c r="BF207">
        <v>2025</v>
      </c>
    </row>
    <row r="208" spans="1:58">
      <c r="A208">
        <v>1307975</v>
      </c>
      <c r="B208">
        <v>137</v>
      </c>
      <c r="C208">
        <v>5</v>
      </c>
      <c r="D208">
        <v>990073</v>
      </c>
      <c r="F208" t="s">
        <v>80</v>
      </c>
      <c r="G208" t="s">
        <v>81</v>
      </c>
      <c r="H208" t="s">
        <v>23</v>
      </c>
      <c r="I208" t="s">
        <v>12</v>
      </c>
      <c r="J208" t="s">
        <v>6</v>
      </c>
      <c r="K208" t="s">
        <v>83</v>
      </c>
      <c r="L208" s="3">
        <v>46029</v>
      </c>
      <c r="M208" t="s">
        <v>193</v>
      </c>
      <c r="N208">
        <v>8560731</v>
      </c>
      <c r="O208">
        <v>6</v>
      </c>
      <c r="P208" t="s">
        <v>1424</v>
      </c>
      <c r="Q208">
        <v>1</v>
      </c>
      <c r="R208">
        <v>208.16900000000001</v>
      </c>
      <c r="S208" s="3">
        <v>46145</v>
      </c>
      <c r="T208">
        <v>55</v>
      </c>
      <c r="U208">
        <v>55</v>
      </c>
      <c r="V208">
        <v>60</v>
      </c>
      <c r="W208" t="s">
        <v>1425</v>
      </c>
      <c r="Y208">
        <v>42727</v>
      </c>
      <c r="Z208">
        <v>0</v>
      </c>
      <c r="AA208" t="s">
        <v>98</v>
      </c>
      <c r="AB208" t="s">
        <v>1426</v>
      </c>
      <c r="AC208">
        <v>1083572</v>
      </c>
      <c r="AD208" t="s">
        <v>1427</v>
      </c>
      <c r="AH208" t="s">
        <v>1428</v>
      </c>
      <c r="AI208">
        <v>988030668</v>
      </c>
      <c r="AL208" t="s">
        <v>1429</v>
      </c>
      <c r="AO208" t="s">
        <v>1430</v>
      </c>
      <c r="AP208" t="s">
        <v>579</v>
      </c>
      <c r="AQ208" t="s">
        <v>188</v>
      </c>
      <c r="AR208" t="s">
        <v>752</v>
      </c>
      <c r="AS208" t="s">
        <v>1079</v>
      </c>
      <c r="AT208" t="s">
        <v>122</v>
      </c>
      <c r="AU208" t="s">
        <v>96</v>
      </c>
      <c r="AZ208" t="s">
        <v>111</v>
      </c>
      <c r="BA208" t="s">
        <v>99</v>
      </c>
      <c r="BB208" t="s">
        <v>1431</v>
      </c>
      <c r="BC208" t="s">
        <v>287</v>
      </c>
      <c r="BD208" t="s">
        <v>1432</v>
      </c>
      <c r="BE208">
        <v>2021</v>
      </c>
      <c r="BF208">
        <v>2021</v>
      </c>
    </row>
    <row r="209" spans="1:58">
      <c r="A209">
        <v>1475529</v>
      </c>
      <c r="B209">
        <v>15</v>
      </c>
      <c r="C209">
        <v>1</v>
      </c>
      <c r="D209">
        <v>945040</v>
      </c>
      <c r="F209" t="s">
        <v>80</v>
      </c>
      <c r="G209" t="s">
        <v>81</v>
      </c>
      <c r="H209" s="527">
        <v>46052</v>
      </c>
      <c r="I209" s="527">
        <v>46052</v>
      </c>
      <c r="J209" t="s">
        <v>6</v>
      </c>
      <c r="K209" t="s">
        <v>83</v>
      </c>
      <c r="L209" s="3">
        <v>46029</v>
      </c>
      <c r="M209" t="s">
        <v>1433</v>
      </c>
      <c r="N209">
        <v>10402523</v>
      </c>
      <c r="O209">
        <v>4</v>
      </c>
      <c r="P209" t="s">
        <v>1434</v>
      </c>
      <c r="Q209">
        <v>1</v>
      </c>
      <c r="R209">
        <v>245.53299999999999</v>
      </c>
      <c r="S209" s="3">
        <v>46149</v>
      </c>
      <c r="T209">
        <v>57</v>
      </c>
      <c r="U209">
        <v>56</v>
      </c>
      <c r="V209">
        <v>60</v>
      </c>
      <c r="W209" t="s">
        <v>1435</v>
      </c>
      <c r="Y209">
        <v>1946</v>
      </c>
      <c r="Z209">
        <v>0</v>
      </c>
      <c r="AA209" t="s">
        <v>98</v>
      </c>
      <c r="AB209" t="s">
        <v>1436</v>
      </c>
      <c r="AC209">
        <v>247479</v>
      </c>
      <c r="AD209" t="s">
        <v>1437</v>
      </c>
      <c r="AG209" t="s">
        <v>1438</v>
      </c>
      <c r="AH209" t="s">
        <v>1439</v>
      </c>
      <c r="AI209">
        <v>994694425</v>
      </c>
      <c r="AL209" t="s">
        <v>1440</v>
      </c>
      <c r="AO209" t="s">
        <v>1441</v>
      </c>
      <c r="AP209" t="s">
        <v>1442</v>
      </c>
      <c r="AQ209" t="s">
        <v>188</v>
      </c>
      <c r="AR209" t="s">
        <v>1268</v>
      </c>
      <c r="AS209" t="s">
        <v>151</v>
      </c>
      <c r="AT209" t="s">
        <v>74</v>
      </c>
      <c r="AU209" t="s">
        <v>96</v>
      </c>
      <c r="AW209" t="s">
        <v>410</v>
      </c>
      <c r="AX209" t="s">
        <v>1443</v>
      </c>
      <c r="AY209" s="3">
        <v>46060</v>
      </c>
      <c r="AZ209" t="s">
        <v>111</v>
      </c>
      <c r="BA209" t="s">
        <v>285</v>
      </c>
      <c r="BB209" t="s">
        <v>1444</v>
      </c>
      <c r="BC209" t="s">
        <v>1445</v>
      </c>
      <c r="BD209" t="s">
        <v>1446</v>
      </c>
      <c r="BE209">
        <v>2021</v>
      </c>
      <c r="BF209">
        <v>2021</v>
      </c>
    </row>
    <row r="210" spans="1:58">
      <c r="A210">
        <v>1567682</v>
      </c>
      <c r="B210">
        <v>288</v>
      </c>
      <c r="C210">
        <v>2</v>
      </c>
      <c r="D210">
        <v>3681912</v>
      </c>
      <c r="F210" t="s">
        <v>80</v>
      </c>
      <c r="G210" t="s">
        <v>81</v>
      </c>
      <c r="H210" t="s">
        <v>16</v>
      </c>
      <c r="I210" t="s">
        <v>17</v>
      </c>
      <c r="J210" t="s">
        <v>6</v>
      </c>
      <c r="K210" t="s">
        <v>83</v>
      </c>
      <c r="L210" s="3">
        <v>46029</v>
      </c>
      <c r="M210" t="s">
        <v>193</v>
      </c>
      <c r="N210">
        <v>17266203</v>
      </c>
      <c r="O210" t="s">
        <v>266</v>
      </c>
      <c r="P210" t="s">
        <v>1447</v>
      </c>
      <c r="Q210">
        <v>1</v>
      </c>
      <c r="R210">
        <v>230.70400000000001</v>
      </c>
      <c r="S210" s="3">
        <v>45787</v>
      </c>
      <c r="T210">
        <v>47</v>
      </c>
      <c r="U210">
        <v>47</v>
      </c>
      <c r="V210">
        <v>49</v>
      </c>
      <c r="W210" t="s">
        <v>1448</v>
      </c>
      <c r="X210" t="s">
        <v>1449</v>
      </c>
      <c r="Y210">
        <v>739660</v>
      </c>
      <c r="Z210">
        <v>0</v>
      </c>
      <c r="AA210" t="s">
        <v>98</v>
      </c>
      <c r="AB210" t="s">
        <v>1450</v>
      </c>
      <c r="AC210">
        <v>1201068</v>
      </c>
      <c r="AD210" t="s">
        <v>1451</v>
      </c>
      <c r="AH210" t="s">
        <v>1428</v>
      </c>
      <c r="AI210">
        <v>959098586</v>
      </c>
      <c r="AL210" t="s">
        <v>1452</v>
      </c>
      <c r="AO210" t="s">
        <v>1453</v>
      </c>
      <c r="AQ210" t="s">
        <v>92</v>
      </c>
      <c r="AR210" t="s">
        <v>1454</v>
      </c>
      <c r="AS210" t="s">
        <v>243</v>
      </c>
      <c r="AT210" t="s">
        <v>74</v>
      </c>
      <c r="AU210" t="s">
        <v>96</v>
      </c>
      <c r="AZ210" t="s">
        <v>111</v>
      </c>
      <c r="BA210" t="s">
        <v>99</v>
      </c>
      <c r="BB210" t="s">
        <v>1455</v>
      </c>
      <c r="BC210" t="s">
        <v>153</v>
      </c>
      <c r="BD210" t="s">
        <v>1456</v>
      </c>
      <c r="BE210">
        <v>2022</v>
      </c>
      <c r="BF210">
        <v>2022</v>
      </c>
    </row>
    <row r="211" spans="1:58">
      <c r="A211">
        <v>1571077</v>
      </c>
      <c r="B211">
        <v>226</v>
      </c>
      <c r="C211">
        <v>1</v>
      </c>
      <c r="D211">
        <v>4857156</v>
      </c>
      <c r="F211" t="s">
        <v>80</v>
      </c>
      <c r="G211" t="s">
        <v>81</v>
      </c>
      <c r="H211" t="s">
        <v>14</v>
      </c>
      <c r="I211" t="s">
        <v>15</v>
      </c>
      <c r="J211" t="s">
        <v>6</v>
      </c>
      <c r="K211" t="s">
        <v>83</v>
      </c>
      <c r="L211" s="3">
        <v>46029</v>
      </c>
      <c r="M211" t="s">
        <v>193</v>
      </c>
      <c r="N211">
        <v>13631576</v>
      </c>
      <c r="O211">
        <v>5</v>
      </c>
      <c r="P211" t="s">
        <v>1457</v>
      </c>
      <c r="Q211">
        <v>1</v>
      </c>
      <c r="R211">
        <v>307.65600000000001</v>
      </c>
      <c r="S211" s="3">
        <v>45820</v>
      </c>
      <c r="T211">
        <v>48</v>
      </c>
      <c r="U211">
        <v>48</v>
      </c>
      <c r="V211">
        <v>49</v>
      </c>
      <c r="W211" t="s">
        <v>1448</v>
      </c>
      <c r="X211" t="s">
        <v>1449</v>
      </c>
      <c r="Y211">
        <v>605906</v>
      </c>
      <c r="Z211">
        <v>263681</v>
      </c>
      <c r="AA211" t="s">
        <v>98</v>
      </c>
      <c r="AB211" t="s">
        <v>1458</v>
      </c>
      <c r="AC211">
        <v>5804917</v>
      </c>
      <c r="AD211" t="s">
        <v>1451</v>
      </c>
      <c r="AH211" t="s">
        <v>1428</v>
      </c>
      <c r="AI211">
        <v>1111111111</v>
      </c>
      <c r="AL211" t="s">
        <v>1459</v>
      </c>
      <c r="AO211" t="s">
        <v>1460</v>
      </c>
      <c r="AP211" t="s">
        <v>177</v>
      </c>
      <c r="AQ211" t="s">
        <v>178</v>
      </c>
      <c r="AR211" t="s">
        <v>1461</v>
      </c>
      <c r="AS211" t="s">
        <v>323</v>
      </c>
      <c r="AT211" t="s">
        <v>141</v>
      </c>
      <c r="AU211" t="s">
        <v>96</v>
      </c>
      <c r="AZ211" t="s">
        <v>98</v>
      </c>
      <c r="BA211" t="s">
        <v>99</v>
      </c>
      <c r="BB211" t="s">
        <v>1462</v>
      </c>
      <c r="BC211" t="s">
        <v>309</v>
      </c>
      <c r="BD211" t="s">
        <v>1463</v>
      </c>
      <c r="BE211">
        <v>2022</v>
      </c>
      <c r="BF211">
        <v>2022</v>
      </c>
    </row>
    <row r="212" spans="1:58">
      <c r="A212">
        <v>1597284</v>
      </c>
      <c r="B212">
        <v>227</v>
      </c>
      <c r="C212">
        <v>3</v>
      </c>
      <c r="D212">
        <v>4219178</v>
      </c>
      <c r="F212" t="s">
        <v>80</v>
      </c>
      <c r="G212" t="s">
        <v>81</v>
      </c>
      <c r="H212" t="s">
        <v>15</v>
      </c>
      <c r="I212" t="s">
        <v>15</v>
      </c>
      <c r="J212" t="s">
        <v>6</v>
      </c>
      <c r="K212" t="s">
        <v>83</v>
      </c>
      <c r="L212" s="3">
        <v>46029</v>
      </c>
      <c r="M212" t="s">
        <v>193</v>
      </c>
      <c r="N212">
        <v>15199021</v>
      </c>
      <c r="O212">
        <v>5</v>
      </c>
      <c r="P212" t="s">
        <v>1464</v>
      </c>
      <c r="Q212">
        <v>1</v>
      </c>
      <c r="R212">
        <v>235.43</v>
      </c>
      <c r="S212" s="3">
        <v>45789</v>
      </c>
      <c r="T212">
        <v>46</v>
      </c>
      <c r="U212">
        <v>45</v>
      </c>
      <c r="V212">
        <v>49</v>
      </c>
      <c r="W212" t="s">
        <v>1465</v>
      </c>
      <c r="Y212">
        <v>413865</v>
      </c>
      <c r="Z212">
        <v>0</v>
      </c>
      <c r="AA212" t="s">
        <v>98</v>
      </c>
      <c r="AB212" t="s">
        <v>1466</v>
      </c>
      <c r="AC212">
        <v>1120155</v>
      </c>
      <c r="AD212" t="s">
        <v>1467</v>
      </c>
      <c r="AH212" t="s">
        <v>1439</v>
      </c>
      <c r="AI212">
        <v>931348091</v>
      </c>
      <c r="AL212" t="s">
        <v>1468</v>
      </c>
      <c r="AO212" t="s">
        <v>1469</v>
      </c>
      <c r="AP212" t="s">
        <v>661</v>
      </c>
      <c r="AQ212" t="s">
        <v>801</v>
      </c>
      <c r="AR212" t="s">
        <v>1470</v>
      </c>
      <c r="AS212" t="s">
        <v>396</v>
      </c>
      <c r="AT212" t="s">
        <v>74</v>
      </c>
      <c r="AU212" t="s">
        <v>96</v>
      </c>
      <c r="AZ212" t="s">
        <v>111</v>
      </c>
      <c r="BA212" t="s">
        <v>99</v>
      </c>
      <c r="BC212" t="s">
        <v>153</v>
      </c>
      <c r="BD212" t="s">
        <v>1471</v>
      </c>
      <c r="BE212">
        <v>2022</v>
      </c>
      <c r="BF212">
        <v>2022</v>
      </c>
    </row>
    <row r="213" spans="1:58">
      <c r="A213">
        <v>1603809</v>
      </c>
      <c r="B213">
        <v>222</v>
      </c>
      <c r="C213">
        <v>3</v>
      </c>
      <c r="D213">
        <v>5585627</v>
      </c>
      <c r="F213" t="s">
        <v>80</v>
      </c>
      <c r="G213" t="s">
        <v>81</v>
      </c>
      <c r="H213" t="s">
        <v>14</v>
      </c>
      <c r="I213" t="s">
        <v>15</v>
      </c>
      <c r="J213" t="s">
        <v>6</v>
      </c>
      <c r="K213" t="s">
        <v>83</v>
      </c>
      <c r="L213" s="3">
        <v>46029</v>
      </c>
      <c r="M213" t="s">
        <v>193</v>
      </c>
      <c r="N213">
        <v>18657967</v>
      </c>
      <c r="O213">
        <v>4</v>
      </c>
      <c r="P213" t="s">
        <v>1472</v>
      </c>
      <c r="Q213">
        <v>1</v>
      </c>
      <c r="R213">
        <v>321.291</v>
      </c>
      <c r="S213" s="3">
        <v>45942</v>
      </c>
      <c r="T213">
        <v>46</v>
      </c>
      <c r="U213">
        <v>46</v>
      </c>
      <c r="V213">
        <v>49</v>
      </c>
      <c r="W213" t="s">
        <v>1448</v>
      </c>
      <c r="Y213">
        <v>564080</v>
      </c>
      <c r="Z213">
        <v>296828</v>
      </c>
      <c r="AA213" t="s">
        <v>98</v>
      </c>
      <c r="AB213" t="s">
        <v>1473</v>
      </c>
      <c r="AC213">
        <v>1824781</v>
      </c>
      <c r="AD213" t="s">
        <v>1474</v>
      </c>
      <c r="AH213" t="s">
        <v>1428</v>
      </c>
      <c r="AI213">
        <v>932942777</v>
      </c>
      <c r="AL213" t="s">
        <v>1475</v>
      </c>
      <c r="AO213" t="s">
        <v>1476</v>
      </c>
      <c r="AP213" t="s">
        <v>177</v>
      </c>
      <c r="AQ213" t="s">
        <v>178</v>
      </c>
      <c r="AR213" t="s">
        <v>1477</v>
      </c>
      <c r="AS213" t="s">
        <v>293</v>
      </c>
      <c r="AT213" t="s">
        <v>141</v>
      </c>
      <c r="AU213" t="s">
        <v>96</v>
      </c>
      <c r="AV213" t="s">
        <v>1478</v>
      </c>
      <c r="AZ213" t="s">
        <v>98</v>
      </c>
      <c r="BA213" t="s">
        <v>99</v>
      </c>
      <c r="BB213" t="s">
        <v>1479</v>
      </c>
      <c r="BC213" t="s">
        <v>309</v>
      </c>
      <c r="BD213" t="s">
        <v>1480</v>
      </c>
      <c r="BE213">
        <v>2022</v>
      </c>
      <c r="BF213">
        <v>2022</v>
      </c>
    </row>
    <row r="214" spans="1:58">
      <c r="A214">
        <v>1636782</v>
      </c>
      <c r="B214">
        <v>196</v>
      </c>
      <c r="C214">
        <v>2</v>
      </c>
      <c r="D214">
        <v>5256848</v>
      </c>
      <c r="F214" t="s">
        <v>80</v>
      </c>
      <c r="G214" t="s">
        <v>81</v>
      </c>
      <c r="H214" t="s">
        <v>13</v>
      </c>
      <c r="I214" t="s">
        <v>14</v>
      </c>
      <c r="J214" t="s">
        <v>6</v>
      </c>
      <c r="K214" t="s">
        <v>83</v>
      </c>
      <c r="L214" s="3">
        <v>46029</v>
      </c>
      <c r="M214" t="s">
        <v>193</v>
      </c>
      <c r="N214">
        <v>16796646</v>
      </c>
      <c r="O214">
        <v>2</v>
      </c>
      <c r="P214" t="s">
        <v>1481</v>
      </c>
      <c r="Q214">
        <v>1</v>
      </c>
      <c r="R214">
        <v>349.66</v>
      </c>
      <c r="S214" s="3">
        <v>46143</v>
      </c>
      <c r="T214">
        <v>47</v>
      </c>
      <c r="U214">
        <v>47</v>
      </c>
      <c r="V214">
        <v>49</v>
      </c>
      <c r="W214" t="s">
        <v>1448</v>
      </c>
      <c r="Y214">
        <v>565765</v>
      </c>
      <c r="Z214">
        <v>0</v>
      </c>
      <c r="AA214" t="s">
        <v>98</v>
      </c>
      <c r="AB214" t="s">
        <v>1482</v>
      </c>
      <c r="AC214">
        <v>1265085</v>
      </c>
      <c r="AD214" t="s">
        <v>1483</v>
      </c>
      <c r="AH214" t="s">
        <v>1428</v>
      </c>
      <c r="AI214">
        <v>40507232</v>
      </c>
      <c r="AL214" t="s">
        <v>1484</v>
      </c>
      <c r="AO214" t="s">
        <v>1485</v>
      </c>
      <c r="AQ214" t="s">
        <v>724</v>
      </c>
      <c r="AR214" t="s">
        <v>1486</v>
      </c>
      <c r="AS214" t="s">
        <v>121</v>
      </c>
      <c r="AT214" t="s">
        <v>122</v>
      </c>
      <c r="AU214" t="s">
        <v>96</v>
      </c>
      <c r="AZ214" t="s">
        <v>111</v>
      </c>
      <c r="BA214" t="s">
        <v>99</v>
      </c>
      <c r="BB214" t="s">
        <v>1487</v>
      </c>
      <c r="BC214" t="s">
        <v>1488</v>
      </c>
      <c r="BD214" t="s">
        <v>1489</v>
      </c>
      <c r="BE214">
        <v>2022</v>
      </c>
      <c r="BF214">
        <v>2022</v>
      </c>
    </row>
    <row r="215" spans="1:58">
      <c r="A215">
        <v>1653176</v>
      </c>
      <c r="B215">
        <v>197</v>
      </c>
      <c r="C215">
        <v>2</v>
      </c>
      <c r="D215">
        <v>3652006</v>
      </c>
      <c r="F215" t="s">
        <v>80</v>
      </c>
      <c r="G215" t="s">
        <v>81</v>
      </c>
      <c r="H215" t="s">
        <v>13</v>
      </c>
      <c r="I215" t="s">
        <v>14</v>
      </c>
      <c r="J215" t="s">
        <v>6</v>
      </c>
      <c r="K215" t="s">
        <v>83</v>
      </c>
      <c r="L215" s="3">
        <v>46029</v>
      </c>
      <c r="M215" t="s">
        <v>193</v>
      </c>
      <c r="N215">
        <v>10036589</v>
      </c>
      <c r="O215">
        <v>8</v>
      </c>
      <c r="P215" t="s">
        <v>1490</v>
      </c>
      <c r="Q215">
        <v>1</v>
      </c>
      <c r="R215">
        <v>217.32300000000001</v>
      </c>
      <c r="S215" s="3">
        <v>46113</v>
      </c>
      <c r="T215">
        <v>47</v>
      </c>
      <c r="U215">
        <v>47</v>
      </c>
      <c r="V215">
        <v>49</v>
      </c>
      <c r="W215" t="s">
        <v>1448</v>
      </c>
      <c r="X215" t="s">
        <v>1449</v>
      </c>
      <c r="Y215">
        <v>394940</v>
      </c>
      <c r="Z215">
        <v>0</v>
      </c>
      <c r="AA215" t="s">
        <v>98</v>
      </c>
      <c r="AB215" t="s">
        <v>1491</v>
      </c>
      <c r="AC215">
        <v>829586</v>
      </c>
      <c r="AD215" t="s">
        <v>1483</v>
      </c>
      <c r="AH215" t="s">
        <v>1428</v>
      </c>
      <c r="AI215">
        <v>950134588</v>
      </c>
      <c r="AL215" t="s">
        <v>1492</v>
      </c>
      <c r="AO215" t="s">
        <v>1493</v>
      </c>
      <c r="AQ215" t="s">
        <v>215</v>
      </c>
      <c r="AR215" t="s">
        <v>1494</v>
      </c>
      <c r="AS215" t="s">
        <v>121</v>
      </c>
      <c r="AT215" t="s">
        <v>74</v>
      </c>
      <c r="AU215" t="s">
        <v>96</v>
      </c>
      <c r="AZ215" t="s">
        <v>111</v>
      </c>
      <c r="BA215" t="s">
        <v>99</v>
      </c>
      <c r="BB215" t="s">
        <v>1495</v>
      </c>
      <c r="BC215" t="s">
        <v>182</v>
      </c>
      <c r="BD215" t="s">
        <v>1496</v>
      </c>
      <c r="BE215">
        <v>2022</v>
      </c>
      <c r="BF215">
        <v>2022</v>
      </c>
    </row>
    <row r="216" spans="1:58">
      <c r="A216">
        <v>1769482</v>
      </c>
      <c r="B216">
        <v>252</v>
      </c>
      <c r="C216">
        <v>5</v>
      </c>
      <c r="D216">
        <v>4635527</v>
      </c>
      <c r="F216" t="s">
        <v>80</v>
      </c>
      <c r="G216" t="s">
        <v>81</v>
      </c>
      <c r="H216" t="s">
        <v>15</v>
      </c>
      <c r="I216" t="s">
        <v>16</v>
      </c>
      <c r="J216" t="s">
        <v>6</v>
      </c>
      <c r="K216" t="s">
        <v>83</v>
      </c>
      <c r="L216" s="3">
        <v>46029</v>
      </c>
      <c r="M216" t="s">
        <v>193</v>
      </c>
      <c r="N216">
        <v>16986051</v>
      </c>
      <c r="O216">
        <v>3</v>
      </c>
      <c r="P216" t="s">
        <v>1497</v>
      </c>
      <c r="Q216">
        <v>1</v>
      </c>
      <c r="R216">
        <v>336.303</v>
      </c>
      <c r="S216" s="3">
        <v>45941</v>
      </c>
      <c r="T216">
        <v>44</v>
      </c>
      <c r="U216">
        <v>44</v>
      </c>
      <c r="V216">
        <v>49</v>
      </c>
      <c r="W216" t="s">
        <v>1448</v>
      </c>
      <c r="Y216">
        <v>535312</v>
      </c>
      <c r="Z216">
        <v>0</v>
      </c>
      <c r="AA216" t="s">
        <v>98</v>
      </c>
      <c r="AB216" t="s">
        <v>1498</v>
      </c>
      <c r="AC216">
        <v>2216827</v>
      </c>
      <c r="AD216" t="s">
        <v>1499</v>
      </c>
      <c r="AH216" t="s">
        <v>1428</v>
      </c>
      <c r="AI216">
        <v>973911099</v>
      </c>
      <c r="AL216" t="s">
        <v>1500</v>
      </c>
      <c r="AO216" t="s">
        <v>1501</v>
      </c>
      <c r="AP216" t="s">
        <v>501</v>
      </c>
      <c r="AQ216" t="s">
        <v>188</v>
      </c>
      <c r="AR216" t="s">
        <v>1502</v>
      </c>
      <c r="AS216" t="s">
        <v>284</v>
      </c>
      <c r="AT216" t="s">
        <v>122</v>
      </c>
      <c r="AU216" t="s">
        <v>96</v>
      </c>
      <c r="AZ216" t="s">
        <v>111</v>
      </c>
      <c r="BA216" t="s">
        <v>99</v>
      </c>
      <c r="BB216" t="s">
        <v>1503</v>
      </c>
      <c r="BC216" t="s">
        <v>200</v>
      </c>
      <c r="BD216" t="s">
        <v>1504</v>
      </c>
      <c r="BE216">
        <v>2022</v>
      </c>
      <c r="BF216">
        <v>2022</v>
      </c>
    </row>
    <row r="217" spans="1:58">
      <c r="A217">
        <v>1793060</v>
      </c>
      <c r="B217">
        <v>164</v>
      </c>
      <c r="C217">
        <v>2</v>
      </c>
      <c r="D217">
        <v>621128</v>
      </c>
      <c r="F217" t="s">
        <v>80</v>
      </c>
      <c r="G217" t="s">
        <v>81</v>
      </c>
      <c r="H217" t="s">
        <v>12</v>
      </c>
      <c r="I217" t="s">
        <v>13</v>
      </c>
      <c r="J217" t="s">
        <v>6</v>
      </c>
      <c r="K217" t="s">
        <v>83</v>
      </c>
      <c r="L217" s="3">
        <v>46029</v>
      </c>
      <c r="M217" t="s">
        <v>193</v>
      </c>
      <c r="N217">
        <v>14562732</v>
      </c>
      <c r="O217" t="s">
        <v>266</v>
      </c>
      <c r="P217" t="s">
        <v>1505</v>
      </c>
      <c r="Q217">
        <v>1</v>
      </c>
      <c r="R217">
        <v>320.28699999999998</v>
      </c>
      <c r="S217" s="3">
        <v>46175</v>
      </c>
      <c r="T217">
        <v>46</v>
      </c>
      <c r="U217">
        <v>46</v>
      </c>
      <c r="V217">
        <v>48</v>
      </c>
      <c r="W217" t="s">
        <v>1435</v>
      </c>
      <c r="Y217">
        <v>67143</v>
      </c>
      <c r="Z217">
        <v>0</v>
      </c>
      <c r="AA217" t="s">
        <v>98</v>
      </c>
      <c r="AB217" s="3">
        <v>44867</v>
      </c>
      <c r="AC217">
        <v>707717</v>
      </c>
      <c r="AD217" t="s">
        <v>1506</v>
      </c>
      <c r="AH217" t="s">
        <v>1428</v>
      </c>
      <c r="AI217">
        <v>956865324</v>
      </c>
      <c r="AL217" t="s">
        <v>1507</v>
      </c>
      <c r="AO217" t="s">
        <v>1508</v>
      </c>
      <c r="AP217" t="s">
        <v>330</v>
      </c>
      <c r="AQ217" t="s">
        <v>92</v>
      </c>
      <c r="AR217" t="s">
        <v>1509</v>
      </c>
      <c r="AS217" t="s">
        <v>293</v>
      </c>
      <c r="AT217" t="s">
        <v>122</v>
      </c>
      <c r="AU217" t="s">
        <v>96</v>
      </c>
      <c r="AZ217" t="s">
        <v>111</v>
      </c>
      <c r="BA217" t="s">
        <v>99</v>
      </c>
      <c r="BB217" t="s">
        <v>1510</v>
      </c>
      <c r="BC217" t="s">
        <v>412</v>
      </c>
      <c r="BD217" t="s">
        <v>1511</v>
      </c>
      <c r="BE217">
        <v>2022</v>
      </c>
      <c r="BF217">
        <v>2022</v>
      </c>
    </row>
    <row r="218" spans="1:58">
      <c r="A218">
        <v>1809303</v>
      </c>
      <c r="B218">
        <v>273</v>
      </c>
      <c r="C218">
        <v>7</v>
      </c>
      <c r="D218">
        <v>2187323</v>
      </c>
      <c r="F218" t="s">
        <v>80</v>
      </c>
      <c r="G218" t="s">
        <v>81</v>
      </c>
      <c r="H218" t="s">
        <v>16</v>
      </c>
      <c r="I218" t="s">
        <v>17</v>
      </c>
      <c r="J218" t="s">
        <v>6</v>
      </c>
      <c r="K218" t="s">
        <v>83</v>
      </c>
      <c r="L218" s="3">
        <v>46029</v>
      </c>
      <c r="M218" t="s">
        <v>193</v>
      </c>
      <c r="N218">
        <v>10819261</v>
      </c>
      <c r="O218">
        <v>5</v>
      </c>
      <c r="P218" t="s">
        <v>1512</v>
      </c>
      <c r="Q218">
        <v>1</v>
      </c>
      <c r="R218">
        <v>340.18</v>
      </c>
      <c r="S218" t="s">
        <v>1513</v>
      </c>
      <c r="T218">
        <v>41</v>
      </c>
      <c r="U218">
        <v>41</v>
      </c>
      <c r="V218">
        <v>48</v>
      </c>
      <c r="W218" t="s">
        <v>1448</v>
      </c>
      <c r="X218" t="s">
        <v>87</v>
      </c>
      <c r="Y218">
        <v>315554</v>
      </c>
      <c r="Z218">
        <v>0</v>
      </c>
      <c r="AA218" t="s">
        <v>98</v>
      </c>
      <c r="AB218" t="s">
        <v>1514</v>
      </c>
      <c r="AC218">
        <v>2696814</v>
      </c>
      <c r="AD218" t="s">
        <v>1515</v>
      </c>
      <c r="AH218" t="s">
        <v>1428</v>
      </c>
      <c r="AI218">
        <v>9746697730</v>
      </c>
      <c r="AO218" t="s">
        <v>1516</v>
      </c>
      <c r="AP218" t="s">
        <v>1349</v>
      </c>
      <c r="AQ218" t="s">
        <v>92</v>
      </c>
      <c r="AR218" t="s">
        <v>1517</v>
      </c>
      <c r="AS218" t="s">
        <v>208</v>
      </c>
      <c r="AT218" t="s">
        <v>122</v>
      </c>
      <c r="AU218" t="s">
        <v>96</v>
      </c>
      <c r="AZ218" t="s">
        <v>111</v>
      </c>
      <c r="BA218" t="s">
        <v>99</v>
      </c>
      <c r="BB218" t="s">
        <v>1518</v>
      </c>
      <c r="BC218" t="s">
        <v>1519</v>
      </c>
      <c r="BD218" t="s">
        <v>1520</v>
      </c>
      <c r="BE218">
        <v>2022</v>
      </c>
      <c r="BF218">
        <v>2022</v>
      </c>
    </row>
    <row r="219" spans="1:58">
      <c r="A219">
        <v>1854377</v>
      </c>
      <c r="B219">
        <v>20</v>
      </c>
      <c r="C219">
        <v>1</v>
      </c>
      <c r="D219">
        <v>2473233</v>
      </c>
      <c r="F219" t="s">
        <v>80</v>
      </c>
      <c r="G219" t="s">
        <v>81</v>
      </c>
      <c r="H219" t="s">
        <v>19</v>
      </c>
      <c r="I219" s="527">
        <v>46052</v>
      </c>
      <c r="J219" t="s">
        <v>6</v>
      </c>
      <c r="K219" t="s">
        <v>83</v>
      </c>
      <c r="L219" s="3">
        <v>46029</v>
      </c>
      <c r="M219" t="s">
        <v>193</v>
      </c>
      <c r="N219">
        <v>13422825</v>
      </c>
      <c r="O219">
        <v>3</v>
      </c>
      <c r="P219" t="s">
        <v>1521</v>
      </c>
      <c r="Q219">
        <v>1</v>
      </c>
      <c r="R219">
        <v>236.31299999999999</v>
      </c>
      <c r="S219" t="s">
        <v>1522</v>
      </c>
      <c r="T219">
        <v>49</v>
      </c>
      <c r="U219">
        <v>48</v>
      </c>
      <c r="V219">
        <v>60</v>
      </c>
      <c r="W219" t="s">
        <v>1448</v>
      </c>
      <c r="Y219">
        <v>3602</v>
      </c>
      <c r="Z219">
        <v>0</v>
      </c>
      <c r="AA219" t="s">
        <v>98</v>
      </c>
      <c r="AB219" s="3">
        <v>44595</v>
      </c>
      <c r="AC219">
        <v>239915</v>
      </c>
      <c r="AD219" t="s">
        <v>1515</v>
      </c>
      <c r="AG219" t="s">
        <v>1523</v>
      </c>
      <c r="AH219" t="s">
        <v>1439</v>
      </c>
      <c r="AI219">
        <v>961121566</v>
      </c>
      <c r="AL219" t="s">
        <v>1524</v>
      </c>
      <c r="AO219" t="s">
        <v>1525</v>
      </c>
      <c r="AP219" t="s">
        <v>321</v>
      </c>
      <c r="AQ219" t="s">
        <v>322</v>
      </c>
      <c r="AR219" t="s">
        <v>1526</v>
      </c>
      <c r="AS219" t="s">
        <v>121</v>
      </c>
      <c r="AT219" t="s">
        <v>122</v>
      </c>
      <c r="AU219" t="s">
        <v>96</v>
      </c>
      <c r="AW219" t="s">
        <v>410</v>
      </c>
      <c r="AX219" t="s">
        <v>1527</v>
      </c>
      <c r="AY219" t="s">
        <v>220</v>
      </c>
      <c r="AZ219" t="s">
        <v>111</v>
      </c>
      <c r="BA219" t="s">
        <v>285</v>
      </c>
      <c r="BB219" t="s">
        <v>1528</v>
      </c>
      <c r="BC219" t="s">
        <v>182</v>
      </c>
      <c r="BD219" t="s">
        <v>1529</v>
      </c>
      <c r="BE219">
        <v>2022</v>
      </c>
      <c r="BF219">
        <v>2022</v>
      </c>
    </row>
    <row r="220" spans="1:58">
      <c r="A220">
        <v>1859110</v>
      </c>
      <c r="B220">
        <v>360</v>
      </c>
      <c r="C220">
        <v>9</v>
      </c>
      <c r="D220">
        <v>2147018</v>
      </c>
      <c r="F220" t="s">
        <v>80</v>
      </c>
      <c r="G220" t="s">
        <v>81</v>
      </c>
      <c r="H220" t="s">
        <v>20</v>
      </c>
      <c r="I220" t="s">
        <v>20</v>
      </c>
      <c r="J220" t="s">
        <v>6</v>
      </c>
      <c r="K220" t="s">
        <v>83</v>
      </c>
      <c r="L220" s="3">
        <v>46029</v>
      </c>
      <c r="M220" t="s">
        <v>193</v>
      </c>
      <c r="N220">
        <v>9711595</v>
      </c>
      <c r="O220">
        <v>8</v>
      </c>
      <c r="P220" t="s">
        <v>1530</v>
      </c>
      <c r="Q220">
        <v>1</v>
      </c>
      <c r="R220">
        <v>266.44299999999998</v>
      </c>
      <c r="S220" t="s">
        <v>1531</v>
      </c>
      <c r="T220">
        <v>39</v>
      </c>
      <c r="U220">
        <v>39</v>
      </c>
      <c r="V220">
        <v>48</v>
      </c>
      <c r="W220" t="s">
        <v>1425</v>
      </c>
      <c r="X220" t="s">
        <v>1532</v>
      </c>
      <c r="Y220">
        <v>418235</v>
      </c>
      <c r="Z220">
        <v>119423</v>
      </c>
      <c r="AA220" t="s">
        <v>98</v>
      </c>
      <c r="AB220" t="s">
        <v>1533</v>
      </c>
      <c r="AC220">
        <v>2935645</v>
      </c>
      <c r="AD220" t="s">
        <v>1534</v>
      </c>
      <c r="AH220" t="s">
        <v>1428</v>
      </c>
      <c r="AI220">
        <v>976739493</v>
      </c>
      <c r="AL220" t="s">
        <v>1535</v>
      </c>
      <c r="AO220" t="s">
        <v>1536</v>
      </c>
      <c r="AP220" t="s">
        <v>206</v>
      </c>
      <c r="AQ220" t="s">
        <v>160</v>
      </c>
      <c r="AR220" t="s">
        <v>198</v>
      </c>
      <c r="AS220" t="s">
        <v>1537</v>
      </c>
      <c r="AT220" t="s">
        <v>141</v>
      </c>
      <c r="AU220" t="s">
        <v>96</v>
      </c>
      <c r="AZ220" t="s">
        <v>98</v>
      </c>
      <c r="BA220" t="s">
        <v>99</v>
      </c>
      <c r="BB220" t="s">
        <v>1538</v>
      </c>
      <c r="BC220" t="s">
        <v>825</v>
      </c>
      <c r="BD220" t="s">
        <v>1539</v>
      </c>
      <c r="BE220">
        <v>2013</v>
      </c>
      <c r="BF220">
        <v>2013</v>
      </c>
    </row>
    <row r="221" spans="1:58">
      <c r="A221">
        <v>1864263</v>
      </c>
      <c r="B221">
        <v>318</v>
      </c>
      <c r="C221">
        <v>11</v>
      </c>
      <c r="D221">
        <v>4148304</v>
      </c>
      <c r="F221" t="s">
        <v>80</v>
      </c>
      <c r="G221" t="s">
        <v>81</v>
      </c>
      <c r="H221" t="s">
        <v>17</v>
      </c>
      <c r="I221" t="s">
        <v>18</v>
      </c>
      <c r="J221" t="s">
        <v>6</v>
      </c>
      <c r="K221" t="s">
        <v>83</v>
      </c>
      <c r="L221" s="3">
        <v>46029</v>
      </c>
      <c r="M221" t="s">
        <v>193</v>
      </c>
      <c r="N221">
        <v>17945067</v>
      </c>
      <c r="O221">
        <v>4</v>
      </c>
      <c r="P221" t="s">
        <v>1540</v>
      </c>
      <c r="Q221">
        <v>1</v>
      </c>
      <c r="R221">
        <v>239.00899999999999</v>
      </c>
      <c r="S221" s="3">
        <v>45786</v>
      </c>
      <c r="T221">
        <v>40</v>
      </c>
      <c r="U221">
        <v>40</v>
      </c>
      <c r="V221">
        <v>60</v>
      </c>
      <c r="W221" t="s">
        <v>1465</v>
      </c>
      <c r="X221" t="s">
        <v>1449</v>
      </c>
      <c r="Y221">
        <v>332940</v>
      </c>
      <c r="Z221">
        <v>9721</v>
      </c>
      <c r="AA221" t="s">
        <v>98</v>
      </c>
      <c r="AB221" t="s">
        <v>1541</v>
      </c>
      <c r="AC221">
        <v>2971760</v>
      </c>
      <c r="AD221" t="s">
        <v>1542</v>
      </c>
      <c r="AH221" t="s">
        <v>1428</v>
      </c>
      <c r="AI221">
        <v>982713094</v>
      </c>
      <c r="AL221" t="s">
        <v>1543</v>
      </c>
      <c r="AO221" t="s">
        <v>1544</v>
      </c>
      <c r="AQ221" t="s">
        <v>188</v>
      </c>
      <c r="AR221" t="s">
        <v>1545</v>
      </c>
      <c r="AS221" t="s">
        <v>171</v>
      </c>
      <c r="AT221" t="s">
        <v>141</v>
      </c>
      <c r="AU221" t="s">
        <v>96</v>
      </c>
      <c r="AZ221" t="s">
        <v>98</v>
      </c>
      <c r="BA221" t="s">
        <v>99</v>
      </c>
      <c r="BC221" t="s">
        <v>124</v>
      </c>
      <c r="BD221" t="s">
        <v>1546</v>
      </c>
      <c r="BE221">
        <v>2022</v>
      </c>
      <c r="BF221">
        <v>2022</v>
      </c>
    </row>
    <row r="222" spans="1:58">
      <c r="A222">
        <v>1866942</v>
      </c>
      <c r="B222">
        <v>257</v>
      </c>
      <c r="C222">
        <v>9</v>
      </c>
      <c r="D222">
        <v>4444934</v>
      </c>
      <c r="F222" t="s">
        <v>80</v>
      </c>
      <c r="G222" t="s">
        <v>81</v>
      </c>
      <c r="H222" t="s">
        <v>15</v>
      </c>
      <c r="I222" t="s">
        <v>16</v>
      </c>
      <c r="J222" t="s">
        <v>6</v>
      </c>
      <c r="K222" t="s">
        <v>83</v>
      </c>
      <c r="L222" s="3">
        <v>46029</v>
      </c>
      <c r="M222" t="s">
        <v>193</v>
      </c>
      <c r="N222">
        <v>26128730</v>
      </c>
      <c r="O222">
        <v>7</v>
      </c>
      <c r="P222" t="s">
        <v>1547</v>
      </c>
      <c r="Q222">
        <v>1</v>
      </c>
      <c r="R222">
        <v>259.52100000000002</v>
      </c>
      <c r="S222" s="3">
        <v>45788</v>
      </c>
      <c r="T222">
        <v>40</v>
      </c>
      <c r="U222">
        <v>40</v>
      </c>
      <c r="V222">
        <v>49</v>
      </c>
      <c r="W222" t="s">
        <v>1448</v>
      </c>
      <c r="X222" t="s">
        <v>87</v>
      </c>
      <c r="Y222">
        <v>276996</v>
      </c>
      <c r="Z222">
        <v>116952</v>
      </c>
      <c r="AA222" t="s">
        <v>98</v>
      </c>
      <c r="AB222" t="s">
        <v>1533</v>
      </c>
      <c r="AC222">
        <v>2729637</v>
      </c>
      <c r="AD222" t="s">
        <v>1534</v>
      </c>
      <c r="AH222" t="s">
        <v>1428</v>
      </c>
      <c r="AI222">
        <v>944787845</v>
      </c>
      <c r="AJ222">
        <v>981538813</v>
      </c>
      <c r="AL222" t="s">
        <v>1548</v>
      </c>
      <c r="AM222" t="s">
        <v>1548</v>
      </c>
      <c r="AO222" t="s">
        <v>1549</v>
      </c>
      <c r="AP222" t="s">
        <v>1306</v>
      </c>
      <c r="AQ222" t="s">
        <v>92</v>
      </c>
      <c r="AR222" t="s">
        <v>1550</v>
      </c>
      <c r="AS222" t="s">
        <v>236</v>
      </c>
      <c r="AT222" t="s">
        <v>141</v>
      </c>
      <c r="AU222" t="s">
        <v>96</v>
      </c>
      <c r="AZ222" t="s">
        <v>98</v>
      </c>
      <c r="BA222" t="s">
        <v>99</v>
      </c>
      <c r="BB222" t="s">
        <v>1551</v>
      </c>
      <c r="BC222" t="s">
        <v>200</v>
      </c>
      <c r="BD222" t="s">
        <v>623</v>
      </c>
      <c r="BE222">
        <v>2022</v>
      </c>
      <c r="BF222">
        <v>2022</v>
      </c>
    </row>
    <row r="223" spans="1:58">
      <c r="A223">
        <v>1894515</v>
      </c>
      <c r="B223">
        <v>0</v>
      </c>
      <c r="D223">
        <v>3097382</v>
      </c>
      <c r="F223" t="s">
        <v>80</v>
      </c>
      <c r="G223" t="s">
        <v>81</v>
      </c>
      <c r="H223" t="s">
        <v>20</v>
      </c>
      <c r="I223" t="s">
        <v>21</v>
      </c>
      <c r="J223" t="s">
        <v>6</v>
      </c>
      <c r="K223" t="s">
        <v>83</v>
      </c>
      <c r="L223" s="3">
        <v>46029</v>
      </c>
      <c r="M223" t="s">
        <v>193</v>
      </c>
      <c r="N223">
        <v>15673617</v>
      </c>
      <c r="O223">
        <v>1</v>
      </c>
      <c r="P223" t="s">
        <v>1552</v>
      </c>
      <c r="Q223">
        <v>1</v>
      </c>
      <c r="R223">
        <v>321.36500000000001</v>
      </c>
      <c r="U223">
        <v>37</v>
      </c>
      <c r="W223" t="s">
        <v>1435</v>
      </c>
      <c r="X223" t="s">
        <v>1532</v>
      </c>
      <c r="Y223">
        <v>0</v>
      </c>
      <c r="Z223">
        <v>0</v>
      </c>
      <c r="AA223" t="s">
        <v>98</v>
      </c>
      <c r="AB223" t="s">
        <v>1553</v>
      </c>
      <c r="AC223">
        <v>0</v>
      </c>
      <c r="AD223" t="s">
        <v>1534</v>
      </c>
      <c r="AH223" t="s">
        <v>5</v>
      </c>
      <c r="AI223">
        <v>976515541</v>
      </c>
      <c r="AL223" t="s">
        <v>1554</v>
      </c>
      <c r="AO223" t="s">
        <v>1555</v>
      </c>
      <c r="AP223" t="s">
        <v>433</v>
      </c>
      <c r="AQ223" t="s">
        <v>434</v>
      </c>
      <c r="AR223" t="s">
        <v>1556</v>
      </c>
      <c r="AS223" t="s">
        <v>449</v>
      </c>
      <c r="AT223" t="s">
        <v>141</v>
      </c>
      <c r="AU223" t="s">
        <v>96</v>
      </c>
      <c r="AZ223" t="s">
        <v>98</v>
      </c>
      <c r="BA223" t="s">
        <v>99</v>
      </c>
      <c r="BB223" t="s">
        <v>1557</v>
      </c>
      <c r="BC223" t="s">
        <v>143</v>
      </c>
      <c r="BD223" t="s">
        <v>1558</v>
      </c>
      <c r="BE223">
        <v>2022</v>
      </c>
      <c r="BF223">
        <v>2022</v>
      </c>
    </row>
    <row r="224" spans="1:58">
      <c r="A224">
        <v>1910675</v>
      </c>
      <c r="B224">
        <v>71</v>
      </c>
      <c r="C224">
        <v>1</v>
      </c>
      <c r="D224">
        <v>439292</v>
      </c>
      <c r="F224" t="s">
        <v>80</v>
      </c>
      <c r="G224" t="s">
        <v>81</v>
      </c>
      <c r="H224" t="s">
        <v>19</v>
      </c>
      <c r="I224" t="s">
        <v>22</v>
      </c>
      <c r="J224" t="s">
        <v>6</v>
      </c>
      <c r="K224" t="s">
        <v>83</v>
      </c>
      <c r="L224" s="3">
        <v>46029</v>
      </c>
      <c r="M224" t="s">
        <v>1559</v>
      </c>
      <c r="N224">
        <v>6461783</v>
      </c>
      <c r="O224">
        <v>4</v>
      </c>
      <c r="P224" t="s">
        <v>1560</v>
      </c>
      <c r="Q224">
        <v>1</v>
      </c>
      <c r="R224">
        <v>449.26400000000001</v>
      </c>
      <c r="S224" s="3">
        <v>46300</v>
      </c>
      <c r="T224">
        <v>47</v>
      </c>
      <c r="U224">
        <v>47</v>
      </c>
      <c r="V224">
        <v>48</v>
      </c>
      <c r="W224" t="s">
        <v>1425</v>
      </c>
      <c r="Y224">
        <v>24475</v>
      </c>
      <c r="Z224">
        <v>0</v>
      </c>
      <c r="AA224" t="s">
        <v>98</v>
      </c>
      <c r="AB224" t="s">
        <v>1561</v>
      </c>
      <c r="AC224">
        <v>473739</v>
      </c>
      <c r="AD224" t="s">
        <v>1534</v>
      </c>
      <c r="AG224" t="s">
        <v>1523</v>
      </c>
      <c r="AH224" t="s">
        <v>1428</v>
      </c>
      <c r="AI224">
        <v>961712848</v>
      </c>
      <c r="AL224" t="s">
        <v>1562</v>
      </c>
      <c r="AO224" t="s">
        <v>1563</v>
      </c>
      <c r="AP224" t="s">
        <v>715</v>
      </c>
      <c r="AQ224" t="s">
        <v>92</v>
      </c>
      <c r="AR224" t="s">
        <v>1564</v>
      </c>
      <c r="AS224" t="s">
        <v>293</v>
      </c>
      <c r="AT224" t="s">
        <v>74</v>
      </c>
      <c r="AU224" t="s">
        <v>96</v>
      </c>
      <c r="AZ224" t="s">
        <v>111</v>
      </c>
      <c r="BA224" t="s">
        <v>99</v>
      </c>
      <c r="BB224" t="s">
        <v>1565</v>
      </c>
      <c r="BC224" t="s">
        <v>1566</v>
      </c>
      <c r="BD224" t="s">
        <v>1567</v>
      </c>
      <c r="BE224">
        <v>2021</v>
      </c>
      <c r="BF224">
        <v>2021</v>
      </c>
    </row>
    <row r="225" spans="1:58">
      <c r="A225">
        <v>1914502</v>
      </c>
      <c r="B225">
        <v>96</v>
      </c>
      <c r="C225">
        <v>3</v>
      </c>
      <c r="D225">
        <v>1893087</v>
      </c>
      <c r="F225" t="s">
        <v>80</v>
      </c>
      <c r="G225" t="s">
        <v>81</v>
      </c>
      <c r="H225" t="s">
        <v>22</v>
      </c>
      <c r="I225" t="s">
        <v>23</v>
      </c>
      <c r="J225" t="s">
        <v>6</v>
      </c>
      <c r="K225" t="s">
        <v>83</v>
      </c>
      <c r="L225" s="3">
        <v>46029</v>
      </c>
      <c r="M225" t="s">
        <v>193</v>
      </c>
      <c r="N225">
        <v>76536445</v>
      </c>
      <c r="O225">
        <v>0</v>
      </c>
      <c r="P225" t="s">
        <v>1568</v>
      </c>
      <c r="Q225">
        <v>0</v>
      </c>
      <c r="R225">
        <v>659.63599999999997</v>
      </c>
      <c r="S225" t="s">
        <v>1569</v>
      </c>
      <c r="T225">
        <v>45</v>
      </c>
      <c r="U225">
        <v>45</v>
      </c>
      <c r="V225">
        <v>48</v>
      </c>
      <c r="W225" t="s">
        <v>1425</v>
      </c>
      <c r="Y225">
        <v>96711</v>
      </c>
      <c r="Z225">
        <v>0</v>
      </c>
      <c r="AA225" t="s">
        <v>98</v>
      </c>
      <c r="AB225" t="s">
        <v>1570</v>
      </c>
      <c r="AC225">
        <v>2075619</v>
      </c>
      <c r="AD225" t="s">
        <v>1571</v>
      </c>
      <c r="AH225" t="s">
        <v>1428</v>
      </c>
      <c r="AI225">
        <v>956553795</v>
      </c>
      <c r="AL225" t="s">
        <v>1572</v>
      </c>
      <c r="AO225" t="s">
        <v>1573</v>
      </c>
      <c r="AP225" t="s">
        <v>501</v>
      </c>
      <c r="AQ225" t="s">
        <v>188</v>
      </c>
      <c r="AR225" t="s">
        <v>1574</v>
      </c>
      <c r="AS225" t="s">
        <v>217</v>
      </c>
      <c r="AT225" t="s">
        <v>122</v>
      </c>
      <c r="AU225" t="s">
        <v>96</v>
      </c>
      <c r="AZ225" t="s">
        <v>111</v>
      </c>
      <c r="BA225" t="s">
        <v>99</v>
      </c>
      <c r="BB225" t="s">
        <v>1575</v>
      </c>
      <c r="BC225" t="s">
        <v>191</v>
      </c>
      <c r="BD225" t="s">
        <v>1576</v>
      </c>
      <c r="BE225">
        <v>2022</v>
      </c>
      <c r="BF225">
        <v>2022</v>
      </c>
    </row>
    <row r="226" spans="1:58">
      <c r="A226">
        <v>1922220</v>
      </c>
      <c r="B226">
        <v>0</v>
      </c>
      <c r="D226">
        <v>4757215</v>
      </c>
      <c r="F226" t="s">
        <v>80</v>
      </c>
      <c r="G226" t="s">
        <v>81</v>
      </c>
      <c r="H226" t="s">
        <v>20</v>
      </c>
      <c r="I226" t="s">
        <v>21</v>
      </c>
      <c r="J226" t="s">
        <v>6</v>
      </c>
      <c r="K226" t="s">
        <v>83</v>
      </c>
      <c r="L226" s="3">
        <v>46029</v>
      </c>
      <c r="M226" t="s">
        <v>193</v>
      </c>
      <c r="N226">
        <v>17230234</v>
      </c>
      <c r="O226">
        <v>3</v>
      </c>
      <c r="P226" t="s">
        <v>1577</v>
      </c>
      <c r="Q226">
        <v>1</v>
      </c>
      <c r="R226">
        <v>310.76</v>
      </c>
      <c r="U226">
        <v>36</v>
      </c>
      <c r="W226" t="s">
        <v>1448</v>
      </c>
      <c r="Y226">
        <v>0</v>
      </c>
      <c r="Z226">
        <v>0</v>
      </c>
      <c r="AA226" t="s">
        <v>98</v>
      </c>
      <c r="AB226" t="s">
        <v>1578</v>
      </c>
      <c r="AC226">
        <v>0</v>
      </c>
      <c r="AD226" t="s">
        <v>1579</v>
      </c>
      <c r="AH226" t="s">
        <v>5</v>
      </c>
      <c r="AI226">
        <v>949247141</v>
      </c>
      <c r="AL226" t="s">
        <v>1580</v>
      </c>
      <c r="AO226" t="s">
        <v>1581</v>
      </c>
      <c r="AP226" t="s">
        <v>682</v>
      </c>
      <c r="AQ226" t="s">
        <v>92</v>
      </c>
      <c r="AR226" t="s">
        <v>1582</v>
      </c>
      <c r="AS226" t="s">
        <v>556</v>
      </c>
      <c r="AT226" t="s">
        <v>122</v>
      </c>
      <c r="AU226" t="s">
        <v>96</v>
      </c>
      <c r="AZ226" t="s">
        <v>111</v>
      </c>
      <c r="BA226" t="s">
        <v>99</v>
      </c>
      <c r="BB226" t="s">
        <v>1583</v>
      </c>
      <c r="BC226" t="s">
        <v>182</v>
      </c>
      <c r="BD226" t="s">
        <v>443</v>
      </c>
      <c r="BE226">
        <v>2022</v>
      </c>
      <c r="BF226">
        <v>2022</v>
      </c>
    </row>
    <row r="227" spans="1:58">
      <c r="A227">
        <v>1987363</v>
      </c>
      <c r="B227">
        <v>248</v>
      </c>
      <c r="C227">
        <v>9</v>
      </c>
      <c r="D227">
        <v>6705793</v>
      </c>
      <c r="F227" t="s">
        <v>80</v>
      </c>
      <c r="G227" t="s">
        <v>81</v>
      </c>
      <c r="H227" t="s">
        <v>15</v>
      </c>
      <c r="I227" t="s">
        <v>16</v>
      </c>
      <c r="J227" t="s">
        <v>6</v>
      </c>
      <c r="K227" t="s">
        <v>83</v>
      </c>
      <c r="L227" s="3">
        <v>46029</v>
      </c>
      <c r="M227" t="s">
        <v>193</v>
      </c>
      <c r="N227">
        <v>15510095</v>
      </c>
      <c r="O227">
        <v>8</v>
      </c>
      <c r="P227" t="s">
        <v>1584</v>
      </c>
      <c r="Q227">
        <v>1</v>
      </c>
      <c r="R227">
        <v>836.53200000000004</v>
      </c>
      <c r="S227" t="s">
        <v>1585</v>
      </c>
      <c r="T227">
        <v>39</v>
      </c>
      <c r="U227">
        <v>39</v>
      </c>
      <c r="V227">
        <v>48</v>
      </c>
      <c r="W227" t="s">
        <v>1425</v>
      </c>
      <c r="X227" t="s">
        <v>87</v>
      </c>
      <c r="Y227">
        <v>718546</v>
      </c>
      <c r="Z227">
        <v>0</v>
      </c>
      <c r="AA227" t="s">
        <v>98</v>
      </c>
      <c r="AB227" t="s">
        <v>1586</v>
      </c>
      <c r="AC227">
        <v>8247334</v>
      </c>
      <c r="AD227" t="s">
        <v>1587</v>
      </c>
      <c r="AH227" t="s">
        <v>1428</v>
      </c>
      <c r="AI227">
        <v>931854060</v>
      </c>
      <c r="AL227" t="s">
        <v>1588</v>
      </c>
      <c r="AO227" t="s">
        <v>1589</v>
      </c>
      <c r="AP227" t="s">
        <v>314</v>
      </c>
      <c r="AQ227" t="s">
        <v>92</v>
      </c>
      <c r="AR227" t="s">
        <v>1470</v>
      </c>
      <c r="AS227" t="s">
        <v>752</v>
      </c>
      <c r="AT227" t="s">
        <v>122</v>
      </c>
      <c r="AU227" t="s">
        <v>96</v>
      </c>
      <c r="AZ227" t="s">
        <v>111</v>
      </c>
      <c r="BA227" t="s">
        <v>99</v>
      </c>
      <c r="BB227" t="s">
        <v>1590</v>
      </c>
      <c r="BC227" t="s">
        <v>375</v>
      </c>
      <c r="BD227" t="s">
        <v>1591</v>
      </c>
      <c r="BE227">
        <v>2022</v>
      </c>
      <c r="BF227">
        <v>2022</v>
      </c>
    </row>
    <row r="228" spans="1:58">
      <c r="A228">
        <v>2001950</v>
      </c>
      <c r="B228">
        <v>0</v>
      </c>
      <c r="D228">
        <v>4450281</v>
      </c>
      <c r="F228" t="s">
        <v>80</v>
      </c>
      <c r="G228" t="s">
        <v>81</v>
      </c>
      <c r="H228" t="s">
        <v>20</v>
      </c>
      <c r="I228" t="s">
        <v>21</v>
      </c>
      <c r="J228" t="s">
        <v>6</v>
      </c>
      <c r="K228" t="s">
        <v>83</v>
      </c>
      <c r="L228" s="3">
        <v>46029</v>
      </c>
      <c r="M228" t="s">
        <v>193</v>
      </c>
      <c r="N228">
        <v>13857831</v>
      </c>
      <c r="O228">
        <v>3</v>
      </c>
      <c r="P228" t="s">
        <v>1592</v>
      </c>
      <c r="Q228">
        <v>1</v>
      </c>
      <c r="R228">
        <v>301.25599999999997</v>
      </c>
      <c r="U228">
        <v>35</v>
      </c>
      <c r="W228" t="s">
        <v>1448</v>
      </c>
      <c r="Y228">
        <v>0</v>
      </c>
      <c r="Z228">
        <v>0</v>
      </c>
      <c r="AA228" t="s">
        <v>98</v>
      </c>
      <c r="AB228" t="s">
        <v>1593</v>
      </c>
      <c r="AC228">
        <v>0</v>
      </c>
      <c r="AD228" t="s">
        <v>1579</v>
      </c>
      <c r="AH228" t="s">
        <v>5</v>
      </c>
      <c r="AI228">
        <v>991266842</v>
      </c>
      <c r="AL228" t="s">
        <v>1594</v>
      </c>
      <c r="AO228" t="s">
        <v>1595</v>
      </c>
      <c r="AP228" t="s">
        <v>688</v>
      </c>
      <c r="AQ228" t="s">
        <v>299</v>
      </c>
      <c r="AR228" t="s">
        <v>1596</v>
      </c>
      <c r="AS228" t="s">
        <v>236</v>
      </c>
      <c r="AT228" t="s">
        <v>122</v>
      </c>
      <c r="AU228" t="s">
        <v>96</v>
      </c>
      <c r="AZ228" t="s">
        <v>111</v>
      </c>
      <c r="BA228" t="s">
        <v>99</v>
      </c>
      <c r="BB228" t="s">
        <v>1597</v>
      </c>
      <c r="BC228" t="s">
        <v>182</v>
      </c>
      <c r="BD228" t="s">
        <v>1598</v>
      </c>
      <c r="BE228">
        <v>2022</v>
      </c>
      <c r="BF228">
        <v>2022</v>
      </c>
    </row>
    <row r="229" spans="1:58">
      <c r="A229">
        <v>2003692</v>
      </c>
      <c r="B229">
        <v>89</v>
      </c>
      <c r="C229">
        <v>3</v>
      </c>
      <c r="D229">
        <v>2205064</v>
      </c>
      <c r="F229" t="s">
        <v>80</v>
      </c>
      <c r="G229" t="s">
        <v>81</v>
      </c>
      <c r="H229" t="s">
        <v>13</v>
      </c>
      <c r="I229" t="s">
        <v>22</v>
      </c>
      <c r="J229" t="s">
        <v>6</v>
      </c>
      <c r="K229" t="s">
        <v>83</v>
      </c>
      <c r="L229" s="3">
        <v>46029</v>
      </c>
      <c r="M229" t="s">
        <v>193</v>
      </c>
      <c r="N229">
        <v>11527231</v>
      </c>
      <c r="O229">
        <v>4</v>
      </c>
      <c r="P229" t="s">
        <v>1599</v>
      </c>
      <c r="Q229">
        <v>1</v>
      </c>
      <c r="R229">
        <v>399.39299999999997</v>
      </c>
      <c r="S229" t="s">
        <v>1600</v>
      </c>
      <c r="T229">
        <v>45</v>
      </c>
      <c r="U229">
        <v>42</v>
      </c>
      <c r="V229">
        <v>48</v>
      </c>
      <c r="W229" t="s">
        <v>1425</v>
      </c>
      <c r="X229" t="s">
        <v>1532</v>
      </c>
      <c r="Y229">
        <v>56327</v>
      </c>
      <c r="Z229">
        <v>100132</v>
      </c>
      <c r="AA229" t="s">
        <v>98</v>
      </c>
      <c r="AB229" t="s">
        <v>1601</v>
      </c>
      <c r="AC229">
        <v>1354638</v>
      </c>
      <c r="AD229" t="s">
        <v>1602</v>
      </c>
      <c r="AH229" t="s">
        <v>1439</v>
      </c>
      <c r="AI229">
        <v>9989865611</v>
      </c>
      <c r="AL229" t="s">
        <v>1603</v>
      </c>
      <c r="AO229" t="s">
        <v>1604</v>
      </c>
      <c r="AP229" t="s">
        <v>1605</v>
      </c>
      <c r="AQ229" t="s">
        <v>92</v>
      </c>
      <c r="AR229" t="s">
        <v>1606</v>
      </c>
      <c r="AS229" t="s">
        <v>198</v>
      </c>
      <c r="AT229" t="s">
        <v>141</v>
      </c>
      <c r="AU229" t="s">
        <v>96</v>
      </c>
      <c r="AW229" t="s">
        <v>410</v>
      </c>
      <c r="AX229" t="s">
        <v>1607</v>
      </c>
      <c r="AY229" t="s">
        <v>1608</v>
      </c>
      <c r="AZ229" t="s">
        <v>98</v>
      </c>
      <c r="BA229" t="s">
        <v>285</v>
      </c>
      <c r="BB229" t="s">
        <v>1609</v>
      </c>
      <c r="BC229" t="s">
        <v>164</v>
      </c>
      <c r="BD229" t="s">
        <v>1610</v>
      </c>
      <c r="BE229">
        <v>2016</v>
      </c>
      <c r="BF229">
        <v>2016</v>
      </c>
    </row>
    <row r="230" spans="1:58">
      <c r="A230">
        <v>2031687</v>
      </c>
      <c r="B230">
        <v>142</v>
      </c>
      <c r="C230">
        <v>5</v>
      </c>
      <c r="D230">
        <v>4941031</v>
      </c>
      <c r="F230" t="s">
        <v>80</v>
      </c>
      <c r="G230" t="s">
        <v>81</v>
      </c>
      <c r="H230" t="s">
        <v>12</v>
      </c>
      <c r="I230" t="s">
        <v>12</v>
      </c>
      <c r="J230" t="s">
        <v>6</v>
      </c>
      <c r="K230" t="s">
        <v>83</v>
      </c>
      <c r="L230" s="3">
        <v>46029</v>
      </c>
      <c r="M230" t="s">
        <v>193</v>
      </c>
      <c r="N230">
        <v>8509003</v>
      </c>
      <c r="O230">
        <v>8</v>
      </c>
      <c r="P230" t="s">
        <v>1611</v>
      </c>
      <c r="Q230">
        <v>1</v>
      </c>
      <c r="R230">
        <v>342.166</v>
      </c>
      <c r="S230" t="s">
        <v>1612</v>
      </c>
      <c r="T230">
        <v>42</v>
      </c>
      <c r="U230">
        <v>42</v>
      </c>
      <c r="V230">
        <v>60</v>
      </c>
      <c r="W230" t="s">
        <v>1448</v>
      </c>
      <c r="X230" t="s">
        <v>1532</v>
      </c>
      <c r="Y230">
        <v>113909</v>
      </c>
      <c r="Z230">
        <v>73164</v>
      </c>
      <c r="AA230" t="s">
        <v>98</v>
      </c>
      <c r="AB230" s="3">
        <v>44658</v>
      </c>
      <c r="AC230">
        <v>1897903</v>
      </c>
      <c r="AD230" t="s">
        <v>1602</v>
      </c>
      <c r="AH230" t="s">
        <v>1428</v>
      </c>
      <c r="AL230" t="s">
        <v>1613</v>
      </c>
      <c r="AO230" t="s">
        <v>1614</v>
      </c>
      <c r="AP230" t="s">
        <v>330</v>
      </c>
      <c r="AQ230" t="s">
        <v>92</v>
      </c>
      <c r="AR230" t="s">
        <v>1615</v>
      </c>
      <c r="AS230" t="s">
        <v>151</v>
      </c>
      <c r="AT230" t="s">
        <v>141</v>
      </c>
      <c r="AU230" t="s">
        <v>96</v>
      </c>
      <c r="AZ230" t="s">
        <v>98</v>
      </c>
      <c r="BA230" t="s">
        <v>99</v>
      </c>
      <c r="BB230" t="s">
        <v>1616</v>
      </c>
      <c r="BC230" t="s">
        <v>182</v>
      </c>
      <c r="BD230" t="s">
        <v>443</v>
      </c>
      <c r="BE230">
        <v>2022</v>
      </c>
      <c r="BF230">
        <v>2022</v>
      </c>
    </row>
    <row r="231" spans="1:58">
      <c r="A231">
        <v>2066274</v>
      </c>
      <c r="B231">
        <v>0</v>
      </c>
      <c r="D231">
        <v>5912265</v>
      </c>
      <c r="F231" t="s">
        <v>80</v>
      </c>
      <c r="G231" t="s">
        <v>81</v>
      </c>
      <c r="H231" t="s">
        <v>20</v>
      </c>
      <c r="I231" t="s">
        <v>21</v>
      </c>
      <c r="J231" t="s">
        <v>6</v>
      </c>
      <c r="K231" t="s">
        <v>83</v>
      </c>
      <c r="L231" s="3">
        <v>46029</v>
      </c>
      <c r="M231" t="s">
        <v>193</v>
      </c>
      <c r="N231">
        <v>25830245</v>
      </c>
      <c r="O231">
        <v>1</v>
      </c>
      <c r="P231" t="s">
        <v>1617</v>
      </c>
      <c r="Q231">
        <v>1</v>
      </c>
      <c r="R231">
        <v>324.48399999999998</v>
      </c>
      <c r="U231">
        <v>34</v>
      </c>
      <c r="W231" t="s">
        <v>1448</v>
      </c>
      <c r="Y231">
        <v>0</v>
      </c>
      <c r="Z231">
        <v>0</v>
      </c>
      <c r="AA231" t="s">
        <v>98</v>
      </c>
      <c r="AB231" t="s">
        <v>1618</v>
      </c>
      <c r="AC231">
        <v>0</v>
      </c>
      <c r="AD231" t="s">
        <v>1619</v>
      </c>
      <c r="AH231" t="s">
        <v>5</v>
      </c>
      <c r="AI231">
        <v>933067331</v>
      </c>
      <c r="AL231" t="s">
        <v>1620</v>
      </c>
      <c r="AO231" t="s">
        <v>1621</v>
      </c>
      <c r="AP231" t="s">
        <v>447</v>
      </c>
      <c r="AQ231" t="s">
        <v>92</v>
      </c>
      <c r="AR231" t="s">
        <v>1622</v>
      </c>
      <c r="AS231" t="s">
        <v>449</v>
      </c>
      <c r="AT231" t="s">
        <v>122</v>
      </c>
      <c r="AU231" t="s">
        <v>96</v>
      </c>
      <c r="AZ231" t="s">
        <v>111</v>
      </c>
      <c r="BA231" t="s">
        <v>99</v>
      </c>
      <c r="BB231" t="s">
        <v>1623</v>
      </c>
      <c r="BC231" t="s">
        <v>182</v>
      </c>
      <c r="BD231" t="s">
        <v>443</v>
      </c>
      <c r="BE231">
        <v>2022</v>
      </c>
      <c r="BF231">
        <v>2022</v>
      </c>
    </row>
    <row r="232" spans="1:58">
      <c r="A232">
        <v>2089303</v>
      </c>
      <c r="B232">
        <v>196</v>
      </c>
      <c r="C232">
        <v>7</v>
      </c>
      <c r="D232">
        <v>5601768</v>
      </c>
      <c r="F232" t="s">
        <v>80</v>
      </c>
      <c r="G232" t="s">
        <v>81</v>
      </c>
      <c r="H232" t="s">
        <v>13</v>
      </c>
      <c r="I232" t="s">
        <v>14</v>
      </c>
      <c r="J232" t="s">
        <v>6</v>
      </c>
      <c r="K232" t="s">
        <v>83</v>
      </c>
      <c r="L232" s="3">
        <v>46029</v>
      </c>
      <c r="M232" t="s">
        <v>193</v>
      </c>
      <c r="N232">
        <v>16281976</v>
      </c>
      <c r="O232">
        <v>3</v>
      </c>
      <c r="P232" t="s">
        <v>1624</v>
      </c>
      <c r="Q232">
        <v>1</v>
      </c>
      <c r="R232">
        <v>283.68200000000002</v>
      </c>
      <c r="S232" s="3">
        <v>46143</v>
      </c>
      <c r="T232">
        <v>39</v>
      </c>
      <c r="U232">
        <v>39</v>
      </c>
      <c r="V232">
        <v>49</v>
      </c>
      <c r="W232" t="s">
        <v>1448</v>
      </c>
      <c r="X232" t="s">
        <v>1532</v>
      </c>
      <c r="Y232">
        <v>175176</v>
      </c>
      <c r="Z232">
        <v>85067</v>
      </c>
      <c r="AA232" t="s">
        <v>98</v>
      </c>
      <c r="AB232" s="3">
        <v>44781</v>
      </c>
      <c r="AC232">
        <v>2246017</v>
      </c>
      <c r="AD232" t="s">
        <v>1619</v>
      </c>
      <c r="AH232" t="s">
        <v>1428</v>
      </c>
      <c r="AI232">
        <v>569204100200</v>
      </c>
      <c r="AL232" t="s">
        <v>1625</v>
      </c>
      <c r="AO232" t="s">
        <v>1626</v>
      </c>
      <c r="AP232" t="s">
        <v>206</v>
      </c>
      <c r="AQ232" t="s">
        <v>160</v>
      </c>
      <c r="AR232" t="s">
        <v>1627</v>
      </c>
      <c r="AS232" t="s">
        <v>346</v>
      </c>
      <c r="AT232" t="s">
        <v>141</v>
      </c>
      <c r="AU232" t="s">
        <v>96</v>
      </c>
      <c r="AV232" t="s">
        <v>1478</v>
      </c>
      <c r="AZ232" t="s">
        <v>98</v>
      </c>
      <c r="BA232" t="s">
        <v>99</v>
      </c>
      <c r="BB232" t="s">
        <v>1628</v>
      </c>
      <c r="BC232" t="s">
        <v>468</v>
      </c>
      <c r="BD232" t="s">
        <v>657</v>
      </c>
      <c r="BE232">
        <v>2022</v>
      </c>
      <c r="BF232">
        <v>2022</v>
      </c>
    </row>
    <row r="233" spans="1:58">
      <c r="A233">
        <v>2098963</v>
      </c>
      <c r="B233">
        <v>76</v>
      </c>
      <c r="C233">
        <v>3</v>
      </c>
      <c r="D233">
        <v>1175169</v>
      </c>
      <c r="F233" t="s">
        <v>80</v>
      </c>
      <c r="G233" t="s">
        <v>81</v>
      </c>
      <c r="H233" t="s">
        <v>19</v>
      </c>
      <c r="I233" t="s">
        <v>22</v>
      </c>
      <c r="J233" t="s">
        <v>6</v>
      </c>
      <c r="K233" t="s">
        <v>83</v>
      </c>
      <c r="L233" s="3">
        <v>46029</v>
      </c>
      <c r="M233" t="s">
        <v>1559</v>
      </c>
      <c r="N233">
        <v>11343555</v>
      </c>
      <c r="O233">
        <v>0</v>
      </c>
      <c r="P233" t="s">
        <v>1629</v>
      </c>
      <c r="Q233">
        <v>1</v>
      </c>
      <c r="R233">
        <v>253.024</v>
      </c>
      <c r="S233" s="3">
        <v>46147</v>
      </c>
      <c r="T233">
        <v>43</v>
      </c>
      <c r="U233">
        <v>43</v>
      </c>
      <c r="V233">
        <v>48</v>
      </c>
      <c r="W233" t="s">
        <v>1425</v>
      </c>
      <c r="Y233">
        <v>29425</v>
      </c>
      <c r="Z233">
        <v>0</v>
      </c>
      <c r="AA233" t="s">
        <v>98</v>
      </c>
      <c r="AB233" t="s">
        <v>1630</v>
      </c>
      <c r="AC233">
        <v>788497</v>
      </c>
      <c r="AD233" t="s">
        <v>1631</v>
      </c>
      <c r="AG233" t="s">
        <v>1523</v>
      </c>
      <c r="AH233" t="s">
        <v>1428</v>
      </c>
      <c r="AI233">
        <v>950034815</v>
      </c>
      <c r="AL233" t="s">
        <v>1632</v>
      </c>
      <c r="AO233" t="s">
        <v>1633</v>
      </c>
      <c r="AP233" t="s">
        <v>1634</v>
      </c>
      <c r="AQ233" t="s">
        <v>92</v>
      </c>
      <c r="AR233" t="s">
        <v>1635</v>
      </c>
      <c r="AS233" t="s">
        <v>243</v>
      </c>
      <c r="AT233" t="s">
        <v>74</v>
      </c>
      <c r="AU233" t="s">
        <v>96</v>
      </c>
      <c r="AZ233" t="s">
        <v>111</v>
      </c>
      <c r="BA233" t="s">
        <v>99</v>
      </c>
      <c r="BB233" t="s">
        <v>1636</v>
      </c>
      <c r="BC233" t="s">
        <v>164</v>
      </c>
      <c r="BD233" t="s">
        <v>238</v>
      </c>
      <c r="BE233">
        <v>2019</v>
      </c>
      <c r="BF233">
        <v>2019</v>
      </c>
    </row>
    <row r="234" spans="1:58">
      <c r="A234">
        <v>2115135</v>
      </c>
      <c r="B234">
        <v>80</v>
      </c>
      <c r="C234">
        <v>3</v>
      </c>
      <c r="D234">
        <v>4141885</v>
      </c>
      <c r="F234" t="s">
        <v>80</v>
      </c>
      <c r="G234" t="s">
        <v>81</v>
      </c>
      <c r="H234" t="s">
        <v>19</v>
      </c>
      <c r="I234" t="s">
        <v>22</v>
      </c>
      <c r="J234" t="s">
        <v>6</v>
      </c>
      <c r="K234" t="s">
        <v>83</v>
      </c>
      <c r="L234" s="3">
        <v>46029</v>
      </c>
      <c r="M234" t="s">
        <v>193</v>
      </c>
      <c r="N234">
        <v>13000431</v>
      </c>
      <c r="O234">
        <v>8</v>
      </c>
      <c r="P234" t="s">
        <v>1637</v>
      </c>
      <c r="Q234">
        <v>1</v>
      </c>
      <c r="R234">
        <v>279.25799999999998</v>
      </c>
      <c r="S234" s="3">
        <v>46027</v>
      </c>
      <c r="T234">
        <v>43</v>
      </c>
      <c r="U234">
        <v>43</v>
      </c>
      <c r="V234">
        <v>60</v>
      </c>
      <c r="W234" t="s">
        <v>156</v>
      </c>
      <c r="X234" t="s">
        <v>87</v>
      </c>
      <c r="Y234">
        <v>35279</v>
      </c>
      <c r="Z234">
        <v>39630</v>
      </c>
      <c r="AA234" t="s">
        <v>98</v>
      </c>
      <c r="AB234" t="s">
        <v>1638</v>
      </c>
      <c r="AC234">
        <v>912683</v>
      </c>
      <c r="AD234" t="s">
        <v>1437</v>
      </c>
      <c r="AG234" t="s">
        <v>1523</v>
      </c>
      <c r="AH234" t="s">
        <v>1428</v>
      </c>
      <c r="AI234">
        <v>931171452</v>
      </c>
      <c r="AL234" t="s">
        <v>1639</v>
      </c>
      <c r="AO234" t="s">
        <v>1640</v>
      </c>
      <c r="AP234" t="s">
        <v>800</v>
      </c>
      <c r="AQ234" t="s">
        <v>801</v>
      </c>
      <c r="AR234" t="s">
        <v>1257</v>
      </c>
      <c r="AS234" t="s">
        <v>284</v>
      </c>
      <c r="AT234" t="s">
        <v>141</v>
      </c>
      <c r="AU234" t="s">
        <v>96</v>
      </c>
      <c r="AZ234" t="s">
        <v>98</v>
      </c>
      <c r="BA234" t="s">
        <v>99</v>
      </c>
      <c r="BB234" t="s">
        <v>1641</v>
      </c>
      <c r="BC234" t="s">
        <v>164</v>
      </c>
      <c r="BD234" t="s">
        <v>1642</v>
      </c>
      <c r="BE234">
        <v>2021</v>
      </c>
      <c r="BF234">
        <v>2021</v>
      </c>
    </row>
    <row r="235" spans="1:58">
      <c r="A235">
        <v>2115261</v>
      </c>
      <c r="B235">
        <v>0</v>
      </c>
      <c r="D235">
        <v>4913764</v>
      </c>
      <c r="F235" t="s">
        <v>80</v>
      </c>
      <c r="G235" t="s">
        <v>81</v>
      </c>
      <c r="H235" t="s">
        <v>21</v>
      </c>
      <c r="I235" t="s">
        <v>21</v>
      </c>
      <c r="J235" t="s">
        <v>6</v>
      </c>
      <c r="K235" t="s">
        <v>83</v>
      </c>
      <c r="L235" s="3">
        <v>46029</v>
      </c>
      <c r="M235" t="s">
        <v>193</v>
      </c>
      <c r="N235">
        <v>25327784</v>
      </c>
      <c r="O235" t="s">
        <v>266</v>
      </c>
      <c r="P235" t="s">
        <v>1643</v>
      </c>
      <c r="Q235">
        <v>1</v>
      </c>
      <c r="R235">
        <v>397.15899999999999</v>
      </c>
      <c r="U235">
        <v>33</v>
      </c>
      <c r="W235" t="s">
        <v>1425</v>
      </c>
      <c r="Y235">
        <v>0</v>
      </c>
      <c r="Z235">
        <v>0</v>
      </c>
      <c r="AA235" t="s">
        <v>98</v>
      </c>
      <c r="AB235" t="s">
        <v>1644</v>
      </c>
      <c r="AC235">
        <v>0</v>
      </c>
      <c r="AD235" t="s">
        <v>1631</v>
      </c>
      <c r="AH235" t="s">
        <v>5</v>
      </c>
      <c r="AI235">
        <v>954884229</v>
      </c>
      <c r="AL235" t="s">
        <v>1645</v>
      </c>
      <c r="AO235" t="s">
        <v>1646</v>
      </c>
      <c r="AP235" t="s">
        <v>742</v>
      </c>
      <c r="AQ235" t="s">
        <v>92</v>
      </c>
      <c r="AR235" t="s">
        <v>959</v>
      </c>
      <c r="AS235" t="s">
        <v>162</v>
      </c>
      <c r="AT235" t="s">
        <v>244</v>
      </c>
      <c r="AU235" t="s">
        <v>96</v>
      </c>
      <c r="AZ235" t="s">
        <v>111</v>
      </c>
      <c r="BA235" t="s">
        <v>99</v>
      </c>
      <c r="BB235" t="s">
        <v>1647</v>
      </c>
      <c r="BC235" t="s">
        <v>769</v>
      </c>
      <c r="BD235" t="s">
        <v>1648</v>
      </c>
      <c r="BE235">
        <v>2022</v>
      </c>
      <c r="BF235">
        <v>2022</v>
      </c>
    </row>
    <row r="236" spans="1:58">
      <c r="A236">
        <v>2129309</v>
      </c>
      <c r="B236">
        <v>76</v>
      </c>
      <c r="C236">
        <v>3</v>
      </c>
      <c r="D236">
        <v>4460019</v>
      </c>
      <c r="F236" t="s">
        <v>80</v>
      </c>
      <c r="G236" t="s">
        <v>81</v>
      </c>
      <c r="H236" t="s">
        <v>19</v>
      </c>
      <c r="I236" t="s">
        <v>22</v>
      </c>
      <c r="J236" t="s">
        <v>6</v>
      </c>
      <c r="K236" t="s">
        <v>83</v>
      </c>
      <c r="L236" s="3">
        <v>46029</v>
      </c>
      <c r="M236" t="s">
        <v>193</v>
      </c>
      <c r="N236">
        <v>17927470</v>
      </c>
      <c r="O236">
        <v>1</v>
      </c>
      <c r="P236" t="s">
        <v>1649</v>
      </c>
      <c r="Q236">
        <v>1</v>
      </c>
      <c r="R236">
        <v>284.09500000000003</v>
      </c>
      <c r="S236" s="3">
        <v>46147</v>
      </c>
      <c r="T236">
        <v>43</v>
      </c>
      <c r="U236">
        <v>43</v>
      </c>
      <c r="V236">
        <v>49</v>
      </c>
      <c r="W236" t="s">
        <v>1448</v>
      </c>
      <c r="X236" t="s">
        <v>1532</v>
      </c>
      <c r="Y236">
        <v>33038</v>
      </c>
      <c r="Z236">
        <v>55150</v>
      </c>
      <c r="AA236" t="s">
        <v>98</v>
      </c>
      <c r="AB236" t="s">
        <v>1650</v>
      </c>
      <c r="AC236">
        <v>940473</v>
      </c>
      <c r="AD236" t="s">
        <v>1631</v>
      </c>
      <c r="AG236" t="s">
        <v>1523</v>
      </c>
      <c r="AH236" t="s">
        <v>1428</v>
      </c>
      <c r="AQ236" t="s">
        <v>92</v>
      </c>
      <c r="AR236" t="s">
        <v>1651</v>
      </c>
      <c r="AS236" t="s">
        <v>162</v>
      </c>
      <c r="AT236" t="s">
        <v>141</v>
      </c>
      <c r="AU236" t="s">
        <v>96</v>
      </c>
      <c r="AZ236" t="s">
        <v>98</v>
      </c>
      <c r="BA236" t="s">
        <v>99</v>
      </c>
      <c r="BB236" t="s">
        <v>1652</v>
      </c>
      <c r="BC236" t="s">
        <v>182</v>
      </c>
      <c r="BD236" t="s">
        <v>1653</v>
      </c>
      <c r="BE236">
        <v>2022</v>
      </c>
      <c r="BF236">
        <v>2022</v>
      </c>
    </row>
    <row r="237" spans="1:58">
      <c r="A237">
        <v>2142176</v>
      </c>
      <c r="B237">
        <v>195</v>
      </c>
      <c r="C237">
        <v>7</v>
      </c>
      <c r="D237">
        <v>1576260</v>
      </c>
      <c r="F237" t="s">
        <v>80</v>
      </c>
      <c r="G237" t="s">
        <v>81</v>
      </c>
      <c r="H237" t="s">
        <v>13</v>
      </c>
      <c r="I237" t="s">
        <v>14</v>
      </c>
      <c r="J237" t="s">
        <v>6</v>
      </c>
      <c r="K237" t="s">
        <v>83</v>
      </c>
      <c r="L237" s="3">
        <v>46029</v>
      </c>
      <c r="M237" t="s">
        <v>193</v>
      </c>
      <c r="N237">
        <v>17280965</v>
      </c>
      <c r="O237">
        <v>0</v>
      </c>
      <c r="P237" t="s">
        <v>1654</v>
      </c>
      <c r="Q237">
        <v>1</v>
      </c>
      <c r="R237">
        <v>228.678</v>
      </c>
      <c r="S237" s="3">
        <v>46174</v>
      </c>
      <c r="T237">
        <v>39</v>
      </c>
      <c r="U237">
        <v>39</v>
      </c>
      <c r="V237">
        <v>48</v>
      </c>
      <c r="W237" t="s">
        <v>1425</v>
      </c>
      <c r="Y237">
        <v>140691</v>
      </c>
      <c r="Z237">
        <v>0</v>
      </c>
      <c r="AA237" t="s">
        <v>98</v>
      </c>
      <c r="AB237" s="3">
        <v>44690</v>
      </c>
      <c r="AC237">
        <v>1546592</v>
      </c>
      <c r="AD237" t="s">
        <v>1655</v>
      </c>
      <c r="AH237" t="s">
        <v>1428</v>
      </c>
      <c r="AI237">
        <v>56959934118</v>
      </c>
      <c r="AL237" t="s">
        <v>1656</v>
      </c>
      <c r="AO237" t="s">
        <v>1657</v>
      </c>
      <c r="AP237" t="s">
        <v>902</v>
      </c>
      <c r="AQ237" t="s">
        <v>92</v>
      </c>
      <c r="AR237" t="s">
        <v>502</v>
      </c>
      <c r="AS237" t="s">
        <v>388</v>
      </c>
      <c r="AT237" t="s">
        <v>122</v>
      </c>
      <c r="AU237" t="s">
        <v>96</v>
      </c>
      <c r="AZ237" t="s">
        <v>111</v>
      </c>
      <c r="BA237" t="s">
        <v>99</v>
      </c>
      <c r="BB237" t="s">
        <v>1658</v>
      </c>
      <c r="BC237" t="s">
        <v>164</v>
      </c>
      <c r="BD237" t="s">
        <v>1659</v>
      </c>
      <c r="BE237">
        <v>2018</v>
      </c>
      <c r="BF237">
        <v>2018</v>
      </c>
    </row>
    <row r="238" spans="1:58">
      <c r="A238">
        <v>2168082</v>
      </c>
      <c r="B238">
        <v>322</v>
      </c>
      <c r="C238">
        <v>11</v>
      </c>
      <c r="D238">
        <v>2947686</v>
      </c>
      <c r="F238" t="s">
        <v>80</v>
      </c>
      <c r="G238" t="s">
        <v>81</v>
      </c>
      <c r="H238" t="s">
        <v>18</v>
      </c>
      <c r="I238" t="s">
        <v>18</v>
      </c>
      <c r="J238" t="s">
        <v>6</v>
      </c>
      <c r="K238" t="s">
        <v>83</v>
      </c>
      <c r="L238" s="3">
        <v>46029</v>
      </c>
      <c r="M238" t="s">
        <v>193</v>
      </c>
      <c r="N238">
        <v>17672065</v>
      </c>
      <c r="O238">
        <v>4</v>
      </c>
      <c r="P238" t="s">
        <v>1660</v>
      </c>
      <c r="Q238">
        <v>1</v>
      </c>
      <c r="R238">
        <v>252.31</v>
      </c>
      <c r="S238" s="3">
        <v>45666</v>
      </c>
      <c r="T238">
        <v>34</v>
      </c>
      <c r="U238">
        <v>34</v>
      </c>
      <c r="V238">
        <v>48</v>
      </c>
      <c r="W238" t="s">
        <v>1425</v>
      </c>
      <c r="X238" t="s">
        <v>87</v>
      </c>
      <c r="Y238">
        <v>399106</v>
      </c>
      <c r="Z238">
        <v>0</v>
      </c>
      <c r="AA238" t="s">
        <v>98</v>
      </c>
      <c r="AB238" t="s">
        <v>1661</v>
      </c>
      <c r="AC238">
        <v>3174516</v>
      </c>
      <c r="AD238" t="s">
        <v>1631</v>
      </c>
      <c r="AH238" t="s">
        <v>1428</v>
      </c>
      <c r="AI238">
        <v>956759002</v>
      </c>
      <c r="AL238" t="s">
        <v>1662</v>
      </c>
      <c r="AO238" t="s">
        <v>1663</v>
      </c>
      <c r="AP238" t="s">
        <v>1664</v>
      </c>
      <c r="AQ238" t="s">
        <v>92</v>
      </c>
      <c r="AR238" t="s">
        <v>1665</v>
      </c>
      <c r="AS238" t="s">
        <v>284</v>
      </c>
      <c r="AT238" t="s">
        <v>122</v>
      </c>
      <c r="AU238" t="s">
        <v>96</v>
      </c>
      <c r="AZ238" t="s">
        <v>111</v>
      </c>
      <c r="BA238" t="s">
        <v>99</v>
      </c>
      <c r="BB238" t="s">
        <v>1666</v>
      </c>
      <c r="BC238" t="s">
        <v>603</v>
      </c>
      <c r="BD238" t="s">
        <v>1667</v>
      </c>
      <c r="BE238">
        <v>2015</v>
      </c>
      <c r="BF238">
        <v>2015</v>
      </c>
    </row>
    <row r="239" spans="1:58">
      <c r="A239">
        <v>2200351</v>
      </c>
      <c r="B239">
        <v>200</v>
      </c>
      <c r="C239">
        <v>7</v>
      </c>
      <c r="D239">
        <v>10057355</v>
      </c>
      <c r="F239" t="s">
        <v>80</v>
      </c>
      <c r="G239" t="s">
        <v>81</v>
      </c>
      <c r="H239" t="s">
        <v>13</v>
      </c>
      <c r="I239" t="s">
        <v>14</v>
      </c>
      <c r="J239" t="s">
        <v>6</v>
      </c>
      <c r="K239" t="s">
        <v>83</v>
      </c>
      <c r="L239" s="3">
        <v>46029</v>
      </c>
      <c r="M239" t="s">
        <v>193</v>
      </c>
      <c r="N239">
        <v>11630918</v>
      </c>
      <c r="O239">
        <v>1</v>
      </c>
      <c r="P239" t="s">
        <v>1668</v>
      </c>
      <c r="Q239">
        <v>1</v>
      </c>
      <c r="R239" t="s">
        <v>1669</v>
      </c>
      <c r="S239" s="3">
        <v>46023</v>
      </c>
      <c r="T239">
        <v>37</v>
      </c>
      <c r="U239">
        <v>37</v>
      </c>
      <c r="V239">
        <v>48</v>
      </c>
      <c r="W239" t="s">
        <v>1425</v>
      </c>
      <c r="X239" t="s">
        <v>1532</v>
      </c>
      <c r="Y239">
        <v>704528</v>
      </c>
      <c r="Z239">
        <v>315063</v>
      </c>
      <c r="AA239" t="s">
        <v>98</v>
      </c>
      <c r="AB239" t="s">
        <v>1670</v>
      </c>
      <c r="AC239">
        <v>8456636</v>
      </c>
      <c r="AD239" t="s">
        <v>1671</v>
      </c>
      <c r="AH239" t="s">
        <v>1428</v>
      </c>
      <c r="AI239">
        <v>56998176579</v>
      </c>
      <c r="AL239" t="s">
        <v>1672</v>
      </c>
      <c r="AO239" t="s">
        <v>1673</v>
      </c>
      <c r="AP239" t="s">
        <v>735</v>
      </c>
      <c r="AQ239" t="s">
        <v>92</v>
      </c>
      <c r="AR239" t="s">
        <v>1674</v>
      </c>
      <c r="AS239" t="s">
        <v>121</v>
      </c>
      <c r="AT239" t="s">
        <v>141</v>
      </c>
      <c r="AU239" t="s">
        <v>96</v>
      </c>
      <c r="AZ239" t="s">
        <v>98</v>
      </c>
      <c r="BA239" t="s">
        <v>99</v>
      </c>
      <c r="BB239" t="s">
        <v>1675</v>
      </c>
      <c r="BC239" t="s">
        <v>825</v>
      </c>
      <c r="BD239" t="s">
        <v>1676</v>
      </c>
      <c r="BE239">
        <v>2023</v>
      </c>
      <c r="BF239">
        <v>2023</v>
      </c>
    </row>
    <row r="240" spans="1:58">
      <c r="A240">
        <v>2230201</v>
      </c>
      <c r="B240">
        <v>284</v>
      </c>
      <c r="C240">
        <v>3</v>
      </c>
      <c r="D240">
        <v>12205081</v>
      </c>
      <c r="F240" t="s">
        <v>80</v>
      </c>
      <c r="G240" t="s">
        <v>81</v>
      </c>
      <c r="H240" t="s">
        <v>16</v>
      </c>
      <c r="I240" t="s">
        <v>17</v>
      </c>
      <c r="J240" t="s">
        <v>6</v>
      </c>
      <c r="K240" t="s">
        <v>83</v>
      </c>
      <c r="L240" s="3">
        <v>46029</v>
      </c>
      <c r="M240" t="s">
        <v>193</v>
      </c>
      <c r="N240">
        <v>22215988</v>
      </c>
      <c r="O240">
        <v>1</v>
      </c>
      <c r="P240" t="s">
        <v>1677</v>
      </c>
      <c r="Q240">
        <v>1</v>
      </c>
      <c r="R240">
        <v>859.80799999999999</v>
      </c>
      <c r="S240" s="3">
        <v>45910</v>
      </c>
      <c r="T240">
        <v>34</v>
      </c>
      <c r="U240">
        <v>34</v>
      </c>
      <c r="V240">
        <v>37</v>
      </c>
      <c r="W240" t="s">
        <v>1425</v>
      </c>
      <c r="Y240">
        <v>2629531</v>
      </c>
      <c r="Z240">
        <v>0</v>
      </c>
      <c r="AA240" t="s">
        <v>98</v>
      </c>
      <c r="AB240" s="3">
        <v>44784</v>
      </c>
      <c r="AC240">
        <v>5208955</v>
      </c>
      <c r="AD240" t="s">
        <v>1678</v>
      </c>
      <c r="AH240" t="s">
        <v>1428</v>
      </c>
      <c r="AI240">
        <v>983113468</v>
      </c>
      <c r="AL240" t="s">
        <v>1679</v>
      </c>
      <c r="AO240" t="s">
        <v>1680</v>
      </c>
      <c r="AP240" t="s">
        <v>1681</v>
      </c>
      <c r="AQ240" t="s">
        <v>434</v>
      </c>
      <c r="AR240" t="s">
        <v>1682</v>
      </c>
      <c r="AS240" t="s">
        <v>560</v>
      </c>
      <c r="AT240" t="s">
        <v>122</v>
      </c>
      <c r="AU240" t="s">
        <v>96</v>
      </c>
      <c r="AZ240" t="s">
        <v>111</v>
      </c>
      <c r="BA240" t="s">
        <v>99</v>
      </c>
      <c r="BB240" t="s">
        <v>1683</v>
      </c>
      <c r="BC240" t="s">
        <v>191</v>
      </c>
      <c r="BD240" t="s">
        <v>1684</v>
      </c>
      <c r="BE240">
        <v>2023</v>
      </c>
      <c r="BF240">
        <v>2023</v>
      </c>
    </row>
    <row r="241" spans="1:58">
      <c r="A241">
        <v>2239603</v>
      </c>
      <c r="B241">
        <v>0</v>
      </c>
      <c r="D241">
        <v>3208338</v>
      </c>
      <c r="F241" t="s">
        <v>80</v>
      </c>
      <c r="G241" t="s">
        <v>81</v>
      </c>
      <c r="H241" t="s">
        <v>20</v>
      </c>
      <c r="I241" t="s">
        <v>21</v>
      </c>
      <c r="J241" t="s">
        <v>6</v>
      </c>
      <c r="K241" t="s">
        <v>83</v>
      </c>
      <c r="L241" s="3">
        <v>46029</v>
      </c>
      <c r="M241" t="s">
        <v>193</v>
      </c>
      <c r="N241">
        <v>26639190</v>
      </c>
      <c r="O241">
        <v>0</v>
      </c>
      <c r="P241" t="s">
        <v>1685</v>
      </c>
      <c r="Q241">
        <v>1</v>
      </c>
      <c r="R241">
        <v>241.72300000000001</v>
      </c>
      <c r="U241">
        <v>31</v>
      </c>
      <c r="W241" t="s">
        <v>1425</v>
      </c>
      <c r="X241" t="s">
        <v>87</v>
      </c>
      <c r="Y241">
        <v>0</v>
      </c>
      <c r="Z241">
        <v>0</v>
      </c>
      <c r="AA241" t="s">
        <v>98</v>
      </c>
      <c r="AB241" t="s">
        <v>1686</v>
      </c>
      <c r="AC241">
        <v>0</v>
      </c>
      <c r="AD241" t="s">
        <v>1687</v>
      </c>
      <c r="AH241" t="s">
        <v>5</v>
      </c>
      <c r="AI241">
        <v>920386664</v>
      </c>
      <c r="AL241" t="s">
        <v>1688</v>
      </c>
      <c r="AO241" t="s">
        <v>1689</v>
      </c>
      <c r="AP241" t="s">
        <v>107</v>
      </c>
      <c r="AQ241" t="s">
        <v>92</v>
      </c>
      <c r="AR241" t="s">
        <v>662</v>
      </c>
      <c r="AS241" t="s">
        <v>323</v>
      </c>
      <c r="AT241" t="s">
        <v>122</v>
      </c>
      <c r="AU241" t="s">
        <v>96</v>
      </c>
      <c r="AZ241" t="s">
        <v>111</v>
      </c>
      <c r="BA241" t="s">
        <v>99</v>
      </c>
      <c r="BB241" t="s">
        <v>1690</v>
      </c>
      <c r="BC241" t="s">
        <v>278</v>
      </c>
      <c r="BD241" t="s">
        <v>1691</v>
      </c>
      <c r="BE241">
        <v>2021</v>
      </c>
      <c r="BF241">
        <v>2021</v>
      </c>
    </row>
    <row r="242" spans="1:58">
      <c r="A242">
        <v>2241488</v>
      </c>
      <c r="B242">
        <v>44</v>
      </c>
      <c r="C242">
        <v>2</v>
      </c>
      <c r="D242">
        <v>3599339</v>
      </c>
      <c r="F242" t="s">
        <v>80</v>
      </c>
      <c r="G242" t="s">
        <v>81</v>
      </c>
      <c r="H242" s="527">
        <v>46052</v>
      </c>
      <c r="I242" t="s">
        <v>19</v>
      </c>
      <c r="J242" t="s">
        <v>6</v>
      </c>
      <c r="K242" t="s">
        <v>83</v>
      </c>
      <c r="L242" s="3">
        <v>46029</v>
      </c>
      <c r="M242" t="s">
        <v>1559</v>
      </c>
      <c r="N242">
        <v>26712476</v>
      </c>
      <c r="O242">
        <v>0</v>
      </c>
      <c r="P242" t="s">
        <v>1692</v>
      </c>
      <c r="Q242">
        <v>1</v>
      </c>
      <c r="R242">
        <v>217.214</v>
      </c>
      <c r="S242" s="3">
        <v>46179</v>
      </c>
      <c r="T242">
        <v>40</v>
      </c>
      <c r="U242">
        <v>40</v>
      </c>
      <c r="V242">
        <v>49</v>
      </c>
      <c r="W242" t="s">
        <v>1448</v>
      </c>
      <c r="X242" t="s">
        <v>1532</v>
      </c>
      <c r="Y242">
        <v>11360</v>
      </c>
      <c r="Z242">
        <v>0</v>
      </c>
      <c r="AA242" t="s">
        <v>98</v>
      </c>
      <c r="AB242" s="3">
        <v>44845</v>
      </c>
      <c r="AC242">
        <v>445788</v>
      </c>
      <c r="AD242" t="s">
        <v>1499</v>
      </c>
      <c r="AG242" t="s">
        <v>1523</v>
      </c>
      <c r="AH242" t="s">
        <v>1428</v>
      </c>
      <c r="AI242">
        <v>9777133970</v>
      </c>
      <c r="AJ242">
        <v>977713397</v>
      </c>
      <c r="AL242" t="s">
        <v>1693</v>
      </c>
      <c r="AO242" t="s">
        <v>1694</v>
      </c>
      <c r="AP242" t="s">
        <v>608</v>
      </c>
      <c r="AQ242" t="s">
        <v>92</v>
      </c>
      <c r="AR242" t="s">
        <v>1695</v>
      </c>
      <c r="AS242" t="s">
        <v>367</v>
      </c>
      <c r="AT242" t="s">
        <v>74</v>
      </c>
      <c r="AU242" t="s">
        <v>96</v>
      </c>
      <c r="AW242" t="s">
        <v>410</v>
      </c>
      <c r="AX242" t="s">
        <v>1443</v>
      </c>
      <c r="AY242" s="3">
        <v>46060</v>
      </c>
      <c r="AZ242" t="s">
        <v>111</v>
      </c>
      <c r="BA242" t="s">
        <v>285</v>
      </c>
      <c r="BB242" t="s">
        <v>1696</v>
      </c>
      <c r="BC242" t="s">
        <v>287</v>
      </c>
      <c r="BD242" t="s">
        <v>288</v>
      </c>
      <c r="BE242">
        <v>2023</v>
      </c>
      <c r="BF242">
        <v>2023</v>
      </c>
    </row>
    <row r="243" spans="1:58">
      <c r="A243">
        <v>2254807</v>
      </c>
      <c r="B243">
        <v>165</v>
      </c>
      <c r="C243">
        <v>1</v>
      </c>
      <c r="D243">
        <v>3432891</v>
      </c>
      <c r="F243" t="s">
        <v>80</v>
      </c>
      <c r="G243" t="s">
        <v>81</v>
      </c>
      <c r="H243" t="s">
        <v>12</v>
      </c>
      <c r="I243" t="s">
        <v>13</v>
      </c>
      <c r="J243" t="s">
        <v>6</v>
      </c>
      <c r="K243" t="s">
        <v>83</v>
      </c>
      <c r="L243" s="3">
        <v>46029</v>
      </c>
      <c r="M243" t="s">
        <v>193</v>
      </c>
      <c r="N243">
        <v>26889381</v>
      </c>
      <c r="O243">
        <v>4</v>
      </c>
      <c r="P243" t="s">
        <v>1697</v>
      </c>
      <c r="Q243">
        <v>1</v>
      </c>
      <c r="R243">
        <v>243.65199999999999</v>
      </c>
      <c r="S243" s="3">
        <v>46144</v>
      </c>
      <c r="T243">
        <v>36</v>
      </c>
      <c r="U243">
        <v>36</v>
      </c>
      <c r="V243">
        <v>37</v>
      </c>
      <c r="W243" t="s">
        <v>1448</v>
      </c>
      <c r="X243" t="s">
        <v>1449</v>
      </c>
      <c r="Y243">
        <v>520657</v>
      </c>
      <c r="Z243">
        <v>9721</v>
      </c>
      <c r="AA243" t="s">
        <v>98</v>
      </c>
      <c r="AB243" t="s">
        <v>1698</v>
      </c>
      <c r="AC243">
        <v>4031578</v>
      </c>
      <c r="AD243" t="s">
        <v>1499</v>
      </c>
      <c r="AH243" t="s">
        <v>1428</v>
      </c>
      <c r="AI243">
        <v>940925855</v>
      </c>
      <c r="AL243" t="s">
        <v>1699</v>
      </c>
      <c r="AO243" t="s">
        <v>1700</v>
      </c>
      <c r="AP243" t="s">
        <v>107</v>
      </c>
      <c r="AQ243" t="s">
        <v>92</v>
      </c>
      <c r="AR243" t="s">
        <v>1701</v>
      </c>
      <c r="AS243" t="s">
        <v>208</v>
      </c>
      <c r="AT243" t="s">
        <v>141</v>
      </c>
      <c r="AU243" t="s">
        <v>96</v>
      </c>
      <c r="AZ243" t="s">
        <v>98</v>
      </c>
      <c r="BA243" t="s">
        <v>99</v>
      </c>
      <c r="BB243" t="s">
        <v>1702</v>
      </c>
      <c r="BC243" t="s">
        <v>287</v>
      </c>
      <c r="BD243" t="s">
        <v>288</v>
      </c>
      <c r="BE243">
        <v>2023</v>
      </c>
      <c r="BF243">
        <v>2023</v>
      </c>
    </row>
    <row r="244" spans="1:58">
      <c r="A244">
        <v>2256689</v>
      </c>
      <c r="B244">
        <v>349</v>
      </c>
      <c r="C244">
        <v>6</v>
      </c>
      <c r="D244">
        <v>4675518</v>
      </c>
      <c r="F244" t="s">
        <v>80</v>
      </c>
      <c r="G244" t="s">
        <v>81</v>
      </c>
      <c r="H244" t="s">
        <v>18</v>
      </c>
      <c r="I244" t="s">
        <v>20</v>
      </c>
      <c r="J244" t="s">
        <v>6</v>
      </c>
      <c r="K244" t="s">
        <v>83</v>
      </c>
      <c r="L244" s="3">
        <v>46029</v>
      </c>
      <c r="M244" t="s">
        <v>193</v>
      </c>
      <c r="N244">
        <v>14201742</v>
      </c>
      <c r="O244">
        <v>3</v>
      </c>
      <c r="P244" t="s">
        <v>1703</v>
      </c>
      <c r="Q244">
        <v>1</v>
      </c>
      <c r="R244">
        <v>264.19499999999999</v>
      </c>
      <c r="S244" s="3">
        <v>45785</v>
      </c>
      <c r="T244">
        <v>31</v>
      </c>
      <c r="U244">
        <v>31</v>
      </c>
      <c r="V244">
        <v>37</v>
      </c>
      <c r="W244" t="s">
        <v>1448</v>
      </c>
      <c r="X244" t="s">
        <v>87</v>
      </c>
      <c r="Y244">
        <v>1046966</v>
      </c>
      <c r="Z244">
        <v>0</v>
      </c>
      <c r="AA244" t="s">
        <v>98</v>
      </c>
      <c r="AB244" t="s">
        <v>1704</v>
      </c>
      <c r="AC244">
        <v>2632136</v>
      </c>
      <c r="AD244" t="s">
        <v>1705</v>
      </c>
      <c r="AH244" t="s">
        <v>1428</v>
      </c>
      <c r="AI244">
        <v>9869649910</v>
      </c>
      <c r="AL244" t="s">
        <v>1706</v>
      </c>
      <c r="AO244" t="s">
        <v>1707</v>
      </c>
      <c r="AP244" t="s">
        <v>723</v>
      </c>
      <c r="AQ244" t="s">
        <v>724</v>
      </c>
      <c r="AR244" t="s">
        <v>1708</v>
      </c>
      <c r="AS244" t="s">
        <v>767</v>
      </c>
      <c r="AT244" t="s">
        <v>122</v>
      </c>
      <c r="AU244" t="s">
        <v>96</v>
      </c>
      <c r="AZ244" t="s">
        <v>111</v>
      </c>
      <c r="BA244" t="s">
        <v>99</v>
      </c>
      <c r="BB244" t="s">
        <v>1709</v>
      </c>
      <c r="BC244" t="s">
        <v>200</v>
      </c>
      <c r="BD244" t="s">
        <v>201</v>
      </c>
      <c r="BE244">
        <v>2023</v>
      </c>
      <c r="BF244">
        <v>2023</v>
      </c>
    </row>
    <row r="245" spans="1:58">
      <c r="A245">
        <v>2260311</v>
      </c>
      <c r="B245">
        <v>227</v>
      </c>
      <c r="C245">
        <v>2</v>
      </c>
      <c r="D245">
        <v>4097458</v>
      </c>
      <c r="F245" t="s">
        <v>80</v>
      </c>
      <c r="G245" t="s">
        <v>81</v>
      </c>
      <c r="H245" t="s">
        <v>14</v>
      </c>
      <c r="I245" t="s">
        <v>15</v>
      </c>
      <c r="J245" t="s">
        <v>6</v>
      </c>
      <c r="K245" t="s">
        <v>83</v>
      </c>
      <c r="L245" s="3">
        <v>46029</v>
      </c>
      <c r="M245" t="s">
        <v>193</v>
      </c>
      <c r="N245">
        <v>13284274</v>
      </c>
      <c r="O245">
        <v>4</v>
      </c>
      <c r="P245" t="s">
        <v>1710</v>
      </c>
      <c r="Q245">
        <v>1</v>
      </c>
      <c r="R245">
        <v>260.94099999999997</v>
      </c>
      <c r="S245" s="3">
        <v>45789</v>
      </c>
      <c r="T245">
        <v>35</v>
      </c>
      <c r="U245">
        <v>35</v>
      </c>
      <c r="V245">
        <v>37</v>
      </c>
      <c r="W245" t="s">
        <v>1448</v>
      </c>
      <c r="X245" t="s">
        <v>1449</v>
      </c>
      <c r="Y245">
        <v>758507</v>
      </c>
      <c r="Z245">
        <v>9721</v>
      </c>
      <c r="AA245" t="s">
        <v>98</v>
      </c>
      <c r="AB245" t="s">
        <v>1711</v>
      </c>
      <c r="AC245">
        <v>1290110</v>
      </c>
      <c r="AD245" t="s">
        <v>1499</v>
      </c>
      <c r="AH245" t="s">
        <v>1428</v>
      </c>
      <c r="AO245" t="s">
        <v>1712</v>
      </c>
      <c r="AP245" t="s">
        <v>735</v>
      </c>
      <c r="AQ245" t="s">
        <v>92</v>
      </c>
      <c r="AR245" t="s">
        <v>1713</v>
      </c>
      <c r="AS245" t="s">
        <v>367</v>
      </c>
      <c r="AT245" t="s">
        <v>141</v>
      </c>
      <c r="AU245" t="s">
        <v>96</v>
      </c>
      <c r="AZ245" t="s">
        <v>98</v>
      </c>
      <c r="BA245" t="s">
        <v>99</v>
      </c>
      <c r="BB245" t="s">
        <v>1714</v>
      </c>
      <c r="BC245" t="s">
        <v>200</v>
      </c>
      <c r="BD245" t="s">
        <v>623</v>
      </c>
      <c r="BE245">
        <v>2023</v>
      </c>
      <c r="BF245">
        <v>2023</v>
      </c>
    </row>
    <row r="246" spans="1:58">
      <c r="A246">
        <v>2280501</v>
      </c>
      <c r="B246">
        <v>0</v>
      </c>
      <c r="D246">
        <v>5003247</v>
      </c>
      <c r="F246" t="s">
        <v>80</v>
      </c>
      <c r="G246" t="s">
        <v>81</v>
      </c>
      <c r="H246" t="s">
        <v>21</v>
      </c>
      <c r="I246" t="s">
        <v>21</v>
      </c>
      <c r="J246" t="s">
        <v>6</v>
      </c>
      <c r="K246" t="s">
        <v>83</v>
      </c>
      <c r="L246" s="3">
        <v>46029</v>
      </c>
      <c r="M246" t="s">
        <v>193</v>
      </c>
      <c r="N246">
        <v>15484017</v>
      </c>
      <c r="O246">
        <v>6</v>
      </c>
      <c r="P246" t="s">
        <v>1715</v>
      </c>
      <c r="Q246">
        <v>1</v>
      </c>
      <c r="R246">
        <v>339.476</v>
      </c>
      <c r="U246">
        <v>29</v>
      </c>
      <c r="W246" t="s">
        <v>1425</v>
      </c>
      <c r="Y246">
        <v>0</v>
      </c>
      <c r="Z246">
        <v>0</v>
      </c>
      <c r="AA246" t="s">
        <v>98</v>
      </c>
      <c r="AB246" t="s">
        <v>1716</v>
      </c>
      <c r="AC246">
        <v>0</v>
      </c>
      <c r="AD246" t="s">
        <v>1717</v>
      </c>
      <c r="AH246" t="s">
        <v>5</v>
      </c>
      <c r="AI246">
        <v>998714827</v>
      </c>
      <c r="AL246" t="s">
        <v>1718</v>
      </c>
      <c r="AO246" t="s">
        <v>1719</v>
      </c>
      <c r="AP246" t="s">
        <v>952</v>
      </c>
      <c r="AQ246" t="s">
        <v>92</v>
      </c>
      <c r="AR246" t="s">
        <v>1720</v>
      </c>
      <c r="AS246" t="s">
        <v>293</v>
      </c>
      <c r="AT246" t="s">
        <v>122</v>
      </c>
      <c r="AU246" t="s">
        <v>96</v>
      </c>
      <c r="AZ246" t="s">
        <v>111</v>
      </c>
      <c r="BA246" t="s">
        <v>99</v>
      </c>
      <c r="BB246" t="s">
        <v>1721</v>
      </c>
      <c r="BC246" t="s">
        <v>191</v>
      </c>
      <c r="BD246" t="s">
        <v>1722</v>
      </c>
      <c r="BE246">
        <v>2020</v>
      </c>
      <c r="BF246">
        <v>2020</v>
      </c>
    </row>
    <row r="247" spans="1:58">
      <c r="A247">
        <v>2280594</v>
      </c>
      <c r="B247">
        <v>280</v>
      </c>
      <c r="C247">
        <v>6</v>
      </c>
      <c r="D247">
        <v>4856447</v>
      </c>
      <c r="F247" t="s">
        <v>80</v>
      </c>
      <c r="G247" t="s">
        <v>81</v>
      </c>
      <c r="H247" t="s">
        <v>16</v>
      </c>
      <c r="I247" t="s">
        <v>17</v>
      </c>
      <c r="J247" t="s">
        <v>6</v>
      </c>
      <c r="K247" t="s">
        <v>83</v>
      </c>
      <c r="L247" s="3">
        <v>46029</v>
      </c>
      <c r="M247" t="s">
        <v>193</v>
      </c>
      <c r="N247">
        <v>16846660</v>
      </c>
      <c r="O247">
        <v>9</v>
      </c>
      <c r="P247" t="s">
        <v>1723</v>
      </c>
      <c r="Q247">
        <v>1</v>
      </c>
      <c r="R247">
        <v>303.13200000000001</v>
      </c>
      <c r="S247" t="s">
        <v>1724</v>
      </c>
      <c r="T247">
        <v>31</v>
      </c>
      <c r="U247">
        <v>31</v>
      </c>
      <c r="V247">
        <v>37</v>
      </c>
      <c r="W247" t="s">
        <v>1448</v>
      </c>
      <c r="X247" t="s">
        <v>87</v>
      </c>
      <c r="Y247">
        <v>763533</v>
      </c>
      <c r="Z247">
        <v>0</v>
      </c>
      <c r="AA247" t="s">
        <v>98</v>
      </c>
      <c r="AB247" s="3">
        <v>44907</v>
      </c>
      <c r="AC247">
        <v>2582325</v>
      </c>
      <c r="AD247" t="s">
        <v>1705</v>
      </c>
      <c r="AH247" t="s">
        <v>1428</v>
      </c>
      <c r="AI247">
        <v>957335187</v>
      </c>
      <c r="AL247" t="s">
        <v>1725</v>
      </c>
      <c r="AO247" t="s">
        <v>1726</v>
      </c>
      <c r="AP247" t="s">
        <v>723</v>
      </c>
      <c r="AQ247" t="s">
        <v>724</v>
      </c>
      <c r="AR247" t="s">
        <v>1727</v>
      </c>
      <c r="AS247" t="s">
        <v>228</v>
      </c>
      <c r="AT247" t="s">
        <v>122</v>
      </c>
      <c r="AU247" t="s">
        <v>96</v>
      </c>
      <c r="AZ247" t="s">
        <v>111</v>
      </c>
      <c r="BA247" t="s">
        <v>99</v>
      </c>
      <c r="BB247" t="s">
        <v>1728</v>
      </c>
      <c r="BC247" t="s">
        <v>200</v>
      </c>
      <c r="BD247" t="s">
        <v>201</v>
      </c>
      <c r="BE247">
        <v>2023</v>
      </c>
      <c r="BF247">
        <v>2023</v>
      </c>
    </row>
    <row r="248" spans="1:58">
      <c r="A248">
        <v>2282264</v>
      </c>
      <c r="B248">
        <v>165</v>
      </c>
      <c r="C248">
        <v>1</v>
      </c>
      <c r="D248">
        <v>7164225</v>
      </c>
      <c r="F248" t="s">
        <v>80</v>
      </c>
      <c r="G248" t="s">
        <v>81</v>
      </c>
      <c r="H248" t="s">
        <v>12</v>
      </c>
      <c r="I248" t="s">
        <v>13</v>
      </c>
      <c r="J248" t="s">
        <v>6</v>
      </c>
      <c r="K248" t="s">
        <v>83</v>
      </c>
      <c r="L248" s="3">
        <v>46029</v>
      </c>
      <c r="M248" t="s">
        <v>193</v>
      </c>
      <c r="N248">
        <v>11793873</v>
      </c>
      <c r="O248">
        <v>5</v>
      </c>
      <c r="P248" t="s">
        <v>1729</v>
      </c>
      <c r="Q248">
        <v>1</v>
      </c>
      <c r="R248">
        <v>363.61099999999999</v>
      </c>
      <c r="S248" s="3">
        <v>46144</v>
      </c>
      <c r="T248">
        <v>36</v>
      </c>
      <c r="U248">
        <v>36</v>
      </c>
      <c r="V248">
        <v>37</v>
      </c>
      <c r="W248" t="s">
        <v>1448</v>
      </c>
      <c r="X248" t="s">
        <v>1449</v>
      </c>
      <c r="Y248">
        <v>1086580</v>
      </c>
      <c r="Z248">
        <v>348342</v>
      </c>
      <c r="AA248" t="s">
        <v>98</v>
      </c>
      <c r="AB248" t="s">
        <v>1730</v>
      </c>
      <c r="AC248">
        <v>8741712</v>
      </c>
      <c r="AD248" t="s">
        <v>1499</v>
      </c>
      <c r="AH248" t="s">
        <v>1428</v>
      </c>
      <c r="AI248">
        <v>956164277</v>
      </c>
      <c r="AL248" t="s">
        <v>1731</v>
      </c>
      <c r="AO248" t="s">
        <v>1732</v>
      </c>
      <c r="AP248" t="s">
        <v>830</v>
      </c>
      <c r="AQ248" t="s">
        <v>92</v>
      </c>
      <c r="AR248" t="s">
        <v>1733</v>
      </c>
      <c r="AS248" t="s">
        <v>180</v>
      </c>
      <c r="AT248" t="s">
        <v>141</v>
      </c>
      <c r="AU248" t="s">
        <v>96</v>
      </c>
      <c r="AV248" t="s">
        <v>1478</v>
      </c>
      <c r="AZ248" t="s">
        <v>98</v>
      </c>
      <c r="BA248" t="s">
        <v>99</v>
      </c>
      <c r="BB248" t="s">
        <v>1734</v>
      </c>
      <c r="BC248" t="s">
        <v>309</v>
      </c>
      <c r="BD248" t="s">
        <v>1463</v>
      </c>
      <c r="BE248">
        <v>2023</v>
      </c>
      <c r="BF248">
        <v>2023</v>
      </c>
    </row>
    <row r="249" spans="1:58">
      <c r="A249">
        <v>2284509</v>
      </c>
      <c r="B249">
        <v>80</v>
      </c>
      <c r="C249">
        <v>3</v>
      </c>
      <c r="D249">
        <v>13837185</v>
      </c>
      <c r="F249" t="s">
        <v>80</v>
      </c>
      <c r="G249" t="s">
        <v>81</v>
      </c>
      <c r="H249" t="s">
        <v>22</v>
      </c>
      <c r="I249" t="s">
        <v>22</v>
      </c>
      <c r="J249" t="s">
        <v>6</v>
      </c>
      <c r="K249" t="s">
        <v>83</v>
      </c>
      <c r="L249" s="3">
        <v>46029</v>
      </c>
      <c r="M249" t="s">
        <v>193</v>
      </c>
      <c r="N249">
        <v>15465536</v>
      </c>
      <c r="O249">
        <v>0</v>
      </c>
      <c r="P249" t="s">
        <v>1735</v>
      </c>
      <c r="Q249">
        <v>1</v>
      </c>
      <c r="R249" t="s">
        <v>1736</v>
      </c>
      <c r="S249" s="3">
        <v>46027</v>
      </c>
      <c r="T249">
        <v>39</v>
      </c>
      <c r="U249">
        <v>38</v>
      </c>
      <c r="V249">
        <v>48</v>
      </c>
      <c r="W249" t="s">
        <v>1425</v>
      </c>
      <c r="X249" t="s">
        <v>87</v>
      </c>
      <c r="Y249">
        <v>212518</v>
      </c>
      <c r="Z249">
        <v>0</v>
      </c>
      <c r="AA249" t="s">
        <v>98</v>
      </c>
      <c r="AB249" t="s">
        <v>1737</v>
      </c>
      <c r="AC249">
        <v>4992415</v>
      </c>
      <c r="AD249" t="s">
        <v>1738</v>
      </c>
      <c r="AH249" t="s">
        <v>1439</v>
      </c>
      <c r="AI249">
        <v>988848373</v>
      </c>
      <c r="AL249" t="s">
        <v>1739</v>
      </c>
      <c r="AO249" t="s">
        <v>1740</v>
      </c>
      <c r="AP249" t="s">
        <v>330</v>
      </c>
      <c r="AQ249" t="s">
        <v>92</v>
      </c>
      <c r="AR249" t="s">
        <v>1741</v>
      </c>
      <c r="AS249" t="s">
        <v>449</v>
      </c>
      <c r="AT249" t="s">
        <v>122</v>
      </c>
      <c r="AU249" t="s">
        <v>96</v>
      </c>
      <c r="AZ249" t="s">
        <v>111</v>
      </c>
      <c r="BA249" t="s">
        <v>99</v>
      </c>
      <c r="BB249" t="s">
        <v>1742</v>
      </c>
      <c r="BC249" t="s">
        <v>769</v>
      </c>
      <c r="BD249" t="s">
        <v>1743</v>
      </c>
      <c r="BE249">
        <v>2023</v>
      </c>
      <c r="BF249">
        <v>2023</v>
      </c>
    </row>
    <row r="250" spans="1:58">
      <c r="A250">
        <v>2289960</v>
      </c>
      <c r="B250">
        <v>44</v>
      </c>
      <c r="C250">
        <v>2</v>
      </c>
      <c r="D250">
        <v>5871922</v>
      </c>
      <c r="F250" t="s">
        <v>80</v>
      </c>
      <c r="G250" t="s">
        <v>81</v>
      </c>
      <c r="H250" s="527">
        <v>46052</v>
      </c>
      <c r="I250" t="s">
        <v>19</v>
      </c>
      <c r="J250" t="s">
        <v>6</v>
      </c>
      <c r="K250" t="s">
        <v>83</v>
      </c>
      <c r="L250" s="3">
        <v>46029</v>
      </c>
      <c r="M250" t="s">
        <v>1559</v>
      </c>
      <c r="N250">
        <v>10126468</v>
      </c>
      <c r="O250">
        <v>8</v>
      </c>
      <c r="P250" t="s">
        <v>1744</v>
      </c>
      <c r="Q250">
        <v>1</v>
      </c>
      <c r="R250">
        <v>358.76100000000002</v>
      </c>
      <c r="S250" s="3">
        <v>46179</v>
      </c>
      <c r="T250">
        <v>40</v>
      </c>
      <c r="U250">
        <v>40</v>
      </c>
      <c r="V250">
        <v>60</v>
      </c>
      <c r="W250" t="s">
        <v>1448</v>
      </c>
      <c r="X250" t="s">
        <v>1532</v>
      </c>
      <c r="Y250">
        <v>19013</v>
      </c>
      <c r="Z250">
        <v>0</v>
      </c>
      <c r="AA250" t="s">
        <v>98</v>
      </c>
      <c r="AB250" t="s">
        <v>1745</v>
      </c>
      <c r="AC250">
        <v>736535</v>
      </c>
      <c r="AD250" t="s">
        <v>1499</v>
      </c>
      <c r="AG250" t="s">
        <v>1523</v>
      </c>
      <c r="AH250" t="s">
        <v>1428</v>
      </c>
      <c r="AI250">
        <v>983120948</v>
      </c>
      <c r="AL250" t="s">
        <v>1746</v>
      </c>
      <c r="AO250" t="s">
        <v>1747</v>
      </c>
      <c r="AP250" t="s">
        <v>1123</v>
      </c>
      <c r="AQ250" t="s">
        <v>188</v>
      </c>
      <c r="AR250" t="s">
        <v>360</v>
      </c>
      <c r="AS250" t="s">
        <v>455</v>
      </c>
      <c r="AT250" t="s">
        <v>74</v>
      </c>
      <c r="AU250" t="s">
        <v>96</v>
      </c>
      <c r="AW250" t="s">
        <v>410</v>
      </c>
      <c r="AX250" t="s">
        <v>1443</v>
      </c>
      <c r="AY250" s="3">
        <v>46060</v>
      </c>
      <c r="AZ250" t="s">
        <v>111</v>
      </c>
      <c r="BA250" t="s">
        <v>285</v>
      </c>
      <c r="BB250" t="s">
        <v>1748</v>
      </c>
      <c r="BC250" t="s">
        <v>182</v>
      </c>
      <c r="BD250" t="s">
        <v>1749</v>
      </c>
      <c r="BE250">
        <v>2023</v>
      </c>
      <c r="BF250">
        <v>2023</v>
      </c>
    </row>
    <row r="251" spans="1:58">
      <c r="A251">
        <v>2301351</v>
      </c>
      <c r="B251">
        <v>252</v>
      </c>
      <c r="C251">
        <v>9</v>
      </c>
      <c r="D251">
        <v>2354610</v>
      </c>
      <c r="F251" t="s">
        <v>80</v>
      </c>
      <c r="G251" t="s">
        <v>81</v>
      </c>
      <c r="H251" t="s">
        <v>15</v>
      </c>
      <c r="I251" t="s">
        <v>16</v>
      </c>
      <c r="J251" t="s">
        <v>6</v>
      </c>
      <c r="K251" t="s">
        <v>83</v>
      </c>
      <c r="L251" s="3">
        <v>46029</v>
      </c>
      <c r="M251" t="s">
        <v>193</v>
      </c>
      <c r="N251">
        <v>18808920</v>
      </c>
      <c r="O251">
        <v>8</v>
      </c>
      <c r="P251" t="s">
        <v>1750</v>
      </c>
      <c r="Q251">
        <v>1</v>
      </c>
      <c r="R251">
        <v>184.48400000000001</v>
      </c>
      <c r="S251" s="3">
        <v>45941</v>
      </c>
      <c r="T251">
        <v>33</v>
      </c>
      <c r="U251">
        <v>33</v>
      </c>
      <c r="V251">
        <v>48</v>
      </c>
      <c r="W251" t="s">
        <v>1448</v>
      </c>
      <c r="X251" t="s">
        <v>1532</v>
      </c>
      <c r="Y251">
        <v>214289</v>
      </c>
      <c r="Z251">
        <v>0</v>
      </c>
      <c r="AA251" t="s">
        <v>98</v>
      </c>
      <c r="AB251" t="s">
        <v>1751</v>
      </c>
      <c r="AC251">
        <v>1874645</v>
      </c>
      <c r="AD251" t="s">
        <v>1752</v>
      </c>
      <c r="AH251" t="s">
        <v>1428</v>
      </c>
      <c r="AI251">
        <v>984390072</v>
      </c>
      <c r="AL251" t="s">
        <v>1753</v>
      </c>
      <c r="AO251" t="s">
        <v>1754</v>
      </c>
      <c r="AP251" t="s">
        <v>365</v>
      </c>
      <c r="AQ251" t="s">
        <v>149</v>
      </c>
      <c r="AR251" t="s">
        <v>1755</v>
      </c>
      <c r="AS251" t="s">
        <v>752</v>
      </c>
      <c r="AT251" t="s">
        <v>74</v>
      </c>
      <c r="AU251" t="s">
        <v>96</v>
      </c>
      <c r="AZ251" t="s">
        <v>111</v>
      </c>
      <c r="BA251" t="s">
        <v>99</v>
      </c>
      <c r="BB251" t="s">
        <v>1756</v>
      </c>
      <c r="BC251" t="s">
        <v>182</v>
      </c>
      <c r="BD251" t="s">
        <v>1757</v>
      </c>
      <c r="BE251">
        <v>2023</v>
      </c>
      <c r="BF251">
        <v>2023</v>
      </c>
    </row>
    <row r="252" spans="1:58">
      <c r="A252">
        <v>2305273</v>
      </c>
      <c r="B252">
        <v>320</v>
      </c>
      <c r="C252">
        <v>11</v>
      </c>
      <c r="D252">
        <v>5818534</v>
      </c>
      <c r="F252" t="s">
        <v>80</v>
      </c>
      <c r="G252" t="s">
        <v>81</v>
      </c>
      <c r="H252" t="s">
        <v>17</v>
      </c>
      <c r="I252" t="s">
        <v>18</v>
      </c>
      <c r="J252" t="s">
        <v>6</v>
      </c>
      <c r="K252" t="s">
        <v>83</v>
      </c>
      <c r="L252" s="3">
        <v>46029</v>
      </c>
      <c r="M252" t="s">
        <v>193</v>
      </c>
      <c r="N252">
        <v>18379379</v>
      </c>
      <c r="O252">
        <v>9</v>
      </c>
      <c r="P252" t="s">
        <v>1758</v>
      </c>
      <c r="Q252">
        <v>1</v>
      </c>
      <c r="R252">
        <v>284.108</v>
      </c>
      <c r="S252" s="3">
        <v>45725</v>
      </c>
      <c r="T252">
        <v>31</v>
      </c>
      <c r="U252">
        <v>31</v>
      </c>
      <c r="V252">
        <v>60</v>
      </c>
      <c r="W252" t="s">
        <v>1448</v>
      </c>
      <c r="X252" t="s">
        <v>87</v>
      </c>
      <c r="Y252">
        <v>467537</v>
      </c>
      <c r="Z252">
        <v>0</v>
      </c>
      <c r="AA252" t="s">
        <v>98</v>
      </c>
      <c r="AB252" s="3">
        <v>44986</v>
      </c>
      <c r="AC252">
        <v>3592725</v>
      </c>
      <c r="AD252" t="s">
        <v>1705</v>
      </c>
      <c r="AH252" t="s">
        <v>1428</v>
      </c>
      <c r="AI252">
        <v>94719526</v>
      </c>
      <c r="AL252" t="s">
        <v>1759</v>
      </c>
      <c r="AO252" t="s">
        <v>1760</v>
      </c>
      <c r="AP252" t="s">
        <v>723</v>
      </c>
      <c r="AQ252" t="s">
        <v>724</v>
      </c>
      <c r="AR252" t="s">
        <v>1708</v>
      </c>
      <c r="AS252" t="s">
        <v>418</v>
      </c>
      <c r="AT252" t="s">
        <v>122</v>
      </c>
      <c r="AU252" t="s">
        <v>96</v>
      </c>
      <c r="AZ252" t="s">
        <v>111</v>
      </c>
      <c r="BA252" t="s">
        <v>99</v>
      </c>
      <c r="BB252" t="s">
        <v>1761</v>
      </c>
      <c r="BC252" t="s">
        <v>200</v>
      </c>
      <c r="BD252" t="s">
        <v>201</v>
      </c>
      <c r="BE252">
        <v>2023</v>
      </c>
      <c r="BF252">
        <v>2023</v>
      </c>
    </row>
    <row r="253" spans="1:58">
      <c r="A253">
        <v>2312126</v>
      </c>
      <c r="B253">
        <v>352</v>
      </c>
      <c r="C253">
        <v>9</v>
      </c>
      <c r="D253">
        <v>8246479</v>
      </c>
      <c r="F253" t="s">
        <v>80</v>
      </c>
      <c r="G253" t="s">
        <v>81</v>
      </c>
      <c r="H253" t="s">
        <v>20</v>
      </c>
      <c r="I253" t="s">
        <v>20</v>
      </c>
      <c r="J253" t="s">
        <v>6</v>
      </c>
      <c r="K253" t="s">
        <v>83</v>
      </c>
      <c r="L253" s="3">
        <v>46029</v>
      </c>
      <c r="M253" t="s">
        <v>193</v>
      </c>
      <c r="N253">
        <v>16435411</v>
      </c>
      <c r="O253">
        <v>3</v>
      </c>
      <c r="P253" t="s">
        <v>1762</v>
      </c>
      <c r="Q253">
        <v>1</v>
      </c>
      <c r="R253">
        <v>456.92399999999998</v>
      </c>
      <c r="S253" s="3">
        <v>45696</v>
      </c>
      <c r="T253">
        <v>28</v>
      </c>
      <c r="U253">
        <v>28</v>
      </c>
      <c r="V253">
        <v>37</v>
      </c>
      <c r="W253" t="s">
        <v>1448</v>
      </c>
      <c r="X253" t="s">
        <v>1532</v>
      </c>
      <c r="Y253">
        <v>1397149</v>
      </c>
      <c r="Z253">
        <v>154800</v>
      </c>
      <c r="AA253" t="s">
        <v>98</v>
      </c>
      <c r="AB253" s="3">
        <v>45078</v>
      </c>
      <c r="AC253">
        <v>5664265</v>
      </c>
      <c r="AD253" t="s">
        <v>1705</v>
      </c>
      <c r="AH253" t="s">
        <v>1428</v>
      </c>
      <c r="AI253">
        <v>975327741</v>
      </c>
      <c r="AL253" t="s">
        <v>1763</v>
      </c>
      <c r="AO253" t="s">
        <v>1764</v>
      </c>
      <c r="AP253" t="s">
        <v>433</v>
      </c>
      <c r="AQ253" t="s">
        <v>434</v>
      </c>
      <c r="AR253" t="s">
        <v>1765</v>
      </c>
      <c r="AS253" t="s">
        <v>236</v>
      </c>
      <c r="AT253" t="s">
        <v>141</v>
      </c>
      <c r="AU253" t="s">
        <v>96</v>
      </c>
      <c r="AV253" t="s">
        <v>1478</v>
      </c>
      <c r="AZ253" t="s">
        <v>98</v>
      </c>
      <c r="BA253" t="s">
        <v>99</v>
      </c>
      <c r="BB253" t="s">
        <v>1766</v>
      </c>
      <c r="BC253" t="s">
        <v>182</v>
      </c>
      <c r="BD253" t="s">
        <v>443</v>
      </c>
      <c r="BE253">
        <v>2023</v>
      </c>
      <c r="BF253">
        <v>2023</v>
      </c>
    </row>
    <row r="254" spans="1:58">
      <c r="A254">
        <v>2312128</v>
      </c>
      <c r="B254">
        <v>353</v>
      </c>
      <c r="C254">
        <v>12</v>
      </c>
      <c r="D254">
        <v>5141075</v>
      </c>
      <c r="F254" t="s">
        <v>80</v>
      </c>
      <c r="G254" t="s">
        <v>81</v>
      </c>
      <c r="H254" t="s">
        <v>20</v>
      </c>
      <c r="I254" t="s">
        <v>20</v>
      </c>
      <c r="J254" t="s">
        <v>6</v>
      </c>
      <c r="K254" t="s">
        <v>83</v>
      </c>
      <c r="L254" s="3">
        <v>46029</v>
      </c>
      <c r="M254" t="s">
        <v>193</v>
      </c>
      <c r="N254">
        <v>12077178</v>
      </c>
      <c r="O254">
        <v>7</v>
      </c>
      <c r="P254" t="s">
        <v>1767</v>
      </c>
      <c r="Q254">
        <v>1</v>
      </c>
      <c r="R254">
        <v>342.91</v>
      </c>
      <c r="S254" s="3">
        <v>45665</v>
      </c>
      <c r="T254">
        <v>29</v>
      </c>
      <c r="U254">
        <v>29</v>
      </c>
      <c r="V254">
        <v>48</v>
      </c>
      <c r="W254" t="s">
        <v>1448</v>
      </c>
      <c r="X254" t="s">
        <v>1532</v>
      </c>
      <c r="Y254">
        <v>678195</v>
      </c>
      <c r="Z254">
        <v>122238</v>
      </c>
      <c r="AA254" t="s">
        <v>98</v>
      </c>
      <c r="AB254" s="3">
        <v>45170</v>
      </c>
      <c r="AC254">
        <v>4915353</v>
      </c>
      <c r="AD254" t="s">
        <v>1705</v>
      </c>
      <c r="AH254" t="s">
        <v>1428</v>
      </c>
      <c r="AI254">
        <v>934092515</v>
      </c>
      <c r="AL254" t="s">
        <v>1768</v>
      </c>
      <c r="AO254" t="s">
        <v>1769</v>
      </c>
      <c r="AP254" t="s">
        <v>159</v>
      </c>
      <c r="AQ254" t="s">
        <v>160</v>
      </c>
      <c r="AR254" t="s">
        <v>1770</v>
      </c>
      <c r="AS254" t="s">
        <v>560</v>
      </c>
      <c r="AT254" t="s">
        <v>141</v>
      </c>
      <c r="AU254" t="s">
        <v>96</v>
      </c>
      <c r="AV254" t="s">
        <v>1478</v>
      </c>
      <c r="AZ254" t="s">
        <v>98</v>
      </c>
      <c r="BA254" t="s">
        <v>99</v>
      </c>
      <c r="BB254" t="s">
        <v>1771</v>
      </c>
      <c r="BC254" t="s">
        <v>200</v>
      </c>
      <c r="BD254" t="s">
        <v>246</v>
      </c>
      <c r="BE254">
        <v>2023</v>
      </c>
      <c r="BF254">
        <v>2023</v>
      </c>
    </row>
    <row r="255" spans="1:58">
      <c r="A255">
        <v>2330374</v>
      </c>
      <c r="B255">
        <v>137</v>
      </c>
      <c r="C255">
        <v>5</v>
      </c>
      <c r="D255">
        <v>7994898</v>
      </c>
      <c r="F255" t="s">
        <v>80</v>
      </c>
      <c r="G255" t="s">
        <v>81</v>
      </c>
      <c r="H255" t="s">
        <v>23</v>
      </c>
      <c r="I255" t="s">
        <v>12</v>
      </c>
      <c r="J255" t="s">
        <v>6</v>
      </c>
      <c r="K255" t="s">
        <v>83</v>
      </c>
      <c r="L255" s="3">
        <v>46302</v>
      </c>
      <c r="M255" t="s">
        <v>1559</v>
      </c>
      <c r="N255">
        <v>8987518</v>
      </c>
      <c r="O255">
        <v>8</v>
      </c>
      <c r="P255" t="s">
        <v>1772</v>
      </c>
      <c r="Q255">
        <v>1</v>
      </c>
      <c r="R255">
        <v>789.34299999999996</v>
      </c>
      <c r="S255" s="3">
        <v>46145</v>
      </c>
      <c r="T255">
        <v>36</v>
      </c>
      <c r="U255">
        <v>36</v>
      </c>
      <c r="V255">
        <v>48</v>
      </c>
      <c r="W255" t="s">
        <v>1425</v>
      </c>
      <c r="X255" t="s">
        <v>1532</v>
      </c>
      <c r="Y255">
        <v>274058</v>
      </c>
      <c r="Z255">
        <v>200208</v>
      </c>
      <c r="AA255" t="s">
        <v>98</v>
      </c>
      <c r="AB255" t="s">
        <v>1773</v>
      </c>
      <c r="AC255">
        <v>4420981</v>
      </c>
      <c r="AD255" t="s">
        <v>1774</v>
      </c>
      <c r="AH255" t="s">
        <v>1428</v>
      </c>
      <c r="AI255">
        <v>987382423</v>
      </c>
      <c r="AL255" t="s">
        <v>1775</v>
      </c>
      <c r="AO255" t="s">
        <v>1776</v>
      </c>
      <c r="AP255" t="s">
        <v>433</v>
      </c>
      <c r="AQ255" t="s">
        <v>434</v>
      </c>
      <c r="AT255" t="s">
        <v>95</v>
      </c>
      <c r="AU255" t="s">
        <v>1777</v>
      </c>
      <c r="AZ255" t="s">
        <v>98</v>
      </c>
      <c r="BA255" t="s">
        <v>99</v>
      </c>
      <c r="BB255" t="s">
        <v>1778</v>
      </c>
      <c r="BC255" t="s">
        <v>990</v>
      </c>
      <c r="BD255" t="s">
        <v>1779</v>
      </c>
      <c r="BE255">
        <v>2022</v>
      </c>
      <c r="BF255">
        <v>2022</v>
      </c>
    </row>
    <row r="256" spans="1:58">
      <c r="A256">
        <v>2339568</v>
      </c>
      <c r="B256">
        <v>257</v>
      </c>
      <c r="C256">
        <v>9</v>
      </c>
      <c r="D256">
        <v>4878739</v>
      </c>
      <c r="F256" t="s">
        <v>80</v>
      </c>
      <c r="G256" t="s">
        <v>81</v>
      </c>
      <c r="H256" t="s">
        <v>15</v>
      </c>
      <c r="I256" t="s">
        <v>16</v>
      </c>
      <c r="J256" t="s">
        <v>6</v>
      </c>
      <c r="K256" t="s">
        <v>83</v>
      </c>
      <c r="L256" s="3">
        <v>46029</v>
      </c>
      <c r="M256" t="s">
        <v>193</v>
      </c>
      <c r="N256">
        <v>27138496</v>
      </c>
      <c r="O256">
        <v>3</v>
      </c>
      <c r="P256" t="s">
        <v>1780</v>
      </c>
      <c r="Q256">
        <v>1</v>
      </c>
      <c r="R256">
        <v>341.08</v>
      </c>
      <c r="S256" s="3">
        <v>45788</v>
      </c>
      <c r="T256">
        <v>31</v>
      </c>
      <c r="U256">
        <v>31</v>
      </c>
      <c r="V256">
        <v>48</v>
      </c>
      <c r="W256" t="s">
        <v>1448</v>
      </c>
      <c r="X256" t="s">
        <v>1532</v>
      </c>
      <c r="Y256">
        <v>380246</v>
      </c>
      <c r="Z256">
        <v>146068</v>
      </c>
      <c r="AA256" t="s">
        <v>98</v>
      </c>
      <c r="AB256" t="s">
        <v>1781</v>
      </c>
      <c r="AC256">
        <v>3596034</v>
      </c>
      <c r="AD256" t="s">
        <v>1499</v>
      </c>
      <c r="AH256" t="s">
        <v>1428</v>
      </c>
      <c r="AI256">
        <v>932152699</v>
      </c>
      <c r="AL256" t="s">
        <v>1782</v>
      </c>
      <c r="AO256" t="s">
        <v>1783</v>
      </c>
      <c r="AP256" t="s">
        <v>501</v>
      </c>
      <c r="AQ256" t="s">
        <v>188</v>
      </c>
      <c r="AR256" t="s">
        <v>1784</v>
      </c>
      <c r="AS256" t="s">
        <v>140</v>
      </c>
      <c r="AT256" t="s">
        <v>141</v>
      </c>
      <c r="AU256" t="s">
        <v>96</v>
      </c>
      <c r="AZ256" t="s">
        <v>98</v>
      </c>
      <c r="BA256" t="s">
        <v>99</v>
      </c>
      <c r="BB256" t="s">
        <v>1785</v>
      </c>
      <c r="BC256" t="s">
        <v>200</v>
      </c>
      <c r="BD256" t="s">
        <v>1786</v>
      </c>
      <c r="BE256">
        <v>2023</v>
      </c>
      <c r="BF256">
        <v>2023</v>
      </c>
    </row>
    <row r="257" spans="1:58">
      <c r="A257">
        <v>2348879</v>
      </c>
      <c r="B257">
        <v>15</v>
      </c>
      <c r="C257">
        <v>1</v>
      </c>
      <c r="D257">
        <v>4943344</v>
      </c>
      <c r="F257" t="s">
        <v>80</v>
      </c>
      <c r="G257" t="s">
        <v>81</v>
      </c>
      <c r="H257" t="s">
        <v>22</v>
      </c>
      <c r="I257" s="527">
        <v>46052</v>
      </c>
      <c r="J257" t="s">
        <v>6</v>
      </c>
      <c r="K257" t="s">
        <v>83</v>
      </c>
      <c r="L257" s="3">
        <v>46029</v>
      </c>
      <c r="M257" t="s">
        <v>193</v>
      </c>
      <c r="N257">
        <v>19398935</v>
      </c>
      <c r="O257">
        <v>7</v>
      </c>
      <c r="P257" t="s">
        <v>1787</v>
      </c>
      <c r="Q257">
        <v>1</v>
      </c>
      <c r="R257">
        <v>226.684</v>
      </c>
      <c r="S257" s="3">
        <v>46149</v>
      </c>
      <c r="T257">
        <v>40</v>
      </c>
      <c r="U257">
        <v>37</v>
      </c>
      <c r="V257">
        <v>49</v>
      </c>
      <c r="W257" t="s">
        <v>1448</v>
      </c>
      <c r="X257" t="s">
        <v>87</v>
      </c>
      <c r="Y257">
        <v>3279</v>
      </c>
      <c r="Z257">
        <v>0</v>
      </c>
      <c r="AA257" t="s">
        <v>98</v>
      </c>
      <c r="AB257" t="s">
        <v>1788</v>
      </c>
      <c r="AC257">
        <v>229963</v>
      </c>
      <c r="AD257" t="s">
        <v>1499</v>
      </c>
      <c r="AH257" t="s">
        <v>1789</v>
      </c>
      <c r="AI257">
        <v>952012970</v>
      </c>
      <c r="AL257" t="s">
        <v>1790</v>
      </c>
      <c r="AO257" t="s">
        <v>1791</v>
      </c>
      <c r="AP257" t="s">
        <v>433</v>
      </c>
      <c r="AQ257" t="s">
        <v>434</v>
      </c>
      <c r="AR257" t="s">
        <v>1708</v>
      </c>
      <c r="AS257" t="s">
        <v>284</v>
      </c>
      <c r="AT257" t="s">
        <v>122</v>
      </c>
      <c r="AU257" t="s">
        <v>96</v>
      </c>
      <c r="AW257" t="s">
        <v>410</v>
      </c>
      <c r="AX257" t="s">
        <v>1527</v>
      </c>
      <c r="AY257" t="s">
        <v>519</v>
      </c>
      <c r="AZ257" t="s">
        <v>111</v>
      </c>
      <c r="BA257" t="s">
        <v>285</v>
      </c>
      <c r="BB257" t="s">
        <v>1792</v>
      </c>
      <c r="BC257" t="s">
        <v>278</v>
      </c>
      <c r="BD257" t="s">
        <v>1793</v>
      </c>
      <c r="BE257">
        <v>2023</v>
      </c>
      <c r="BF257">
        <v>2023</v>
      </c>
    </row>
    <row r="258" spans="1:58">
      <c r="A258">
        <v>2377562</v>
      </c>
      <c r="B258">
        <v>278</v>
      </c>
      <c r="C258">
        <v>10</v>
      </c>
      <c r="D258">
        <v>9051440</v>
      </c>
      <c r="F258" t="s">
        <v>80</v>
      </c>
      <c r="G258" t="s">
        <v>81</v>
      </c>
      <c r="H258" t="s">
        <v>16</v>
      </c>
      <c r="I258" t="s">
        <v>17</v>
      </c>
      <c r="J258" t="s">
        <v>6</v>
      </c>
      <c r="K258" t="s">
        <v>83</v>
      </c>
      <c r="L258" s="3">
        <v>46029</v>
      </c>
      <c r="M258" t="s">
        <v>193</v>
      </c>
      <c r="N258">
        <v>13013955</v>
      </c>
      <c r="O258">
        <v>8</v>
      </c>
      <c r="P258" t="s">
        <v>1794</v>
      </c>
      <c r="Q258">
        <v>1</v>
      </c>
      <c r="R258">
        <v>268.42</v>
      </c>
      <c r="S258" t="s">
        <v>1795</v>
      </c>
      <c r="T258">
        <v>30</v>
      </c>
      <c r="U258">
        <v>30</v>
      </c>
      <c r="V258">
        <v>60</v>
      </c>
      <c r="W258" t="s">
        <v>1391</v>
      </c>
      <c r="Y258">
        <v>336839</v>
      </c>
      <c r="Z258">
        <v>0</v>
      </c>
      <c r="AA258" t="s">
        <v>98</v>
      </c>
      <c r="AB258" t="s">
        <v>1796</v>
      </c>
      <c r="AC258">
        <v>3021039</v>
      </c>
      <c r="AD258" t="s">
        <v>1437</v>
      </c>
      <c r="AH258" t="s">
        <v>1428</v>
      </c>
      <c r="AI258">
        <v>989990451</v>
      </c>
      <c r="AL258" t="s">
        <v>1797</v>
      </c>
      <c r="AO258" t="s">
        <v>1798</v>
      </c>
      <c r="AP258" t="s">
        <v>433</v>
      </c>
      <c r="AQ258" t="s">
        <v>434</v>
      </c>
      <c r="AR258" t="s">
        <v>1799</v>
      </c>
      <c r="AS258" t="s">
        <v>1800</v>
      </c>
      <c r="AT258" t="s">
        <v>122</v>
      </c>
      <c r="AU258" t="s">
        <v>96</v>
      </c>
      <c r="AZ258" t="s">
        <v>111</v>
      </c>
      <c r="BA258" t="s">
        <v>99</v>
      </c>
      <c r="BC258" t="s">
        <v>153</v>
      </c>
      <c r="BD258" t="s">
        <v>1801</v>
      </c>
      <c r="BE258">
        <v>2022</v>
      </c>
      <c r="BF258">
        <v>2022</v>
      </c>
    </row>
    <row r="259" spans="1:58">
      <c r="A259">
        <v>2381394</v>
      </c>
      <c r="B259">
        <v>58</v>
      </c>
      <c r="C259">
        <v>2</v>
      </c>
      <c r="D259">
        <v>3575169</v>
      </c>
      <c r="F259" t="s">
        <v>80</v>
      </c>
      <c r="G259" t="s">
        <v>81</v>
      </c>
      <c r="H259" t="s">
        <v>22</v>
      </c>
      <c r="I259" t="s">
        <v>19</v>
      </c>
      <c r="J259" t="s">
        <v>6</v>
      </c>
      <c r="K259" t="s">
        <v>83</v>
      </c>
      <c r="L259" s="3">
        <v>46029</v>
      </c>
      <c r="M259" t="s">
        <v>1559</v>
      </c>
      <c r="N259">
        <v>13875254</v>
      </c>
      <c r="O259">
        <v>2</v>
      </c>
      <c r="P259" t="s">
        <v>1802</v>
      </c>
      <c r="Q259">
        <v>1</v>
      </c>
      <c r="R259">
        <v>378.73099999999999</v>
      </c>
      <c r="S259" t="s">
        <v>1803</v>
      </c>
      <c r="T259">
        <v>38</v>
      </c>
      <c r="U259">
        <v>37</v>
      </c>
      <c r="V259">
        <v>48</v>
      </c>
      <c r="W259" t="s">
        <v>1435</v>
      </c>
      <c r="X259" t="s">
        <v>87</v>
      </c>
      <c r="Y259">
        <v>29077</v>
      </c>
      <c r="Z259">
        <v>0</v>
      </c>
      <c r="AA259" t="s">
        <v>98</v>
      </c>
      <c r="AB259" t="s">
        <v>1804</v>
      </c>
      <c r="AC259">
        <v>786539</v>
      </c>
      <c r="AD259" t="s">
        <v>1805</v>
      </c>
      <c r="AH259" t="s">
        <v>1789</v>
      </c>
      <c r="AI259">
        <v>969086073</v>
      </c>
      <c r="AL259" t="s">
        <v>1806</v>
      </c>
      <c r="AO259" t="s">
        <v>1807</v>
      </c>
      <c r="AP259" t="s">
        <v>321</v>
      </c>
      <c r="AQ259" t="s">
        <v>322</v>
      </c>
      <c r="AR259" t="s">
        <v>1808</v>
      </c>
      <c r="AS259" t="s">
        <v>189</v>
      </c>
      <c r="AT259" t="s">
        <v>122</v>
      </c>
      <c r="AU259" t="s">
        <v>96</v>
      </c>
      <c r="AZ259" t="s">
        <v>111</v>
      </c>
      <c r="BA259" t="s">
        <v>99</v>
      </c>
      <c r="BB259" t="s">
        <v>1809</v>
      </c>
      <c r="BC259" t="s">
        <v>143</v>
      </c>
      <c r="BD259" t="s">
        <v>1810</v>
      </c>
      <c r="BE259">
        <v>2022</v>
      </c>
      <c r="BF259">
        <v>2022</v>
      </c>
    </row>
    <row r="260" spans="1:58">
      <c r="A260">
        <v>2385235</v>
      </c>
      <c r="B260">
        <v>283</v>
      </c>
      <c r="C260">
        <v>10</v>
      </c>
      <c r="D260">
        <v>4986443</v>
      </c>
      <c r="F260" t="s">
        <v>80</v>
      </c>
      <c r="G260" t="s">
        <v>81</v>
      </c>
      <c r="H260" t="s">
        <v>16</v>
      </c>
      <c r="I260" t="s">
        <v>17</v>
      </c>
      <c r="J260" t="s">
        <v>6</v>
      </c>
      <c r="K260" t="s">
        <v>83</v>
      </c>
      <c r="L260" s="3">
        <v>46029</v>
      </c>
      <c r="M260" t="s">
        <v>193</v>
      </c>
      <c r="N260">
        <v>17542721</v>
      </c>
      <c r="O260" t="s">
        <v>266</v>
      </c>
      <c r="P260" t="s">
        <v>1811</v>
      </c>
      <c r="Q260">
        <v>1</v>
      </c>
      <c r="R260">
        <v>341.44400000000002</v>
      </c>
      <c r="S260" s="3">
        <v>45940</v>
      </c>
      <c r="T260">
        <v>30</v>
      </c>
      <c r="U260">
        <v>30</v>
      </c>
      <c r="V260">
        <v>48</v>
      </c>
      <c r="W260" t="s">
        <v>1425</v>
      </c>
      <c r="X260" t="s">
        <v>1532</v>
      </c>
      <c r="Y260">
        <v>426819</v>
      </c>
      <c r="Z260">
        <v>121819</v>
      </c>
      <c r="AA260" t="s">
        <v>98</v>
      </c>
      <c r="AB260" t="s">
        <v>1812</v>
      </c>
      <c r="AC260">
        <v>3963078</v>
      </c>
      <c r="AD260" t="s">
        <v>1813</v>
      </c>
      <c r="AH260" t="s">
        <v>1428</v>
      </c>
      <c r="AI260">
        <v>965179742</v>
      </c>
      <c r="AL260" t="s">
        <v>1814</v>
      </c>
      <c r="AO260" t="s">
        <v>1815</v>
      </c>
      <c r="AP260" t="s">
        <v>321</v>
      </c>
      <c r="AQ260" t="s">
        <v>322</v>
      </c>
      <c r="AR260" t="s">
        <v>1816</v>
      </c>
      <c r="AS260" t="s">
        <v>556</v>
      </c>
      <c r="AT260" t="s">
        <v>141</v>
      </c>
      <c r="AU260" t="s">
        <v>96</v>
      </c>
      <c r="AZ260" t="s">
        <v>98</v>
      </c>
      <c r="BA260" t="s">
        <v>99</v>
      </c>
      <c r="BB260" t="s">
        <v>1817</v>
      </c>
      <c r="BC260" t="s">
        <v>164</v>
      </c>
      <c r="BD260" t="s">
        <v>1818</v>
      </c>
      <c r="BE260">
        <v>2017</v>
      </c>
      <c r="BF260">
        <v>2017</v>
      </c>
    </row>
    <row r="261" spans="1:58">
      <c r="A261">
        <v>2415613</v>
      </c>
      <c r="B261">
        <v>349</v>
      </c>
      <c r="C261">
        <v>12</v>
      </c>
      <c r="D261">
        <v>6122876</v>
      </c>
      <c r="F261" t="s">
        <v>80</v>
      </c>
      <c r="G261" t="s">
        <v>81</v>
      </c>
      <c r="H261" t="s">
        <v>18</v>
      </c>
      <c r="I261" t="s">
        <v>20</v>
      </c>
      <c r="J261" t="s">
        <v>6</v>
      </c>
      <c r="K261" t="s">
        <v>83</v>
      </c>
      <c r="L261" s="3">
        <v>46029</v>
      </c>
      <c r="M261" t="s">
        <v>193</v>
      </c>
      <c r="N261">
        <v>25987163</v>
      </c>
      <c r="O261">
        <v>8</v>
      </c>
      <c r="P261" t="s">
        <v>1819</v>
      </c>
      <c r="Q261">
        <v>1</v>
      </c>
      <c r="R261">
        <v>260.32</v>
      </c>
      <c r="S261" s="3">
        <v>45785</v>
      </c>
      <c r="T261">
        <v>27</v>
      </c>
      <c r="U261">
        <v>27</v>
      </c>
      <c r="V261">
        <v>49</v>
      </c>
      <c r="W261" t="s">
        <v>1448</v>
      </c>
      <c r="X261" t="s">
        <v>1532</v>
      </c>
      <c r="Y261">
        <v>503337</v>
      </c>
      <c r="Z261">
        <v>9721</v>
      </c>
      <c r="AA261" t="s">
        <v>98</v>
      </c>
      <c r="AB261" t="s">
        <v>1820</v>
      </c>
      <c r="AC261">
        <v>3636898</v>
      </c>
      <c r="AD261" t="s">
        <v>1821</v>
      </c>
      <c r="AH261" t="s">
        <v>1428</v>
      </c>
      <c r="AI261">
        <v>931814521</v>
      </c>
      <c r="AL261" t="s">
        <v>1822</v>
      </c>
      <c r="AO261" t="s">
        <v>1823</v>
      </c>
      <c r="AP261" t="s">
        <v>408</v>
      </c>
      <c r="AQ261" t="s">
        <v>92</v>
      </c>
      <c r="AR261" t="s">
        <v>1545</v>
      </c>
      <c r="AS261" t="s">
        <v>323</v>
      </c>
      <c r="AT261" t="s">
        <v>141</v>
      </c>
      <c r="AU261" t="s">
        <v>96</v>
      </c>
      <c r="AV261" t="s">
        <v>1478</v>
      </c>
      <c r="AZ261" t="s">
        <v>98</v>
      </c>
      <c r="BA261" t="s">
        <v>99</v>
      </c>
      <c r="BB261" t="s">
        <v>1824</v>
      </c>
      <c r="BC261" t="s">
        <v>278</v>
      </c>
      <c r="BD261" t="s">
        <v>1825</v>
      </c>
      <c r="BE261">
        <v>2023</v>
      </c>
      <c r="BF261">
        <v>2023</v>
      </c>
    </row>
    <row r="262" spans="1:58">
      <c r="A262">
        <v>2422377</v>
      </c>
      <c r="B262">
        <v>273</v>
      </c>
      <c r="C262">
        <v>10</v>
      </c>
      <c r="D262">
        <v>3998518</v>
      </c>
      <c r="F262" t="s">
        <v>80</v>
      </c>
      <c r="G262" t="s">
        <v>81</v>
      </c>
      <c r="H262" t="s">
        <v>16</v>
      </c>
      <c r="I262" t="s">
        <v>17</v>
      </c>
      <c r="J262" t="s">
        <v>6</v>
      </c>
      <c r="K262" t="s">
        <v>83</v>
      </c>
      <c r="L262" s="3">
        <v>46029</v>
      </c>
      <c r="M262" t="s">
        <v>193</v>
      </c>
      <c r="N262">
        <v>13447587</v>
      </c>
      <c r="O262">
        <v>0</v>
      </c>
      <c r="P262" t="s">
        <v>1826</v>
      </c>
      <c r="Q262">
        <v>1</v>
      </c>
      <c r="R262">
        <v>284.13099999999997</v>
      </c>
      <c r="S262" t="s">
        <v>1513</v>
      </c>
      <c r="T262">
        <v>30</v>
      </c>
      <c r="U262">
        <v>30</v>
      </c>
      <c r="V262">
        <v>48</v>
      </c>
      <c r="W262" t="s">
        <v>1425</v>
      </c>
      <c r="X262" t="s">
        <v>87</v>
      </c>
      <c r="Y262">
        <v>355388</v>
      </c>
      <c r="Z262">
        <v>0</v>
      </c>
      <c r="AA262" t="s">
        <v>98</v>
      </c>
      <c r="AB262" t="s">
        <v>1827</v>
      </c>
      <c r="AC262">
        <v>3196698</v>
      </c>
      <c r="AD262" t="s">
        <v>1828</v>
      </c>
      <c r="AH262" t="s">
        <v>1428</v>
      </c>
      <c r="AI262">
        <v>977611566</v>
      </c>
      <c r="AL262" t="s">
        <v>1829</v>
      </c>
      <c r="AO262" t="s">
        <v>1830</v>
      </c>
      <c r="AP262" t="s">
        <v>742</v>
      </c>
      <c r="AQ262" t="s">
        <v>92</v>
      </c>
      <c r="AR262" t="s">
        <v>1831</v>
      </c>
      <c r="AS262" t="s">
        <v>217</v>
      </c>
      <c r="AT262" t="s">
        <v>122</v>
      </c>
      <c r="AU262" t="s">
        <v>96</v>
      </c>
      <c r="AZ262" t="s">
        <v>111</v>
      </c>
      <c r="BA262" t="s">
        <v>99</v>
      </c>
      <c r="BB262" t="s">
        <v>1832</v>
      </c>
      <c r="BC262" t="s">
        <v>191</v>
      </c>
      <c r="BD262" t="s">
        <v>1833</v>
      </c>
      <c r="BE262">
        <v>2018</v>
      </c>
      <c r="BF262">
        <v>2018</v>
      </c>
    </row>
    <row r="263" spans="1:58">
      <c r="A263">
        <v>2423044</v>
      </c>
      <c r="B263">
        <v>141</v>
      </c>
      <c r="C263">
        <v>5</v>
      </c>
      <c r="D263">
        <v>8042825</v>
      </c>
      <c r="F263" t="s">
        <v>80</v>
      </c>
      <c r="G263" t="s">
        <v>81</v>
      </c>
      <c r="H263" t="s">
        <v>12</v>
      </c>
      <c r="I263" t="s">
        <v>12</v>
      </c>
      <c r="J263" t="s">
        <v>6</v>
      </c>
      <c r="K263" t="s">
        <v>83</v>
      </c>
      <c r="L263" s="3">
        <v>46029</v>
      </c>
      <c r="M263" t="s">
        <v>193</v>
      </c>
      <c r="N263">
        <v>17550067</v>
      </c>
      <c r="O263">
        <v>7</v>
      </c>
      <c r="P263" t="s">
        <v>1834</v>
      </c>
      <c r="Q263">
        <v>1</v>
      </c>
      <c r="R263">
        <v>366.60599999999999</v>
      </c>
      <c r="S263" s="3">
        <v>46025</v>
      </c>
      <c r="T263">
        <v>32</v>
      </c>
      <c r="U263">
        <v>32</v>
      </c>
      <c r="V263">
        <v>49</v>
      </c>
      <c r="W263" t="s">
        <v>1448</v>
      </c>
      <c r="Y263">
        <v>130703</v>
      </c>
      <c r="Z263">
        <v>0</v>
      </c>
      <c r="AA263" t="s">
        <v>98</v>
      </c>
      <c r="AB263" s="3">
        <v>45202</v>
      </c>
      <c r="AC263">
        <v>1963733</v>
      </c>
      <c r="AD263" t="s">
        <v>1752</v>
      </c>
      <c r="AH263" t="s">
        <v>1428</v>
      </c>
      <c r="AI263">
        <v>984835811</v>
      </c>
      <c r="AL263" t="s">
        <v>1835</v>
      </c>
      <c r="AO263" t="s">
        <v>1836</v>
      </c>
      <c r="AP263" t="s">
        <v>608</v>
      </c>
      <c r="AQ263" t="s">
        <v>92</v>
      </c>
      <c r="AR263" t="s">
        <v>1837</v>
      </c>
      <c r="AS263" t="s">
        <v>323</v>
      </c>
      <c r="AT263" t="s">
        <v>503</v>
      </c>
      <c r="AU263" t="s">
        <v>96</v>
      </c>
      <c r="AZ263" t="s">
        <v>111</v>
      </c>
      <c r="BA263" t="s">
        <v>99</v>
      </c>
      <c r="BB263" t="s">
        <v>1838</v>
      </c>
      <c r="BC263" t="s">
        <v>200</v>
      </c>
      <c r="BD263" t="s">
        <v>1839</v>
      </c>
      <c r="BE263">
        <v>2023</v>
      </c>
      <c r="BF263">
        <v>2023</v>
      </c>
    </row>
    <row r="264" spans="1:58">
      <c r="A264">
        <v>2430717</v>
      </c>
      <c r="B264">
        <v>45</v>
      </c>
      <c r="C264">
        <v>2</v>
      </c>
      <c r="D264">
        <v>4142780</v>
      </c>
      <c r="F264" t="s">
        <v>80</v>
      </c>
      <c r="G264" t="s">
        <v>81</v>
      </c>
      <c r="H264" s="527">
        <v>46052</v>
      </c>
      <c r="I264" t="s">
        <v>19</v>
      </c>
      <c r="J264" t="s">
        <v>6</v>
      </c>
      <c r="K264" t="s">
        <v>83</v>
      </c>
      <c r="L264" s="3">
        <v>46029</v>
      </c>
      <c r="M264" t="s">
        <v>193</v>
      </c>
      <c r="N264">
        <v>17827653</v>
      </c>
      <c r="O264">
        <v>0</v>
      </c>
      <c r="P264" t="s">
        <v>1840</v>
      </c>
      <c r="Q264">
        <v>1</v>
      </c>
      <c r="R264">
        <v>199.58</v>
      </c>
      <c r="S264" s="3">
        <v>46148</v>
      </c>
      <c r="T264">
        <v>37</v>
      </c>
      <c r="U264">
        <v>37</v>
      </c>
      <c r="V264">
        <v>49</v>
      </c>
      <c r="W264" t="s">
        <v>1391</v>
      </c>
      <c r="Y264">
        <v>11280</v>
      </c>
      <c r="Z264">
        <v>0</v>
      </c>
      <c r="AA264" t="s">
        <v>98</v>
      </c>
      <c r="AB264" t="s">
        <v>1841</v>
      </c>
      <c r="AC264">
        <v>410440</v>
      </c>
      <c r="AD264" t="s">
        <v>1842</v>
      </c>
      <c r="AG264" t="s">
        <v>1523</v>
      </c>
      <c r="AH264" t="s">
        <v>1428</v>
      </c>
      <c r="AI264">
        <v>987422446</v>
      </c>
      <c r="AL264" t="s">
        <v>1843</v>
      </c>
      <c r="AO264" t="s">
        <v>1844</v>
      </c>
      <c r="AP264" t="s">
        <v>214</v>
      </c>
      <c r="AQ264" t="s">
        <v>215</v>
      </c>
      <c r="AR264" t="s">
        <v>1845</v>
      </c>
      <c r="AS264" t="s">
        <v>752</v>
      </c>
      <c r="AT264" t="s">
        <v>122</v>
      </c>
      <c r="AU264" t="s">
        <v>96</v>
      </c>
      <c r="AW264" t="s">
        <v>410</v>
      </c>
      <c r="AX264" t="s">
        <v>1443</v>
      </c>
      <c r="AY264" s="3">
        <v>46060</v>
      </c>
      <c r="AZ264" t="s">
        <v>111</v>
      </c>
      <c r="BA264" t="s">
        <v>285</v>
      </c>
      <c r="BB264" t="s">
        <v>1846</v>
      </c>
      <c r="BC264" t="s">
        <v>164</v>
      </c>
      <c r="BD264" t="s">
        <v>1051</v>
      </c>
      <c r="BE264">
        <v>2021</v>
      </c>
      <c r="BF264">
        <v>2021</v>
      </c>
    </row>
    <row r="265" spans="1:58">
      <c r="A265">
        <v>2431101</v>
      </c>
      <c r="B265">
        <v>80</v>
      </c>
      <c r="C265">
        <v>3</v>
      </c>
      <c r="D265">
        <v>4935008</v>
      </c>
      <c r="F265" t="s">
        <v>80</v>
      </c>
      <c r="G265" t="s">
        <v>81</v>
      </c>
      <c r="H265" t="s">
        <v>19</v>
      </c>
      <c r="I265" t="s">
        <v>22</v>
      </c>
      <c r="J265" t="s">
        <v>6</v>
      </c>
      <c r="K265" t="s">
        <v>83</v>
      </c>
      <c r="L265" s="3">
        <v>46029</v>
      </c>
      <c r="M265" t="s">
        <v>193</v>
      </c>
      <c r="N265">
        <v>11624626</v>
      </c>
      <c r="O265">
        <v>0</v>
      </c>
      <c r="P265" t="s">
        <v>1847</v>
      </c>
      <c r="Q265">
        <v>1</v>
      </c>
      <c r="R265">
        <v>234.6</v>
      </c>
      <c r="S265" s="3">
        <v>46027</v>
      </c>
      <c r="T265">
        <v>35</v>
      </c>
      <c r="U265">
        <v>35</v>
      </c>
      <c r="V265">
        <v>49</v>
      </c>
      <c r="W265" t="s">
        <v>1448</v>
      </c>
      <c r="X265" t="s">
        <v>1532</v>
      </c>
      <c r="Y265">
        <v>32294</v>
      </c>
      <c r="Z265">
        <v>48082</v>
      </c>
      <c r="AA265" t="s">
        <v>98</v>
      </c>
      <c r="AB265" t="s">
        <v>1827</v>
      </c>
      <c r="AC265">
        <v>784176</v>
      </c>
      <c r="AD265" t="s">
        <v>1752</v>
      </c>
      <c r="AG265" t="s">
        <v>1523</v>
      </c>
      <c r="AH265" t="s">
        <v>1428</v>
      </c>
      <c r="AI265">
        <v>9648089980</v>
      </c>
      <c r="AO265" t="s">
        <v>1848</v>
      </c>
      <c r="AP265" t="s">
        <v>1849</v>
      </c>
      <c r="AQ265" t="s">
        <v>188</v>
      </c>
      <c r="AR265" t="s">
        <v>1850</v>
      </c>
      <c r="AS265" t="s">
        <v>151</v>
      </c>
      <c r="AT265" t="s">
        <v>141</v>
      </c>
      <c r="AU265" t="s">
        <v>96</v>
      </c>
      <c r="AZ265" t="s">
        <v>98</v>
      </c>
      <c r="BA265" t="s">
        <v>99</v>
      </c>
      <c r="BB265" t="s">
        <v>1851</v>
      </c>
      <c r="BC265" t="s">
        <v>287</v>
      </c>
      <c r="BD265" t="s">
        <v>1852</v>
      </c>
      <c r="BE265">
        <v>2023</v>
      </c>
      <c r="BF265">
        <v>2023</v>
      </c>
    </row>
    <row r="266" spans="1:58">
      <c r="A266">
        <v>2433371</v>
      </c>
      <c r="B266">
        <v>322</v>
      </c>
      <c r="C266">
        <v>8</v>
      </c>
      <c r="D266">
        <v>3232868</v>
      </c>
      <c r="F266" t="s">
        <v>80</v>
      </c>
      <c r="G266" t="s">
        <v>81</v>
      </c>
      <c r="H266" t="s">
        <v>18</v>
      </c>
      <c r="I266" t="s">
        <v>18</v>
      </c>
      <c r="J266" t="s">
        <v>6</v>
      </c>
      <c r="K266" t="s">
        <v>83</v>
      </c>
      <c r="L266" s="3">
        <v>46029</v>
      </c>
      <c r="M266" t="s">
        <v>193</v>
      </c>
      <c r="N266">
        <v>76976731</v>
      </c>
      <c r="O266">
        <v>2</v>
      </c>
      <c r="P266" t="s">
        <v>1853</v>
      </c>
      <c r="Q266">
        <v>0</v>
      </c>
      <c r="R266">
        <v>455.31200000000001</v>
      </c>
      <c r="S266" s="3">
        <v>45666</v>
      </c>
      <c r="T266">
        <v>28</v>
      </c>
      <c r="U266">
        <v>28</v>
      </c>
      <c r="V266">
        <v>36</v>
      </c>
      <c r="W266" t="s">
        <v>1425</v>
      </c>
      <c r="X266" t="s">
        <v>87</v>
      </c>
      <c r="Y266">
        <v>719767</v>
      </c>
      <c r="Z266">
        <v>0</v>
      </c>
      <c r="AA266" t="s">
        <v>98</v>
      </c>
      <c r="AB266" t="s">
        <v>1854</v>
      </c>
      <c r="AC266">
        <v>4362263</v>
      </c>
      <c r="AD266" t="s">
        <v>1828</v>
      </c>
      <c r="AH266" t="s">
        <v>1428</v>
      </c>
      <c r="AI266">
        <v>949619865</v>
      </c>
      <c r="AL266" t="s">
        <v>1855</v>
      </c>
      <c r="AO266" t="s">
        <v>1856</v>
      </c>
      <c r="AP266" t="s">
        <v>723</v>
      </c>
      <c r="AQ266" t="s">
        <v>724</v>
      </c>
      <c r="AR266" t="s">
        <v>1545</v>
      </c>
      <c r="AS266" t="s">
        <v>293</v>
      </c>
      <c r="AT266" t="s">
        <v>122</v>
      </c>
      <c r="AU266" t="s">
        <v>96</v>
      </c>
      <c r="AZ266" t="s">
        <v>111</v>
      </c>
      <c r="BA266" t="s">
        <v>99</v>
      </c>
      <c r="BB266" t="s">
        <v>1857</v>
      </c>
      <c r="BC266" t="s">
        <v>421</v>
      </c>
      <c r="BD266" t="s">
        <v>1858</v>
      </c>
      <c r="BE266">
        <v>2023</v>
      </c>
      <c r="BF266">
        <v>2023</v>
      </c>
    </row>
    <row r="267" spans="1:58">
      <c r="A267">
        <v>2456670</v>
      </c>
      <c r="B267">
        <v>10</v>
      </c>
      <c r="C267">
        <v>1</v>
      </c>
      <c r="D267">
        <v>6715037</v>
      </c>
      <c r="F267" t="s">
        <v>80</v>
      </c>
      <c r="G267" t="s">
        <v>81</v>
      </c>
      <c r="H267" t="s">
        <v>19</v>
      </c>
      <c r="I267" s="527">
        <v>46052</v>
      </c>
      <c r="J267" t="s">
        <v>6</v>
      </c>
      <c r="K267" t="s">
        <v>83</v>
      </c>
      <c r="L267" s="3">
        <v>46029</v>
      </c>
      <c r="M267" t="s">
        <v>193</v>
      </c>
      <c r="N267">
        <v>26501219</v>
      </c>
      <c r="O267">
        <v>1</v>
      </c>
      <c r="P267" t="s">
        <v>1859</v>
      </c>
      <c r="Q267">
        <v>1</v>
      </c>
      <c r="R267">
        <v>185.595</v>
      </c>
      <c r="S267" s="3">
        <v>46302</v>
      </c>
      <c r="T267">
        <v>37</v>
      </c>
      <c r="U267">
        <v>35</v>
      </c>
      <c r="V267">
        <v>72</v>
      </c>
      <c r="W267" t="s">
        <v>1391</v>
      </c>
      <c r="Y267">
        <v>1861</v>
      </c>
      <c r="Z267">
        <v>0</v>
      </c>
      <c r="AA267" t="s">
        <v>98</v>
      </c>
      <c r="AB267" s="3">
        <v>45264</v>
      </c>
      <c r="AC267">
        <v>187456</v>
      </c>
      <c r="AD267" t="s">
        <v>1427</v>
      </c>
      <c r="AG267" t="s">
        <v>1523</v>
      </c>
      <c r="AH267" t="s">
        <v>1439</v>
      </c>
      <c r="AI267">
        <v>569357405</v>
      </c>
      <c r="AL267" t="s">
        <v>1860</v>
      </c>
      <c r="AO267" t="s">
        <v>1861</v>
      </c>
      <c r="AP267" t="s">
        <v>800</v>
      </c>
      <c r="AQ267" t="s">
        <v>801</v>
      </c>
      <c r="AR267" t="s">
        <v>360</v>
      </c>
      <c r="AS267" t="s">
        <v>271</v>
      </c>
      <c r="AT267" t="s">
        <v>122</v>
      </c>
      <c r="AU267" t="s">
        <v>96</v>
      </c>
      <c r="AW267" t="s">
        <v>410</v>
      </c>
      <c r="AX267" t="s">
        <v>1862</v>
      </c>
      <c r="AY267" s="3">
        <v>46060</v>
      </c>
      <c r="AZ267" t="s">
        <v>111</v>
      </c>
      <c r="BA267" t="s">
        <v>285</v>
      </c>
      <c r="BC267" t="s">
        <v>287</v>
      </c>
      <c r="BD267" t="s">
        <v>1004</v>
      </c>
      <c r="BE267">
        <v>2022</v>
      </c>
      <c r="BF267">
        <v>2022</v>
      </c>
    </row>
    <row r="268" spans="1:58">
      <c r="A268">
        <v>2464859</v>
      </c>
      <c r="B268">
        <v>123</v>
      </c>
      <c r="C268">
        <v>5</v>
      </c>
      <c r="D268">
        <v>5016841</v>
      </c>
      <c r="F268" t="s">
        <v>80</v>
      </c>
      <c r="G268" t="s">
        <v>81</v>
      </c>
      <c r="H268" t="s">
        <v>23</v>
      </c>
      <c r="I268" t="s">
        <v>12</v>
      </c>
      <c r="J268" t="s">
        <v>6</v>
      </c>
      <c r="K268" t="s">
        <v>83</v>
      </c>
      <c r="L268" s="3">
        <v>46029</v>
      </c>
      <c r="M268" t="s">
        <v>193</v>
      </c>
      <c r="N268">
        <v>15259087</v>
      </c>
      <c r="O268">
        <v>3</v>
      </c>
      <c r="P268" t="s">
        <v>1863</v>
      </c>
      <c r="Q268">
        <v>1</v>
      </c>
      <c r="R268">
        <v>428.82600000000002</v>
      </c>
      <c r="S268" t="s">
        <v>1864</v>
      </c>
      <c r="T268">
        <v>34</v>
      </c>
      <c r="U268">
        <v>34</v>
      </c>
      <c r="V268">
        <v>48</v>
      </c>
      <c r="W268" t="s">
        <v>1435</v>
      </c>
      <c r="X268" t="s">
        <v>1532</v>
      </c>
      <c r="Y268">
        <v>119388</v>
      </c>
      <c r="Z268">
        <v>116157</v>
      </c>
      <c r="AA268" t="s">
        <v>98</v>
      </c>
      <c r="AB268" t="s">
        <v>1865</v>
      </c>
      <c r="AC268">
        <v>2379675</v>
      </c>
      <c r="AD268" t="s">
        <v>1705</v>
      </c>
      <c r="AH268" t="s">
        <v>1428</v>
      </c>
      <c r="AI268">
        <v>963409368</v>
      </c>
      <c r="AK268">
        <v>56979892785</v>
      </c>
      <c r="AL268" t="s">
        <v>1866</v>
      </c>
      <c r="AO268" t="s">
        <v>1867</v>
      </c>
      <c r="AP268" t="s">
        <v>177</v>
      </c>
      <c r="AQ268" t="s">
        <v>178</v>
      </c>
      <c r="AR268" t="s">
        <v>1868</v>
      </c>
      <c r="AS268" t="s">
        <v>131</v>
      </c>
      <c r="AT268" t="s">
        <v>141</v>
      </c>
      <c r="AU268" t="s">
        <v>96</v>
      </c>
      <c r="AV268" t="s">
        <v>1478</v>
      </c>
      <c r="AZ268" t="s">
        <v>98</v>
      </c>
      <c r="BA268" t="s">
        <v>99</v>
      </c>
      <c r="BB268" t="s">
        <v>1869</v>
      </c>
      <c r="BC268" t="s">
        <v>412</v>
      </c>
      <c r="BD268" t="s">
        <v>1870</v>
      </c>
      <c r="BE268">
        <v>2023</v>
      </c>
      <c r="BF268">
        <v>2023</v>
      </c>
    </row>
    <row r="269" spans="1:58">
      <c r="A269">
        <v>2468859</v>
      </c>
      <c r="B269">
        <v>76</v>
      </c>
      <c r="C269">
        <v>3</v>
      </c>
      <c r="D269">
        <v>5977954</v>
      </c>
      <c r="F269" t="s">
        <v>80</v>
      </c>
      <c r="G269" t="s">
        <v>81</v>
      </c>
      <c r="H269" t="s">
        <v>19</v>
      </c>
      <c r="I269" t="s">
        <v>22</v>
      </c>
      <c r="J269" t="s">
        <v>6</v>
      </c>
      <c r="K269" t="s">
        <v>83</v>
      </c>
      <c r="L269" s="3">
        <v>46029</v>
      </c>
      <c r="M269" t="s">
        <v>193</v>
      </c>
      <c r="N269">
        <v>77300219</v>
      </c>
      <c r="O269">
        <v>3</v>
      </c>
      <c r="P269" t="s">
        <v>1871</v>
      </c>
      <c r="Q269">
        <v>0</v>
      </c>
      <c r="R269">
        <v>543.928</v>
      </c>
      <c r="S269" s="3">
        <v>46147</v>
      </c>
      <c r="T269">
        <v>35</v>
      </c>
      <c r="U269">
        <v>35</v>
      </c>
      <c r="V269">
        <v>48</v>
      </c>
      <c r="W269" t="s">
        <v>1448</v>
      </c>
      <c r="Y269">
        <v>67036</v>
      </c>
      <c r="Z269">
        <v>0</v>
      </c>
      <c r="AA269" t="s">
        <v>98</v>
      </c>
      <c r="AB269" t="s">
        <v>1872</v>
      </c>
      <c r="AC269">
        <v>1698820</v>
      </c>
      <c r="AD269" t="s">
        <v>1705</v>
      </c>
      <c r="AG269" t="s">
        <v>1523</v>
      </c>
      <c r="AH269" t="s">
        <v>1428</v>
      </c>
      <c r="AI269">
        <v>957990783</v>
      </c>
      <c r="AL269" t="s">
        <v>1873</v>
      </c>
      <c r="AO269" t="s">
        <v>1874</v>
      </c>
      <c r="AP269" t="s">
        <v>1875</v>
      </c>
      <c r="AQ269" t="s">
        <v>299</v>
      </c>
      <c r="AR269" t="s">
        <v>1876</v>
      </c>
      <c r="AS269" t="s">
        <v>396</v>
      </c>
      <c r="AT269" t="s">
        <v>122</v>
      </c>
      <c r="AU269" t="s">
        <v>96</v>
      </c>
      <c r="AZ269" t="s">
        <v>111</v>
      </c>
      <c r="BA269" t="s">
        <v>99</v>
      </c>
      <c r="BB269" t="s">
        <v>1877</v>
      </c>
      <c r="BC269" t="s">
        <v>200</v>
      </c>
      <c r="BD269" t="s">
        <v>1878</v>
      </c>
      <c r="BE269">
        <v>2023</v>
      </c>
      <c r="BF269">
        <v>2023</v>
      </c>
    </row>
    <row r="270" spans="1:58">
      <c r="A270">
        <v>2470930</v>
      </c>
      <c r="B270">
        <v>0</v>
      </c>
      <c r="D270">
        <v>3998312</v>
      </c>
      <c r="F270" t="s">
        <v>80</v>
      </c>
      <c r="G270" t="s">
        <v>81</v>
      </c>
      <c r="H270" t="s">
        <v>20</v>
      </c>
      <c r="I270" t="s">
        <v>21</v>
      </c>
      <c r="J270" t="s">
        <v>6</v>
      </c>
      <c r="K270" t="s">
        <v>83</v>
      </c>
      <c r="L270" s="3">
        <v>46029</v>
      </c>
      <c r="M270" t="s">
        <v>193</v>
      </c>
      <c r="N270">
        <v>15018806</v>
      </c>
      <c r="O270">
        <v>7</v>
      </c>
      <c r="P270" t="s">
        <v>1879</v>
      </c>
      <c r="Q270">
        <v>1</v>
      </c>
      <c r="R270">
        <v>114.206</v>
      </c>
      <c r="U270">
        <v>25</v>
      </c>
      <c r="W270" t="s">
        <v>1391</v>
      </c>
      <c r="Y270">
        <v>0</v>
      </c>
      <c r="Z270">
        <v>0</v>
      </c>
      <c r="AA270" t="s">
        <v>98</v>
      </c>
      <c r="AB270" t="s">
        <v>1880</v>
      </c>
      <c r="AC270">
        <v>0</v>
      </c>
      <c r="AD270" t="s">
        <v>1881</v>
      </c>
      <c r="AH270" t="s">
        <v>5</v>
      </c>
      <c r="AI270">
        <v>986060351</v>
      </c>
      <c r="AL270" t="s">
        <v>1882</v>
      </c>
      <c r="AO270" t="s">
        <v>1883</v>
      </c>
      <c r="AP270" t="s">
        <v>1884</v>
      </c>
      <c r="AQ270" t="s">
        <v>434</v>
      </c>
      <c r="AR270" t="s">
        <v>1831</v>
      </c>
      <c r="AS270" t="s">
        <v>236</v>
      </c>
      <c r="AT270" t="s">
        <v>122</v>
      </c>
      <c r="AU270" t="s">
        <v>96</v>
      </c>
      <c r="AZ270" t="s">
        <v>111</v>
      </c>
      <c r="BA270" t="s">
        <v>99</v>
      </c>
      <c r="BC270" t="s">
        <v>1519</v>
      </c>
      <c r="BD270" t="s">
        <v>1885</v>
      </c>
      <c r="BE270">
        <v>2020</v>
      </c>
      <c r="BF270">
        <v>2020</v>
      </c>
    </row>
    <row r="271" spans="1:58">
      <c r="A271">
        <v>2472050</v>
      </c>
      <c r="B271">
        <v>169</v>
      </c>
      <c r="C271">
        <v>6</v>
      </c>
      <c r="D271">
        <v>2840554</v>
      </c>
      <c r="F271" t="s">
        <v>80</v>
      </c>
      <c r="G271" t="s">
        <v>81</v>
      </c>
      <c r="H271" t="s">
        <v>12</v>
      </c>
      <c r="I271" t="s">
        <v>13</v>
      </c>
      <c r="J271" t="s">
        <v>6</v>
      </c>
      <c r="K271" t="s">
        <v>83</v>
      </c>
      <c r="L271" s="3">
        <v>46029</v>
      </c>
      <c r="M271" t="s">
        <v>193</v>
      </c>
      <c r="N271">
        <v>11647024</v>
      </c>
      <c r="O271">
        <v>1</v>
      </c>
      <c r="P271" t="s">
        <v>1886</v>
      </c>
      <c r="Q271">
        <v>1</v>
      </c>
      <c r="R271">
        <v>224.93</v>
      </c>
      <c r="S271" s="3">
        <v>46024</v>
      </c>
      <c r="T271">
        <v>32</v>
      </c>
      <c r="U271">
        <v>32</v>
      </c>
      <c r="V271">
        <v>48</v>
      </c>
      <c r="W271" t="s">
        <v>1425</v>
      </c>
      <c r="X271" t="s">
        <v>1532</v>
      </c>
      <c r="Y271">
        <v>126524</v>
      </c>
      <c r="Z271">
        <v>94882</v>
      </c>
      <c r="AA271" t="s">
        <v>98</v>
      </c>
      <c r="AB271" t="s">
        <v>1887</v>
      </c>
      <c r="AC271">
        <v>1570986</v>
      </c>
      <c r="AD271" t="s">
        <v>1888</v>
      </c>
      <c r="AH271" t="s">
        <v>1428</v>
      </c>
      <c r="AI271">
        <v>953876566</v>
      </c>
      <c r="AL271" t="s">
        <v>1889</v>
      </c>
      <c r="AO271" t="s">
        <v>1890</v>
      </c>
      <c r="AP271" t="s">
        <v>952</v>
      </c>
      <c r="AQ271" t="s">
        <v>92</v>
      </c>
      <c r="AR271" t="s">
        <v>1891</v>
      </c>
      <c r="AS271" t="s">
        <v>228</v>
      </c>
      <c r="AT271" t="s">
        <v>141</v>
      </c>
      <c r="AU271" t="s">
        <v>96</v>
      </c>
      <c r="AZ271" t="s">
        <v>98</v>
      </c>
      <c r="BA271" t="s">
        <v>99</v>
      </c>
      <c r="BB271" t="s">
        <v>1892</v>
      </c>
      <c r="BC271" t="s">
        <v>421</v>
      </c>
      <c r="BD271" t="s">
        <v>1893</v>
      </c>
      <c r="BE271">
        <v>2023</v>
      </c>
      <c r="BF271">
        <v>2023</v>
      </c>
    </row>
    <row r="272" spans="1:58">
      <c r="A272">
        <v>2483457</v>
      </c>
      <c r="B272">
        <v>134</v>
      </c>
      <c r="C272">
        <v>5</v>
      </c>
      <c r="D272">
        <v>2921579</v>
      </c>
      <c r="F272" t="s">
        <v>80</v>
      </c>
      <c r="G272" t="s">
        <v>81</v>
      </c>
      <c r="H272" t="s">
        <v>23</v>
      </c>
      <c r="I272" t="s">
        <v>12</v>
      </c>
      <c r="J272" t="s">
        <v>6</v>
      </c>
      <c r="K272" t="s">
        <v>83</v>
      </c>
      <c r="L272" s="3">
        <v>46302</v>
      </c>
      <c r="M272" t="s">
        <v>193</v>
      </c>
      <c r="N272">
        <v>16268665</v>
      </c>
      <c r="O272">
        <v>8</v>
      </c>
      <c r="P272" t="s">
        <v>1894</v>
      </c>
      <c r="Q272">
        <v>1</v>
      </c>
      <c r="R272">
        <v>232.33099999999999</v>
      </c>
      <c r="S272" s="3">
        <v>46237</v>
      </c>
      <c r="T272">
        <v>33</v>
      </c>
      <c r="U272">
        <v>33</v>
      </c>
      <c r="V272">
        <v>48</v>
      </c>
      <c r="W272" t="s">
        <v>1448</v>
      </c>
      <c r="X272" t="s">
        <v>1532</v>
      </c>
      <c r="Y272">
        <v>84013</v>
      </c>
      <c r="Z272">
        <v>80935</v>
      </c>
      <c r="AA272" t="s">
        <v>98</v>
      </c>
      <c r="AB272" t="s">
        <v>1887</v>
      </c>
      <c r="AC272">
        <v>1326603</v>
      </c>
      <c r="AD272" t="s">
        <v>1821</v>
      </c>
      <c r="AH272" t="s">
        <v>1428</v>
      </c>
      <c r="AI272">
        <v>569459950480</v>
      </c>
      <c r="AL272" t="s">
        <v>1895</v>
      </c>
      <c r="AO272" t="s">
        <v>1896</v>
      </c>
      <c r="AP272" t="s">
        <v>408</v>
      </c>
      <c r="AQ272" t="s">
        <v>92</v>
      </c>
      <c r="AT272" t="s">
        <v>95</v>
      </c>
      <c r="AU272" t="s">
        <v>1777</v>
      </c>
      <c r="AZ272" t="s">
        <v>98</v>
      </c>
      <c r="BA272" t="s">
        <v>99</v>
      </c>
      <c r="BB272" t="s">
        <v>1897</v>
      </c>
      <c r="BC272" t="s">
        <v>182</v>
      </c>
      <c r="BD272" t="s">
        <v>1898</v>
      </c>
      <c r="BE272">
        <v>2023</v>
      </c>
      <c r="BF272">
        <v>2023</v>
      </c>
    </row>
    <row r="273" spans="1:58">
      <c r="A273">
        <v>2483474</v>
      </c>
      <c r="B273">
        <v>80</v>
      </c>
      <c r="C273">
        <v>3</v>
      </c>
      <c r="D273">
        <v>4272344</v>
      </c>
      <c r="F273" t="s">
        <v>80</v>
      </c>
      <c r="G273" t="s">
        <v>81</v>
      </c>
      <c r="H273" t="s">
        <v>19</v>
      </c>
      <c r="I273" t="s">
        <v>22</v>
      </c>
      <c r="J273" t="s">
        <v>6</v>
      </c>
      <c r="K273" t="s">
        <v>83</v>
      </c>
      <c r="L273" s="3">
        <v>46029</v>
      </c>
      <c r="M273" t="s">
        <v>193</v>
      </c>
      <c r="N273">
        <v>18978958</v>
      </c>
      <c r="O273">
        <v>0</v>
      </c>
      <c r="P273" t="s">
        <v>1899</v>
      </c>
      <c r="Q273">
        <v>1</v>
      </c>
      <c r="R273">
        <v>393.04199999999997</v>
      </c>
      <c r="S273" s="3">
        <v>46027</v>
      </c>
      <c r="T273">
        <v>35</v>
      </c>
      <c r="U273">
        <v>35</v>
      </c>
      <c r="V273">
        <v>48</v>
      </c>
      <c r="W273" t="s">
        <v>1425</v>
      </c>
      <c r="X273" t="s">
        <v>1532</v>
      </c>
      <c r="Y273">
        <v>50681</v>
      </c>
      <c r="Z273">
        <v>70708</v>
      </c>
      <c r="AA273" t="s">
        <v>98</v>
      </c>
      <c r="AB273" t="s">
        <v>1900</v>
      </c>
      <c r="AC273">
        <v>1300515</v>
      </c>
      <c r="AD273" t="s">
        <v>1901</v>
      </c>
      <c r="AG273" t="s">
        <v>1523</v>
      </c>
      <c r="AH273" t="s">
        <v>1428</v>
      </c>
      <c r="AI273">
        <v>973315009</v>
      </c>
      <c r="AL273" t="s">
        <v>1902</v>
      </c>
      <c r="AO273" t="s">
        <v>1903</v>
      </c>
      <c r="AP273" t="s">
        <v>1904</v>
      </c>
      <c r="AQ273" t="s">
        <v>338</v>
      </c>
      <c r="AR273" t="s">
        <v>1905</v>
      </c>
      <c r="AS273" t="s">
        <v>752</v>
      </c>
      <c r="AT273" t="s">
        <v>141</v>
      </c>
      <c r="AU273" t="s">
        <v>96</v>
      </c>
      <c r="AZ273" t="s">
        <v>98</v>
      </c>
      <c r="BA273" t="s">
        <v>99</v>
      </c>
      <c r="BB273" t="s">
        <v>1906</v>
      </c>
      <c r="BC273" t="s">
        <v>278</v>
      </c>
      <c r="BD273" t="s">
        <v>1907</v>
      </c>
      <c r="BE273">
        <v>2016</v>
      </c>
      <c r="BF273">
        <v>2016</v>
      </c>
    </row>
    <row r="274" spans="1:58">
      <c r="A274">
        <v>2484335</v>
      </c>
      <c r="B274">
        <v>30</v>
      </c>
      <c r="C274">
        <v>2</v>
      </c>
      <c r="D274">
        <v>9250316</v>
      </c>
      <c r="F274" t="s">
        <v>80</v>
      </c>
      <c r="G274" t="s">
        <v>81</v>
      </c>
      <c r="H274" t="s">
        <v>19</v>
      </c>
      <c r="I274" s="527">
        <v>46052</v>
      </c>
      <c r="J274" t="s">
        <v>6</v>
      </c>
      <c r="K274" t="s">
        <v>83</v>
      </c>
      <c r="L274" s="3">
        <v>46029</v>
      </c>
      <c r="M274" t="s">
        <v>193</v>
      </c>
      <c r="N274">
        <v>12965916</v>
      </c>
      <c r="O274">
        <v>5</v>
      </c>
      <c r="P274" t="s">
        <v>1908</v>
      </c>
      <c r="Q274">
        <v>1</v>
      </c>
      <c r="R274">
        <v>294.738</v>
      </c>
      <c r="S274" t="s">
        <v>1909</v>
      </c>
      <c r="T274">
        <v>36</v>
      </c>
      <c r="U274">
        <v>35</v>
      </c>
      <c r="V274">
        <v>62</v>
      </c>
      <c r="W274" t="s">
        <v>1391</v>
      </c>
      <c r="X274" t="s">
        <v>87</v>
      </c>
      <c r="Y274">
        <v>8362</v>
      </c>
      <c r="Z274">
        <v>0</v>
      </c>
      <c r="AA274" t="s">
        <v>98</v>
      </c>
      <c r="AB274" t="s">
        <v>1900</v>
      </c>
      <c r="AC274">
        <v>597838</v>
      </c>
      <c r="AD274" t="s">
        <v>1427</v>
      </c>
      <c r="AG274" t="s">
        <v>1523</v>
      </c>
      <c r="AH274" t="s">
        <v>1439</v>
      </c>
      <c r="AI274">
        <v>974478774</v>
      </c>
      <c r="AL274" t="s">
        <v>1910</v>
      </c>
      <c r="AO274" t="s">
        <v>1911</v>
      </c>
      <c r="AP274" t="s">
        <v>800</v>
      </c>
      <c r="AQ274" t="s">
        <v>801</v>
      </c>
      <c r="AR274" t="s">
        <v>1912</v>
      </c>
      <c r="AS274" t="s">
        <v>236</v>
      </c>
      <c r="AT274" t="s">
        <v>122</v>
      </c>
      <c r="AU274" t="s">
        <v>96</v>
      </c>
      <c r="AW274" t="s">
        <v>410</v>
      </c>
      <c r="AX274" t="s">
        <v>1527</v>
      </c>
      <c r="AY274" t="s">
        <v>1608</v>
      </c>
      <c r="AZ274" t="s">
        <v>111</v>
      </c>
      <c r="BA274" t="s">
        <v>285</v>
      </c>
      <c r="BB274" t="s">
        <v>1913</v>
      </c>
      <c r="BC274" t="s">
        <v>200</v>
      </c>
      <c r="BD274" t="s">
        <v>1914</v>
      </c>
      <c r="BE274">
        <v>2022</v>
      </c>
      <c r="BF274">
        <v>2022</v>
      </c>
    </row>
    <row r="275" spans="1:58">
      <c r="A275">
        <v>2484501</v>
      </c>
      <c r="B275">
        <v>0</v>
      </c>
      <c r="D275">
        <v>2699554</v>
      </c>
      <c r="F275" t="s">
        <v>80</v>
      </c>
      <c r="G275" t="s">
        <v>81</v>
      </c>
      <c r="H275" t="s">
        <v>12</v>
      </c>
      <c r="I275" t="s">
        <v>1862</v>
      </c>
      <c r="J275" t="s">
        <v>6</v>
      </c>
      <c r="K275" t="s">
        <v>83</v>
      </c>
      <c r="L275" s="3">
        <v>46029</v>
      </c>
      <c r="M275" t="s">
        <v>193</v>
      </c>
      <c r="N275">
        <v>10928665</v>
      </c>
      <c r="O275">
        <v>6</v>
      </c>
      <c r="P275" t="s">
        <v>1915</v>
      </c>
      <c r="Q275">
        <v>1</v>
      </c>
      <c r="R275">
        <v>224.989</v>
      </c>
      <c r="U275">
        <v>33</v>
      </c>
      <c r="W275" t="s">
        <v>1425</v>
      </c>
      <c r="X275" t="s">
        <v>1532</v>
      </c>
      <c r="Y275">
        <v>0</v>
      </c>
      <c r="Z275">
        <v>0</v>
      </c>
      <c r="AA275" t="s">
        <v>98</v>
      </c>
      <c r="AB275" t="s">
        <v>1916</v>
      </c>
      <c r="AC275">
        <v>0</v>
      </c>
      <c r="AD275" t="s">
        <v>1888</v>
      </c>
      <c r="AH275" t="s">
        <v>221</v>
      </c>
      <c r="AI275">
        <v>981615097</v>
      </c>
      <c r="AL275" t="s">
        <v>1917</v>
      </c>
      <c r="AO275" t="s">
        <v>1918</v>
      </c>
      <c r="AP275" t="s">
        <v>882</v>
      </c>
      <c r="AQ275" t="s">
        <v>178</v>
      </c>
      <c r="AR275" t="s">
        <v>1919</v>
      </c>
      <c r="AS275" t="s">
        <v>293</v>
      </c>
      <c r="AT275" t="s">
        <v>141</v>
      </c>
      <c r="AU275" t="s">
        <v>96</v>
      </c>
      <c r="AW275" t="s">
        <v>218</v>
      </c>
      <c r="AX275" t="s">
        <v>1920</v>
      </c>
      <c r="AY275" t="s">
        <v>1921</v>
      </c>
      <c r="AZ275" t="s">
        <v>98</v>
      </c>
      <c r="BA275" t="s">
        <v>221</v>
      </c>
      <c r="BB275" t="s">
        <v>1922</v>
      </c>
      <c r="BC275" t="s">
        <v>769</v>
      </c>
      <c r="BD275" t="s">
        <v>1923</v>
      </c>
      <c r="BE275">
        <v>2018</v>
      </c>
      <c r="BF275">
        <v>2018</v>
      </c>
    </row>
    <row r="276" spans="1:58">
      <c r="A276">
        <v>2494544</v>
      </c>
      <c r="B276">
        <v>186</v>
      </c>
      <c r="C276">
        <v>7</v>
      </c>
      <c r="D276">
        <v>4288233</v>
      </c>
      <c r="F276" t="s">
        <v>80</v>
      </c>
      <c r="G276" t="s">
        <v>81</v>
      </c>
      <c r="H276" t="s">
        <v>13</v>
      </c>
      <c r="I276" t="s">
        <v>14</v>
      </c>
      <c r="J276" t="s">
        <v>6</v>
      </c>
      <c r="K276" t="s">
        <v>83</v>
      </c>
      <c r="L276" s="3">
        <v>46029</v>
      </c>
      <c r="M276" t="s">
        <v>193</v>
      </c>
      <c r="N276">
        <v>9733821</v>
      </c>
      <c r="O276">
        <v>3</v>
      </c>
      <c r="P276" t="s">
        <v>1924</v>
      </c>
      <c r="Q276">
        <v>1</v>
      </c>
      <c r="R276">
        <v>316.851</v>
      </c>
      <c r="S276" t="s">
        <v>1925</v>
      </c>
      <c r="T276">
        <v>31</v>
      </c>
      <c r="U276">
        <v>31</v>
      </c>
      <c r="V276">
        <v>48</v>
      </c>
      <c r="W276" t="s">
        <v>1425</v>
      </c>
      <c r="X276" t="s">
        <v>1532</v>
      </c>
      <c r="Y276">
        <v>182966</v>
      </c>
      <c r="Z276">
        <v>137418</v>
      </c>
      <c r="AA276" t="s">
        <v>98</v>
      </c>
      <c r="AB276" s="3">
        <v>45143</v>
      </c>
      <c r="AC276">
        <v>2538341</v>
      </c>
      <c r="AD276" t="s">
        <v>1901</v>
      </c>
      <c r="AH276" t="s">
        <v>1428</v>
      </c>
      <c r="AI276">
        <v>999630417</v>
      </c>
      <c r="AL276" t="s">
        <v>1926</v>
      </c>
      <c r="AO276" t="s">
        <v>1927</v>
      </c>
      <c r="AP276" t="s">
        <v>365</v>
      </c>
      <c r="AQ276" t="s">
        <v>149</v>
      </c>
      <c r="AR276" t="s">
        <v>1928</v>
      </c>
      <c r="AS276" t="s">
        <v>418</v>
      </c>
      <c r="AT276" t="s">
        <v>141</v>
      </c>
      <c r="AU276" t="s">
        <v>96</v>
      </c>
      <c r="AZ276" t="s">
        <v>98</v>
      </c>
      <c r="BA276" t="s">
        <v>99</v>
      </c>
      <c r="BB276" t="s">
        <v>1929</v>
      </c>
      <c r="BC276" t="s">
        <v>603</v>
      </c>
      <c r="BD276" t="s">
        <v>1930</v>
      </c>
      <c r="BE276">
        <v>2020</v>
      </c>
      <c r="BF276">
        <v>2020</v>
      </c>
    </row>
    <row r="277" spans="1:58">
      <c r="A277">
        <v>2501085</v>
      </c>
      <c r="B277">
        <v>158</v>
      </c>
      <c r="C277">
        <v>6</v>
      </c>
      <c r="D277">
        <v>4379177</v>
      </c>
      <c r="F277" t="s">
        <v>80</v>
      </c>
      <c r="G277" t="s">
        <v>81</v>
      </c>
      <c r="H277" t="s">
        <v>12</v>
      </c>
      <c r="I277" t="s">
        <v>13</v>
      </c>
      <c r="J277" t="s">
        <v>6</v>
      </c>
      <c r="K277" t="s">
        <v>83</v>
      </c>
      <c r="L277" s="3">
        <v>46029</v>
      </c>
      <c r="M277" t="s">
        <v>193</v>
      </c>
      <c r="N277">
        <v>14249393</v>
      </c>
      <c r="O277">
        <v>4</v>
      </c>
      <c r="P277" t="s">
        <v>1931</v>
      </c>
      <c r="Q277">
        <v>1</v>
      </c>
      <c r="R277">
        <v>335.18</v>
      </c>
      <c r="S277" s="3">
        <v>46358</v>
      </c>
      <c r="T277">
        <v>32</v>
      </c>
      <c r="U277">
        <v>32</v>
      </c>
      <c r="V277">
        <v>48</v>
      </c>
      <c r="W277" t="s">
        <v>1435</v>
      </c>
      <c r="X277" t="s">
        <v>87</v>
      </c>
      <c r="Y277">
        <v>150971</v>
      </c>
      <c r="Z277">
        <v>0</v>
      </c>
      <c r="AA277" t="s">
        <v>98</v>
      </c>
      <c r="AB277" s="3">
        <v>45235</v>
      </c>
      <c r="AC277">
        <v>2162051</v>
      </c>
      <c r="AD277" t="s">
        <v>1705</v>
      </c>
      <c r="AH277" t="s">
        <v>1428</v>
      </c>
      <c r="AI277">
        <v>978439062</v>
      </c>
      <c r="AL277" t="s">
        <v>1932</v>
      </c>
      <c r="AO277" t="s">
        <v>1933</v>
      </c>
      <c r="AP277" t="s">
        <v>107</v>
      </c>
      <c r="AQ277" t="s">
        <v>92</v>
      </c>
      <c r="AR277" t="s">
        <v>489</v>
      </c>
      <c r="AS277" t="s">
        <v>418</v>
      </c>
      <c r="AT277" t="s">
        <v>122</v>
      </c>
      <c r="AU277" t="s">
        <v>96</v>
      </c>
      <c r="AZ277" t="s">
        <v>111</v>
      </c>
      <c r="BA277" t="s">
        <v>99</v>
      </c>
      <c r="BB277" t="s">
        <v>1934</v>
      </c>
      <c r="BC277" t="s">
        <v>412</v>
      </c>
      <c r="BD277" t="s">
        <v>1935</v>
      </c>
      <c r="BE277">
        <v>2023</v>
      </c>
      <c r="BF277">
        <v>2023</v>
      </c>
    </row>
    <row r="278" spans="1:58">
      <c r="A278">
        <v>2502847</v>
      </c>
      <c r="B278">
        <v>313</v>
      </c>
      <c r="C278">
        <v>11</v>
      </c>
      <c r="D278">
        <v>5951024</v>
      </c>
      <c r="F278" t="s">
        <v>80</v>
      </c>
      <c r="G278" t="s">
        <v>81</v>
      </c>
      <c r="H278" t="s">
        <v>17</v>
      </c>
      <c r="I278" t="s">
        <v>18</v>
      </c>
      <c r="J278" t="s">
        <v>6</v>
      </c>
      <c r="K278" t="s">
        <v>83</v>
      </c>
      <c r="L278" s="3">
        <v>46029</v>
      </c>
      <c r="M278" t="s">
        <v>193</v>
      </c>
      <c r="N278">
        <v>16462570</v>
      </c>
      <c r="O278">
        <v>2</v>
      </c>
      <c r="P278" t="s">
        <v>1936</v>
      </c>
      <c r="Q278">
        <v>1</v>
      </c>
      <c r="R278">
        <v>266.57400000000001</v>
      </c>
      <c r="S278" s="3">
        <v>45939</v>
      </c>
      <c r="T278">
        <v>27</v>
      </c>
      <c r="U278">
        <v>27</v>
      </c>
      <c r="V278">
        <v>60</v>
      </c>
      <c r="W278" t="s">
        <v>1448</v>
      </c>
      <c r="X278" t="s">
        <v>87</v>
      </c>
      <c r="Y278">
        <v>422136</v>
      </c>
      <c r="Z278">
        <v>0</v>
      </c>
      <c r="AA278" t="s">
        <v>98</v>
      </c>
      <c r="AB278" s="3">
        <v>45204</v>
      </c>
      <c r="AC278">
        <v>3354450</v>
      </c>
      <c r="AD278" t="s">
        <v>1705</v>
      </c>
      <c r="AH278" t="s">
        <v>1428</v>
      </c>
      <c r="AI278">
        <v>936441810</v>
      </c>
      <c r="AL278" t="s">
        <v>1937</v>
      </c>
      <c r="AO278" t="s">
        <v>735</v>
      </c>
      <c r="AP278" t="s">
        <v>735</v>
      </c>
      <c r="AQ278" t="s">
        <v>92</v>
      </c>
      <c r="AR278" t="s">
        <v>1938</v>
      </c>
      <c r="AS278" t="s">
        <v>271</v>
      </c>
      <c r="AT278" t="s">
        <v>122</v>
      </c>
      <c r="AU278" t="s">
        <v>96</v>
      </c>
      <c r="AZ278" t="s">
        <v>111</v>
      </c>
      <c r="BA278" t="s">
        <v>99</v>
      </c>
      <c r="BB278" t="s">
        <v>1939</v>
      </c>
      <c r="BC278" t="s">
        <v>309</v>
      </c>
      <c r="BD278" t="s">
        <v>1940</v>
      </c>
      <c r="BE278">
        <v>2023</v>
      </c>
      <c r="BF278">
        <v>2023</v>
      </c>
    </row>
    <row r="279" spans="1:58">
      <c r="A279">
        <v>2506766</v>
      </c>
      <c r="B279">
        <v>35</v>
      </c>
      <c r="C279">
        <v>2</v>
      </c>
      <c r="D279">
        <v>10109816</v>
      </c>
      <c r="F279" t="s">
        <v>80</v>
      </c>
      <c r="G279" t="s">
        <v>81</v>
      </c>
      <c r="H279" s="527">
        <v>46052</v>
      </c>
      <c r="I279" t="s">
        <v>19</v>
      </c>
      <c r="J279" t="s">
        <v>6</v>
      </c>
      <c r="K279" t="s">
        <v>83</v>
      </c>
      <c r="L279" s="3">
        <v>46029</v>
      </c>
      <c r="M279" t="s">
        <v>1433</v>
      </c>
      <c r="N279">
        <v>13548931</v>
      </c>
      <c r="O279" t="s">
        <v>266</v>
      </c>
      <c r="P279" t="s">
        <v>1941</v>
      </c>
      <c r="Q279">
        <v>1</v>
      </c>
      <c r="R279">
        <v>474.072</v>
      </c>
      <c r="S279" t="s">
        <v>1942</v>
      </c>
      <c r="T279">
        <v>36</v>
      </c>
      <c r="U279">
        <v>36</v>
      </c>
      <c r="V279">
        <v>46</v>
      </c>
      <c r="W279" t="s">
        <v>1465</v>
      </c>
      <c r="Y279">
        <v>17654</v>
      </c>
      <c r="Z279">
        <v>0</v>
      </c>
      <c r="AA279" t="s">
        <v>98</v>
      </c>
      <c r="AB279" s="3">
        <v>45235</v>
      </c>
      <c r="AC279">
        <v>965798</v>
      </c>
      <c r="AD279" t="s">
        <v>1881</v>
      </c>
      <c r="AG279" t="s">
        <v>1523</v>
      </c>
      <c r="AH279" t="s">
        <v>1428</v>
      </c>
      <c r="AI279">
        <v>994139984</v>
      </c>
      <c r="AL279" t="s">
        <v>1943</v>
      </c>
      <c r="AO279" t="s">
        <v>1944</v>
      </c>
      <c r="AP279" t="s">
        <v>715</v>
      </c>
      <c r="AQ279" t="s">
        <v>92</v>
      </c>
      <c r="AR279" t="s">
        <v>767</v>
      </c>
      <c r="AS279" t="s">
        <v>548</v>
      </c>
      <c r="AT279" t="s">
        <v>244</v>
      </c>
      <c r="AU279" t="s">
        <v>527</v>
      </c>
      <c r="AW279" t="s">
        <v>410</v>
      </c>
      <c r="AX279" t="s">
        <v>1443</v>
      </c>
      <c r="AY279" s="3">
        <v>46060</v>
      </c>
      <c r="AZ279" t="s">
        <v>111</v>
      </c>
      <c r="BA279" t="s">
        <v>285</v>
      </c>
      <c r="BB279" t="s">
        <v>1945</v>
      </c>
      <c r="BC279" t="s">
        <v>182</v>
      </c>
      <c r="BD279" t="s">
        <v>1946</v>
      </c>
      <c r="BE279">
        <v>0</v>
      </c>
      <c r="BF279">
        <v>0</v>
      </c>
    </row>
    <row r="280" spans="1:58">
      <c r="A280">
        <v>2508642</v>
      </c>
      <c r="B280">
        <v>10</v>
      </c>
      <c r="C280">
        <v>1</v>
      </c>
      <c r="D280">
        <v>2321742</v>
      </c>
      <c r="F280" t="s">
        <v>80</v>
      </c>
      <c r="G280" t="s">
        <v>81</v>
      </c>
      <c r="H280" s="527">
        <v>46052</v>
      </c>
      <c r="I280" s="527">
        <v>46052</v>
      </c>
      <c r="J280" t="s">
        <v>6</v>
      </c>
      <c r="K280" t="s">
        <v>83</v>
      </c>
      <c r="L280" s="3">
        <v>46029</v>
      </c>
      <c r="M280" t="s">
        <v>193</v>
      </c>
      <c r="N280">
        <v>12909602</v>
      </c>
      <c r="O280">
        <v>0</v>
      </c>
      <c r="P280" t="s">
        <v>1947</v>
      </c>
      <c r="Q280">
        <v>1</v>
      </c>
      <c r="R280">
        <v>213.25700000000001</v>
      </c>
      <c r="S280" s="3">
        <v>46302</v>
      </c>
      <c r="T280">
        <v>36</v>
      </c>
      <c r="U280">
        <v>35</v>
      </c>
      <c r="V280">
        <v>47</v>
      </c>
      <c r="W280" t="s">
        <v>1391</v>
      </c>
      <c r="X280" t="s">
        <v>87</v>
      </c>
      <c r="Y280">
        <v>2348</v>
      </c>
      <c r="Z280">
        <v>0</v>
      </c>
      <c r="AA280" t="s">
        <v>98</v>
      </c>
      <c r="AB280" t="s">
        <v>1948</v>
      </c>
      <c r="AC280">
        <v>215605</v>
      </c>
      <c r="AD280" t="s">
        <v>1949</v>
      </c>
      <c r="AG280" t="s">
        <v>1523</v>
      </c>
      <c r="AH280" t="s">
        <v>1439</v>
      </c>
      <c r="AI280">
        <v>984103204</v>
      </c>
      <c r="AL280" t="s">
        <v>1950</v>
      </c>
      <c r="AO280" t="s">
        <v>1951</v>
      </c>
      <c r="AP280" t="s">
        <v>408</v>
      </c>
      <c r="AQ280" t="s">
        <v>92</v>
      </c>
      <c r="AR280" t="s">
        <v>1952</v>
      </c>
      <c r="AS280" t="s">
        <v>189</v>
      </c>
      <c r="AT280" t="s">
        <v>74</v>
      </c>
      <c r="AU280" t="s">
        <v>96</v>
      </c>
      <c r="AW280" t="s">
        <v>410</v>
      </c>
      <c r="AX280" t="s">
        <v>1443</v>
      </c>
      <c r="AY280" s="3">
        <v>46060</v>
      </c>
      <c r="AZ280" t="s">
        <v>111</v>
      </c>
      <c r="BA280" t="s">
        <v>285</v>
      </c>
      <c r="BB280" t="s">
        <v>1953</v>
      </c>
      <c r="BC280" t="s">
        <v>164</v>
      </c>
      <c r="BD280" t="s">
        <v>1051</v>
      </c>
      <c r="BE280">
        <v>2021</v>
      </c>
      <c r="BF280">
        <v>2021</v>
      </c>
    </row>
    <row r="281" spans="1:58">
      <c r="A281">
        <v>2521582</v>
      </c>
      <c r="B281">
        <v>76</v>
      </c>
      <c r="C281">
        <v>3</v>
      </c>
      <c r="D281">
        <v>8723215</v>
      </c>
      <c r="F281" t="s">
        <v>80</v>
      </c>
      <c r="G281" t="s">
        <v>81</v>
      </c>
      <c r="H281" t="s">
        <v>19</v>
      </c>
      <c r="I281" t="s">
        <v>22</v>
      </c>
      <c r="J281" t="s">
        <v>6</v>
      </c>
      <c r="K281" t="s">
        <v>83</v>
      </c>
      <c r="L281" s="3">
        <v>46029</v>
      </c>
      <c r="M281" t="s">
        <v>1559</v>
      </c>
      <c r="N281">
        <v>15347228</v>
      </c>
      <c r="O281">
        <v>9</v>
      </c>
      <c r="P281" t="s">
        <v>1954</v>
      </c>
      <c r="Q281">
        <v>1</v>
      </c>
      <c r="R281">
        <v>400.596</v>
      </c>
      <c r="S281" s="3">
        <v>46147</v>
      </c>
      <c r="T281">
        <v>34</v>
      </c>
      <c r="U281">
        <v>34</v>
      </c>
      <c r="V281">
        <v>49</v>
      </c>
      <c r="W281" t="s">
        <v>1448</v>
      </c>
      <c r="Y281">
        <v>51134</v>
      </c>
      <c r="Z281">
        <v>0</v>
      </c>
      <c r="AA281" t="s">
        <v>98</v>
      </c>
      <c r="AB281" t="s">
        <v>1955</v>
      </c>
      <c r="AC281">
        <v>1252922</v>
      </c>
      <c r="AD281" t="s">
        <v>1705</v>
      </c>
      <c r="AG281" t="s">
        <v>1523</v>
      </c>
      <c r="AH281" t="s">
        <v>1428</v>
      </c>
      <c r="AI281">
        <v>941269247</v>
      </c>
      <c r="AJ281">
        <v>961077778</v>
      </c>
      <c r="AL281" t="s">
        <v>1956</v>
      </c>
      <c r="AO281" t="s">
        <v>1957</v>
      </c>
      <c r="AP281" t="s">
        <v>107</v>
      </c>
      <c r="AQ281" t="s">
        <v>92</v>
      </c>
      <c r="AR281" t="s">
        <v>1958</v>
      </c>
      <c r="AS281" t="s">
        <v>198</v>
      </c>
      <c r="AT281" t="s">
        <v>122</v>
      </c>
      <c r="AU281" t="s">
        <v>96</v>
      </c>
      <c r="AZ281" t="s">
        <v>111</v>
      </c>
      <c r="BA281" t="s">
        <v>99</v>
      </c>
      <c r="BB281" t="s">
        <v>1959</v>
      </c>
      <c r="BC281" t="s">
        <v>309</v>
      </c>
      <c r="BD281" t="s">
        <v>1960</v>
      </c>
      <c r="BE281">
        <v>2023</v>
      </c>
      <c r="BF281">
        <v>2023</v>
      </c>
    </row>
    <row r="282" spans="1:58">
      <c r="A282">
        <v>2521831</v>
      </c>
      <c r="B282">
        <v>288</v>
      </c>
      <c r="C282">
        <v>10</v>
      </c>
      <c r="D282">
        <v>3332185</v>
      </c>
      <c r="F282" t="s">
        <v>80</v>
      </c>
      <c r="G282" t="s">
        <v>81</v>
      </c>
      <c r="H282" t="s">
        <v>16</v>
      </c>
      <c r="I282" t="s">
        <v>17</v>
      </c>
      <c r="J282" t="s">
        <v>6</v>
      </c>
      <c r="K282" t="s">
        <v>83</v>
      </c>
      <c r="L282" s="3">
        <v>46029</v>
      </c>
      <c r="M282" t="s">
        <v>193</v>
      </c>
      <c r="N282">
        <v>18680808</v>
      </c>
      <c r="O282">
        <v>8</v>
      </c>
      <c r="P282" t="s">
        <v>1961</v>
      </c>
      <c r="Q282">
        <v>1</v>
      </c>
      <c r="R282">
        <v>187.499</v>
      </c>
      <c r="S282" s="3">
        <v>45787</v>
      </c>
      <c r="T282">
        <v>27</v>
      </c>
      <c r="U282">
        <v>27</v>
      </c>
      <c r="V282">
        <v>48</v>
      </c>
      <c r="W282" t="s">
        <v>1465</v>
      </c>
      <c r="X282" t="s">
        <v>1449</v>
      </c>
      <c r="Y282">
        <v>279661</v>
      </c>
      <c r="Z282">
        <v>0</v>
      </c>
      <c r="AA282" t="s">
        <v>98</v>
      </c>
      <c r="AB282" s="3">
        <v>45235</v>
      </c>
      <c r="AC282">
        <v>2154651</v>
      </c>
      <c r="AD282" t="s">
        <v>1962</v>
      </c>
      <c r="AH282" t="s">
        <v>1428</v>
      </c>
      <c r="AI282">
        <v>987887876</v>
      </c>
      <c r="AL282" t="s">
        <v>1963</v>
      </c>
      <c r="AO282" t="s">
        <v>1964</v>
      </c>
      <c r="AP282" t="s">
        <v>501</v>
      </c>
      <c r="AQ282" t="s">
        <v>188</v>
      </c>
      <c r="AR282" t="s">
        <v>1965</v>
      </c>
      <c r="AS282" t="s">
        <v>180</v>
      </c>
      <c r="AT282" t="s">
        <v>74</v>
      </c>
      <c r="AU282" t="s">
        <v>96</v>
      </c>
      <c r="AZ282" t="s">
        <v>111</v>
      </c>
      <c r="BA282" t="s">
        <v>99</v>
      </c>
      <c r="BC282" t="s">
        <v>230</v>
      </c>
      <c r="BD282" t="s">
        <v>866</v>
      </c>
      <c r="BE282">
        <v>2022</v>
      </c>
      <c r="BF282">
        <v>2022</v>
      </c>
    </row>
    <row r="283" spans="1:58">
      <c r="A283">
        <v>2523286</v>
      </c>
      <c r="B283">
        <v>165</v>
      </c>
      <c r="C283">
        <v>6</v>
      </c>
      <c r="D283">
        <v>3724480</v>
      </c>
      <c r="F283" t="s">
        <v>80</v>
      </c>
      <c r="G283" t="s">
        <v>81</v>
      </c>
      <c r="H283" t="s">
        <v>12</v>
      </c>
      <c r="I283" t="s">
        <v>13</v>
      </c>
      <c r="J283" t="s">
        <v>6</v>
      </c>
      <c r="K283" t="s">
        <v>83</v>
      </c>
      <c r="L283" s="3">
        <v>46029</v>
      </c>
      <c r="M283" t="s">
        <v>193</v>
      </c>
      <c r="N283">
        <v>10631272</v>
      </c>
      <c r="O283">
        <v>9</v>
      </c>
      <c r="P283" t="s">
        <v>1966</v>
      </c>
      <c r="Q283">
        <v>1</v>
      </c>
      <c r="R283">
        <v>282.65600000000001</v>
      </c>
      <c r="S283" s="3">
        <v>46144</v>
      </c>
      <c r="T283">
        <v>31</v>
      </c>
      <c r="U283">
        <v>31</v>
      </c>
      <c r="V283">
        <v>48</v>
      </c>
      <c r="W283" t="s">
        <v>1425</v>
      </c>
      <c r="X283" t="s">
        <v>87</v>
      </c>
      <c r="Y283">
        <v>155629</v>
      </c>
      <c r="Z283">
        <v>0</v>
      </c>
      <c r="AA283" t="s">
        <v>98</v>
      </c>
      <c r="AB283" t="s">
        <v>1967</v>
      </c>
      <c r="AC283">
        <v>1851565</v>
      </c>
      <c r="AD283" t="s">
        <v>1968</v>
      </c>
      <c r="AH283" t="s">
        <v>1428</v>
      </c>
      <c r="AI283">
        <v>933827499</v>
      </c>
      <c r="AL283" t="s">
        <v>1969</v>
      </c>
      <c r="AO283" t="s">
        <v>1970</v>
      </c>
      <c r="AP283" t="s">
        <v>501</v>
      </c>
      <c r="AQ283" t="s">
        <v>188</v>
      </c>
      <c r="AR283" t="s">
        <v>1971</v>
      </c>
      <c r="AS283" t="s">
        <v>217</v>
      </c>
      <c r="AT283" t="s">
        <v>503</v>
      </c>
      <c r="AU283" t="s">
        <v>96</v>
      </c>
      <c r="AZ283" t="s">
        <v>111</v>
      </c>
      <c r="BA283" t="s">
        <v>99</v>
      </c>
      <c r="BB283" t="s">
        <v>1972</v>
      </c>
      <c r="BC283" t="s">
        <v>1973</v>
      </c>
      <c r="BD283" t="s">
        <v>1974</v>
      </c>
      <c r="BE283">
        <v>2023</v>
      </c>
      <c r="BF283">
        <v>2023</v>
      </c>
    </row>
    <row r="284" spans="1:58">
      <c r="A284">
        <v>2524632</v>
      </c>
      <c r="B284">
        <v>160</v>
      </c>
      <c r="C284">
        <v>6</v>
      </c>
      <c r="D284">
        <v>5455583</v>
      </c>
      <c r="F284" t="s">
        <v>80</v>
      </c>
      <c r="G284" t="s">
        <v>81</v>
      </c>
      <c r="H284" t="s">
        <v>12</v>
      </c>
      <c r="I284" t="s">
        <v>13</v>
      </c>
      <c r="J284" t="s">
        <v>6</v>
      </c>
      <c r="K284" t="s">
        <v>83</v>
      </c>
      <c r="L284" s="3">
        <v>46302</v>
      </c>
      <c r="M284" t="s">
        <v>193</v>
      </c>
      <c r="N284">
        <v>18352828</v>
      </c>
      <c r="O284">
        <v>9</v>
      </c>
      <c r="P284" t="s">
        <v>1975</v>
      </c>
      <c r="Q284">
        <v>1</v>
      </c>
      <c r="R284">
        <v>220.852</v>
      </c>
      <c r="S284" s="3">
        <v>46297</v>
      </c>
      <c r="T284">
        <v>31</v>
      </c>
      <c r="U284">
        <v>31</v>
      </c>
      <c r="V284">
        <v>49</v>
      </c>
      <c r="W284" t="s">
        <v>1448</v>
      </c>
      <c r="X284" t="s">
        <v>1532</v>
      </c>
      <c r="Y284">
        <v>105461</v>
      </c>
      <c r="Z284">
        <v>93426</v>
      </c>
      <c r="AA284" t="s">
        <v>98</v>
      </c>
      <c r="AB284" t="s">
        <v>1976</v>
      </c>
      <c r="AC284">
        <v>1523999</v>
      </c>
      <c r="AD284" t="s">
        <v>1977</v>
      </c>
      <c r="AH284" t="s">
        <v>1428</v>
      </c>
      <c r="AI284">
        <v>985122826</v>
      </c>
      <c r="AL284" t="s">
        <v>1978</v>
      </c>
      <c r="AO284" t="s">
        <v>1979</v>
      </c>
      <c r="AP284" t="s">
        <v>976</v>
      </c>
      <c r="AQ284" t="s">
        <v>215</v>
      </c>
      <c r="AT284" t="s">
        <v>95</v>
      </c>
      <c r="AU284" t="s">
        <v>1777</v>
      </c>
      <c r="AZ284" t="s">
        <v>98</v>
      </c>
      <c r="BA284" t="s">
        <v>99</v>
      </c>
      <c r="BB284" t="s">
        <v>1980</v>
      </c>
      <c r="BC284" t="s">
        <v>468</v>
      </c>
      <c r="BD284" t="s">
        <v>657</v>
      </c>
      <c r="BE284">
        <v>2023</v>
      </c>
      <c r="BF284">
        <v>2023</v>
      </c>
    </row>
    <row r="285" spans="1:58">
      <c r="A285">
        <v>2527263</v>
      </c>
      <c r="B285">
        <v>71</v>
      </c>
      <c r="C285">
        <v>3</v>
      </c>
      <c r="D285">
        <v>2572363</v>
      </c>
      <c r="F285" t="s">
        <v>80</v>
      </c>
      <c r="G285" t="s">
        <v>81</v>
      </c>
      <c r="H285" t="s">
        <v>19</v>
      </c>
      <c r="I285" t="s">
        <v>22</v>
      </c>
      <c r="J285" t="s">
        <v>6</v>
      </c>
      <c r="K285" t="s">
        <v>83</v>
      </c>
      <c r="L285" s="3">
        <v>46029</v>
      </c>
      <c r="M285" t="s">
        <v>193</v>
      </c>
      <c r="N285">
        <v>15606127</v>
      </c>
      <c r="O285">
        <v>1</v>
      </c>
      <c r="P285" t="s">
        <v>1981</v>
      </c>
      <c r="Q285">
        <v>1</v>
      </c>
      <c r="R285">
        <v>121.566</v>
      </c>
      <c r="S285" s="3">
        <v>46300</v>
      </c>
      <c r="T285">
        <v>34</v>
      </c>
      <c r="U285">
        <v>34</v>
      </c>
      <c r="V285">
        <v>60</v>
      </c>
      <c r="W285" t="s">
        <v>1391</v>
      </c>
      <c r="Y285">
        <v>15089</v>
      </c>
      <c r="Z285">
        <v>26039</v>
      </c>
      <c r="AA285" t="s">
        <v>98</v>
      </c>
      <c r="AB285" t="s">
        <v>1982</v>
      </c>
      <c r="AC285">
        <v>405826</v>
      </c>
      <c r="AD285" t="s">
        <v>1983</v>
      </c>
      <c r="AG285" t="s">
        <v>1523</v>
      </c>
      <c r="AH285" t="s">
        <v>1428</v>
      </c>
      <c r="AI285">
        <v>976098214</v>
      </c>
      <c r="AL285" t="s">
        <v>1984</v>
      </c>
      <c r="AO285" t="s">
        <v>1985</v>
      </c>
      <c r="AP285" t="s">
        <v>1151</v>
      </c>
      <c r="AQ285" t="s">
        <v>92</v>
      </c>
      <c r="AR285" t="s">
        <v>1986</v>
      </c>
      <c r="AS285" t="s">
        <v>171</v>
      </c>
      <c r="AT285" t="s">
        <v>141</v>
      </c>
      <c r="AU285" t="s">
        <v>96</v>
      </c>
      <c r="AZ285" t="s">
        <v>98</v>
      </c>
      <c r="BA285" t="s">
        <v>99</v>
      </c>
      <c r="BC285" t="s">
        <v>1519</v>
      </c>
      <c r="BD285" t="s">
        <v>1987</v>
      </c>
      <c r="BE285">
        <v>2021</v>
      </c>
      <c r="BF285">
        <v>2021</v>
      </c>
    </row>
    <row r="286" spans="1:58">
      <c r="A286">
        <v>2543715</v>
      </c>
      <c r="B286">
        <v>191</v>
      </c>
      <c r="C286">
        <v>7</v>
      </c>
      <c r="D286">
        <v>3787380</v>
      </c>
      <c r="F286" t="s">
        <v>80</v>
      </c>
      <c r="G286" t="s">
        <v>81</v>
      </c>
      <c r="H286" t="s">
        <v>14</v>
      </c>
      <c r="I286" t="s">
        <v>14</v>
      </c>
      <c r="J286" t="s">
        <v>6</v>
      </c>
      <c r="K286" t="s">
        <v>83</v>
      </c>
      <c r="L286" s="3">
        <v>46029</v>
      </c>
      <c r="M286" t="s">
        <v>193</v>
      </c>
      <c r="N286">
        <v>17903455</v>
      </c>
      <c r="O286">
        <v>7</v>
      </c>
      <c r="P286" t="s">
        <v>1988</v>
      </c>
      <c r="Q286">
        <v>1</v>
      </c>
      <c r="R286">
        <v>264.178</v>
      </c>
      <c r="S286" s="3">
        <v>46296</v>
      </c>
      <c r="T286">
        <v>30</v>
      </c>
      <c r="U286">
        <v>29</v>
      </c>
      <c r="V286">
        <v>48</v>
      </c>
      <c r="W286" t="s">
        <v>1425</v>
      </c>
      <c r="X286" t="s">
        <v>1532</v>
      </c>
      <c r="Y286">
        <v>179167</v>
      </c>
      <c r="Z286">
        <v>9721</v>
      </c>
      <c r="AA286" t="s">
        <v>98</v>
      </c>
      <c r="AB286" s="3">
        <v>45083</v>
      </c>
      <c r="AC286">
        <v>2038134</v>
      </c>
      <c r="AD286" t="s">
        <v>1968</v>
      </c>
      <c r="AH286" t="s">
        <v>1439</v>
      </c>
      <c r="AI286">
        <v>998795194</v>
      </c>
      <c r="AL286" t="s">
        <v>1989</v>
      </c>
      <c r="AO286" t="s">
        <v>1990</v>
      </c>
      <c r="AP286" t="s">
        <v>1991</v>
      </c>
      <c r="AQ286" t="s">
        <v>724</v>
      </c>
      <c r="AR286" t="s">
        <v>1992</v>
      </c>
      <c r="AS286" t="s">
        <v>243</v>
      </c>
      <c r="AT286" t="s">
        <v>141</v>
      </c>
      <c r="AU286" t="s">
        <v>96</v>
      </c>
      <c r="AZ286" t="s">
        <v>98</v>
      </c>
      <c r="BA286" t="s">
        <v>99</v>
      </c>
      <c r="BB286" t="s">
        <v>1993</v>
      </c>
      <c r="BC286" t="s">
        <v>113</v>
      </c>
      <c r="BD286" t="s">
        <v>1994</v>
      </c>
      <c r="BE286">
        <v>2014</v>
      </c>
      <c r="BF286">
        <v>2014</v>
      </c>
    </row>
    <row r="287" spans="1:58">
      <c r="A287">
        <v>2545735</v>
      </c>
      <c r="B287">
        <v>278</v>
      </c>
      <c r="C287">
        <v>10</v>
      </c>
      <c r="D287">
        <v>7093850</v>
      </c>
      <c r="F287" t="s">
        <v>80</v>
      </c>
      <c r="G287" t="s">
        <v>81</v>
      </c>
      <c r="H287" t="s">
        <v>16</v>
      </c>
      <c r="I287" t="s">
        <v>17</v>
      </c>
      <c r="J287" t="s">
        <v>6</v>
      </c>
      <c r="K287" t="s">
        <v>83</v>
      </c>
      <c r="L287" s="3">
        <v>46029</v>
      </c>
      <c r="M287" t="s">
        <v>193</v>
      </c>
      <c r="N287">
        <v>12779922</v>
      </c>
      <c r="O287">
        <v>9</v>
      </c>
      <c r="P287" t="s">
        <v>1995</v>
      </c>
      <c r="Q287">
        <v>1</v>
      </c>
      <c r="R287">
        <v>340.83100000000002</v>
      </c>
      <c r="S287" t="s">
        <v>1795</v>
      </c>
      <c r="T287">
        <v>27</v>
      </c>
      <c r="U287">
        <v>27</v>
      </c>
      <c r="V287">
        <v>37</v>
      </c>
      <c r="W287" t="s">
        <v>1435</v>
      </c>
      <c r="X287" t="s">
        <v>87</v>
      </c>
      <c r="Y287">
        <v>474032</v>
      </c>
      <c r="Z287">
        <v>0</v>
      </c>
      <c r="AA287" t="s">
        <v>98</v>
      </c>
      <c r="AB287" s="3">
        <v>45083</v>
      </c>
      <c r="AC287">
        <v>3882342</v>
      </c>
      <c r="AD287" t="s">
        <v>1705</v>
      </c>
      <c r="AH287" t="s">
        <v>1428</v>
      </c>
      <c r="AI287">
        <v>992665686</v>
      </c>
      <c r="AL287" t="s">
        <v>1996</v>
      </c>
      <c r="AO287" t="s">
        <v>1997</v>
      </c>
      <c r="AP287" t="s">
        <v>902</v>
      </c>
      <c r="AQ287" t="s">
        <v>92</v>
      </c>
      <c r="AR287" t="s">
        <v>1755</v>
      </c>
      <c r="AS287" t="s">
        <v>243</v>
      </c>
      <c r="AT287" t="s">
        <v>122</v>
      </c>
      <c r="AU287" t="s">
        <v>96</v>
      </c>
      <c r="AZ287" t="s">
        <v>111</v>
      </c>
      <c r="BA287" t="s">
        <v>99</v>
      </c>
      <c r="BB287" t="s">
        <v>1998</v>
      </c>
      <c r="BC287" t="s">
        <v>143</v>
      </c>
      <c r="BD287" t="s">
        <v>893</v>
      </c>
      <c r="BE287">
        <v>2023</v>
      </c>
      <c r="BF287">
        <v>2023</v>
      </c>
    </row>
    <row r="288" spans="1:58">
      <c r="A288">
        <v>2545904</v>
      </c>
      <c r="B288">
        <v>45</v>
      </c>
      <c r="C288">
        <v>2</v>
      </c>
      <c r="D288">
        <v>4134127</v>
      </c>
      <c r="F288" t="s">
        <v>80</v>
      </c>
      <c r="G288" t="s">
        <v>81</v>
      </c>
      <c r="H288" t="s">
        <v>19</v>
      </c>
      <c r="I288" t="s">
        <v>19</v>
      </c>
      <c r="J288" t="s">
        <v>6</v>
      </c>
      <c r="K288" t="s">
        <v>83</v>
      </c>
      <c r="L288" s="3">
        <v>46029</v>
      </c>
      <c r="M288" t="s">
        <v>1559</v>
      </c>
      <c r="N288">
        <v>13011353</v>
      </c>
      <c r="O288">
        <v>2</v>
      </c>
      <c r="P288" t="s">
        <v>1999</v>
      </c>
      <c r="Q288">
        <v>1</v>
      </c>
      <c r="R288">
        <v>189.035</v>
      </c>
      <c r="S288" s="3">
        <v>46148</v>
      </c>
      <c r="T288">
        <v>34</v>
      </c>
      <c r="U288">
        <v>33</v>
      </c>
      <c r="V288">
        <v>60</v>
      </c>
      <c r="W288" t="s">
        <v>1465</v>
      </c>
      <c r="X288" t="s">
        <v>1449</v>
      </c>
      <c r="Y288">
        <v>10762</v>
      </c>
      <c r="Z288">
        <v>0</v>
      </c>
      <c r="AA288" t="s">
        <v>98</v>
      </c>
      <c r="AB288" s="3">
        <v>44963</v>
      </c>
      <c r="AC288">
        <v>388832</v>
      </c>
      <c r="AD288" t="s">
        <v>1962</v>
      </c>
      <c r="AG288" t="s">
        <v>1523</v>
      </c>
      <c r="AH288" t="s">
        <v>1439</v>
      </c>
      <c r="AI288">
        <v>932699130</v>
      </c>
      <c r="AL288" t="s">
        <v>2000</v>
      </c>
      <c r="AO288" t="s">
        <v>2001</v>
      </c>
      <c r="AP288" t="s">
        <v>433</v>
      </c>
      <c r="AQ288" t="s">
        <v>434</v>
      </c>
      <c r="AR288" t="s">
        <v>2002</v>
      </c>
      <c r="AS288" t="s">
        <v>396</v>
      </c>
      <c r="AT288" t="s">
        <v>74</v>
      </c>
      <c r="AU288" t="s">
        <v>96</v>
      </c>
      <c r="AZ288" t="s">
        <v>111</v>
      </c>
      <c r="BA288" t="s">
        <v>99</v>
      </c>
      <c r="BB288" t="s">
        <v>2003</v>
      </c>
      <c r="BC288" t="s">
        <v>468</v>
      </c>
      <c r="BD288" t="s">
        <v>2004</v>
      </c>
      <c r="BE288">
        <v>2021</v>
      </c>
      <c r="BF288">
        <v>2021</v>
      </c>
    </row>
    <row r="289" spans="1:58">
      <c r="A289">
        <v>2558898</v>
      </c>
      <c r="B289">
        <v>278</v>
      </c>
      <c r="C289">
        <v>10</v>
      </c>
      <c r="D289">
        <v>23586639</v>
      </c>
      <c r="F289" t="s">
        <v>80</v>
      </c>
      <c r="G289" t="s">
        <v>81</v>
      </c>
      <c r="H289" t="s">
        <v>16</v>
      </c>
      <c r="I289" t="s">
        <v>17</v>
      </c>
      <c r="J289" t="s">
        <v>6</v>
      </c>
      <c r="K289" t="s">
        <v>83</v>
      </c>
      <c r="L289" s="3">
        <v>46029</v>
      </c>
      <c r="M289" t="s">
        <v>193</v>
      </c>
      <c r="N289">
        <v>77176502</v>
      </c>
      <c r="O289">
        <v>5</v>
      </c>
      <c r="P289" t="s">
        <v>2005</v>
      </c>
      <c r="Q289">
        <v>0</v>
      </c>
      <c r="R289" t="s">
        <v>2006</v>
      </c>
      <c r="S289" t="s">
        <v>1795</v>
      </c>
      <c r="T289">
        <v>27</v>
      </c>
      <c r="U289">
        <v>27</v>
      </c>
      <c r="V289">
        <v>48</v>
      </c>
      <c r="W289" t="s">
        <v>1465</v>
      </c>
      <c r="X289" t="s">
        <v>1449</v>
      </c>
      <c r="Y289">
        <v>1854683</v>
      </c>
      <c r="Z289">
        <v>302258</v>
      </c>
      <c r="AA289" t="s">
        <v>98</v>
      </c>
      <c r="AB289" t="s">
        <v>2007</v>
      </c>
      <c r="AC289">
        <v>16516001</v>
      </c>
      <c r="AD289" t="s">
        <v>2008</v>
      </c>
      <c r="AH289" t="s">
        <v>1428</v>
      </c>
      <c r="AI289">
        <v>972894790</v>
      </c>
      <c r="AL289" t="s">
        <v>2009</v>
      </c>
      <c r="AO289" t="s">
        <v>2010</v>
      </c>
      <c r="AP289" t="s">
        <v>2011</v>
      </c>
      <c r="AQ289" t="s">
        <v>178</v>
      </c>
      <c r="AR289" t="s">
        <v>2012</v>
      </c>
      <c r="AS289" t="s">
        <v>455</v>
      </c>
      <c r="AT289" t="s">
        <v>141</v>
      </c>
      <c r="AU289" t="s">
        <v>96</v>
      </c>
      <c r="AV289" t="s">
        <v>1478</v>
      </c>
      <c r="AZ289" t="s">
        <v>98</v>
      </c>
      <c r="BA289" t="s">
        <v>99</v>
      </c>
      <c r="BB289" t="s">
        <v>2013</v>
      </c>
      <c r="BC289" t="s">
        <v>2014</v>
      </c>
      <c r="BD289" t="s">
        <v>2015</v>
      </c>
      <c r="BE289">
        <v>2023</v>
      </c>
      <c r="BF289">
        <v>2023</v>
      </c>
    </row>
    <row r="290" spans="1:58">
      <c r="A290">
        <v>2559696</v>
      </c>
      <c r="B290">
        <v>163</v>
      </c>
      <c r="C290">
        <v>6</v>
      </c>
      <c r="D290">
        <v>3395601</v>
      </c>
      <c r="F290" t="s">
        <v>80</v>
      </c>
      <c r="G290" t="s">
        <v>81</v>
      </c>
      <c r="H290" t="s">
        <v>12</v>
      </c>
      <c r="I290" t="s">
        <v>13</v>
      </c>
      <c r="J290" t="s">
        <v>6</v>
      </c>
      <c r="K290" t="s">
        <v>83</v>
      </c>
      <c r="L290" s="3">
        <v>46029</v>
      </c>
      <c r="M290" t="s">
        <v>193</v>
      </c>
      <c r="N290">
        <v>13903398</v>
      </c>
      <c r="O290">
        <v>1</v>
      </c>
      <c r="P290" t="s">
        <v>2016</v>
      </c>
      <c r="Q290">
        <v>1</v>
      </c>
      <c r="R290">
        <v>228.28899999999999</v>
      </c>
      <c r="S290" s="3">
        <v>46205</v>
      </c>
      <c r="T290">
        <v>30</v>
      </c>
      <c r="U290">
        <v>30</v>
      </c>
      <c r="V290">
        <v>48</v>
      </c>
      <c r="W290" t="s">
        <v>1448</v>
      </c>
      <c r="X290" t="s">
        <v>1532</v>
      </c>
      <c r="Y290">
        <v>122951</v>
      </c>
      <c r="Z290">
        <v>96081</v>
      </c>
      <c r="AA290" t="s">
        <v>98</v>
      </c>
      <c r="AB290" t="s">
        <v>2017</v>
      </c>
      <c r="AC290">
        <v>1588766</v>
      </c>
      <c r="AD290" t="s">
        <v>1752</v>
      </c>
      <c r="AH290" t="s">
        <v>1428</v>
      </c>
      <c r="AI290">
        <v>954069179</v>
      </c>
      <c r="AL290" t="s">
        <v>2018</v>
      </c>
      <c r="AO290" t="s">
        <v>2019</v>
      </c>
      <c r="AP290" t="s">
        <v>119</v>
      </c>
      <c r="AQ290" t="s">
        <v>92</v>
      </c>
      <c r="AR290" t="s">
        <v>2020</v>
      </c>
      <c r="AS290" t="s">
        <v>396</v>
      </c>
      <c r="AT290" t="s">
        <v>141</v>
      </c>
      <c r="AU290" t="s">
        <v>96</v>
      </c>
      <c r="AZ290" t="s">
        <v>98</v>
      </c>
      <c r="BA290" t="s">
        <v>99</v>
      </c>
      <c r="BB290" t="s">
        <v>2021</v>
      </c>
      <c r="BC290" t="s">
        <v>287</v>
      </c>
      <c r="BD290" t="s">
        <v>288</v>
      </c>
      <c r="BE290">
        <v>2023</v>
      </c>
      <c r="BF290">
        <v>2023</v>
      </c>
    </row>
    <row r="291" spans="1:58">
      <c r="A291">
        <v>2567747</v>
      </c>
      <c r="B291">
        <v>222</v>
      </c>
      <c r="C291">
        <v>8</v>
      </c>
      <c r="D291">
        <v>9087248</v>
      </c>
      <c r="F291" t="s">
        <v>80</v>
      </c>
      <c r="G291" t="s">
        <v>81</v>
      </c>
      <c r="H291" t="s">
        <v>14</v>
      </c>
      <c r="I291" t="s">
        <v>15</v>
      </c>
      <c r="J291" t="s">
        <v>6</v>
      </c>
      <c r="K291" t="s">
        <v>83</v>
      </c>
      <c r="L291" s="3">
        <v>46029</v>
      </c>
      <c r="M291" t="s">
        <v>193</v>
      </c>
      <c r="N291">
        <v>23109537</v>
      </c>
      <c r="O291">
        <v>3</v>
      </c>
      <c r="P291" t="s">
        <v>2022</v>
      </c>
      <c r="Q291">
        <v>1</v>
      </c>
      <c r="R291">
        <v>383.30700000000002</v>
      </c>
      <c r="S291" s="3">
        <v>45942</v>
      </c>
      <c r="T291">
        <v>28</v>
      </c>
      <c r="U291">
        <v>28</v>
      </c>
      <c r="V291">
        <v>49</v>
      </c>
      <c r="W291" t="s">
        <v>1448</v>
      </c>
      <c r="X291" t="s">
        <v>87</v>
      </c>
      <c r="Y291">
        <v>325535</v>
      </c>
      <c r="Z291">
        <v>0</v>
      </c>
      <c r="AA291" t="s">
        <v>98</v>
      </c>
      <c r="AB291" t="s">
        <v>2007</v>
      </c>
      <c r="AC291">
        <v>3391991</v>
      </c>
      <c r="AD291" t="s">
        <v>1752</v>
      </c>
      <c r="AH291" t="s">
        <v>1428</v>
      </c>
      <c r="AI291">
        <v>946502798</v>
      </c>
      <c r="AL291" t="s">
        <v>2023</v>
      </c>
      <c r="AO291" t="s">
        <v>2024</v>
      </c>
      <c r="AP291" t="s">
        <v>723</v>
      </c>
      <c r="AQ291" t="s">
        <v>724</v>
      </c>
      <c r="AR291" t="s">
        <v>2025</v>
      </c>
      <c r="AS291" t="s">
        <v>388</v>
      </c>
      <c r="AT291" t="s">
        <v>122</v>
      </c>
      <c r="AU291" t="s">
        <v>96</v>
      </c>
      <c r="AZ291" t="s">
        <v>111</v>
      </c>
      <c r="BA291" t="s">
        <v>99</v>
      </c>
      <c r="BB291" t="s">
        <v>2026</v>
      </c>
      <c r="BC291" t="s">
        <v>468</v>
      </c>
      <c r="BD291" t="s">
        <v>2027</v>
      </c>
      <c r="BE291">
        <v>2023</v>
      </c>
      <c r="BF291">
        <v>2023</v>
      </c>
    </row>
    <row r="292" spans="1:58">
      <c r="A292">
        <v>2578418</v>
      </c>
      <c r="B292">
        <v>257</v>
      </c>
      <c r="C292">
        <v>9</v>
      </c>
      <c r="D292">
        <v>3374696</v>
      </c>
      <c r="F292" t="s">
        <v>80</v>
      </c>
      <c r="G292" t="s">
        <v>81</v>
      </c>
      <c r="H292" t="s">
        <v>15</v>
      </c>
      <c r="I292" t="s">
        <v>16</v>
      </c>
      <c r="J292" t="s">
        <v>6</v>
      </c>
      <c r="K292" t="s">
        <v>83</v>
      </c>
      <c r="L292" s="3">
        <v>46029</v>
      </c>
      <c r="M292" t="s">
        <v>193</v>
      </c>
      <c r="N292">
        <v>15815436</v>
      </c>
      <c r="O292">
        <v>6</v>
      </c>
      <c r="P292" t="s">
        <v>2028</v>
      </c>
      <c r="Q292">
        <v>1</v>
      </c>
      <c r="R292">
        <v>420.387</v>
      </c>
      <c r="S292" s="3">
        <v>45788</v>
      </c>
      <c r="T292">
        <v>27</v>
      </c>
      <c r="U292">
        <v>27</v>
      </c>
      <c r="V292">
        <v>36</v>
      </c>
      <c r="W292" t="s">
        <v>1448</v>
      </c>
      <c r="X292" t="s">
        <v>1532</v>
      </c>
      <c r="Y292">
        <v>470819</v>
      </c>
      <c r="Z292">
        <v>172250</v>
      </c>
      <c r="AA292" t="s">
        <v>98</v>
      </c>
      <c r="AB292" t="s">
        <v>2029</v>
      </c>
      <c r="AC292">
        <v>4426552</v>
      </c>
      <c r="AD292" t="s">
        <v>2008</v>
      </c>
      <c r="AH292" t="s">
        <v>1428</v>
      </c>
      <c r="AI292">
        <v>957826487</v>
      </c>
      <c r="AL292" t="s">
        <v>2030</v>
      </c>
      <c r="AO292" t="s">
        <v>2031</v>
      </c>
      <c r="AP292" t="s">
        <v>2032</v>
      </c>
      <c r="AQ292" t="s">
        <v>160</v>
      </c>
      <c r="AR292" t="s">
        <v>2033</v>
      </c>
      <c r="AS292" t="s">
        <v>346</v>
      </c>
      <c r="AT292" t="s">
        <v>141</v>
      </c>
      <c r="AU292" t="s">
        <v>96</v>
      </c>
      <c r="AZ292" t="s">
        <v>98</v>
      </c>
      <c r="BA292" t="s">
        <v>99</v>
      </c>
      <c r="BB292" t="s">
        <v>2034</v>
      </c>
      <c r="BC292" t="s">
        <v>200</v>
      </c>
      <c r="BD292" t="s">
        <v>2035</v>
      </c>
      <c r="BE292">
        <v>2023</v>
      </c>
      <c r="BF292">
        <v>2023</v>
      </c>
    </row>
    <row r="293" spans="1:58">
      <c r="A293">
        <v>2582136</v>
      </c>
      <c r="B293">
        <v>0</v>
      </c>
      <c r="D293">
        <v>7598197</v>
      </c>
      <c r="F293" t="s">
        <v>80</v>
      </c>
      <c r="G293" t="s">
        <v>81</v>
      </c>
      <c r="H293" t="s">
        <v>20</v>
      </c>
      <c r="I293" t="s">
        <v>21</v>
      </c>
      <c r="J293" t="s">
        <v>6</v>
      </c>
      <c r="K293" t="s">
        <v>83</v>
      </c>
      <c r="L293" s="3">
        <v>46029</v>
      </c>
      <c r="M293" t="s">
        <v>193</v>
      </c>
      <c r="N293">
        <v>12380307</v>
      </c>
      <c r="O293">
        <v>8</v>
      </c>
      <c r="P293" t="s">
        <v>2036</v>
      </c>
      <c r="Q293">
        <v>1</v>
      </c>
      <c r="R293">
        <v>348.58600000000001</v>
      </c>
      <c r="U293">
        <v>22</v>
      </c>
      <c r="W293" t="s">
        <v>1448</v>
      </c>
      <c r="X293" t="s">
        <v>87</v>
      </c>
      <c r="Y293">
        <v>0</v>
      </c>
      <c r="Z293">
        <v>0</v>
      </c>
      <c r="AA293" t="s">
        <v>98</v>
      </c>
      <c r="AB293" t="s">
        <v>2037</v>
      </c>
      <c r="AC293">
        <v>0</v>
      </c>
      <c r="AD293" t="s">
        <v>1671</v>
      </c>
      <c r="AH293" t="s">
        <v>5</v>
      </c>
      <c r="AI293">
        <v>992160302</v>
      </c>
      <c r="AL293" t="s">
        <v>2038</v>
      </c>
      <c r="AO293" t="s">
        <v>2039</v>
      </c>
      <c r="AP293" t="s">
        <v>433</v>
      </c>
      <c r="AQ293" t="s">
        <v>434</v>
      </c>
      <c r="AR293" t="s">
        <v>2040</v>
      </c>
      <c r="AS293" t="s">
        <v>556</v>
      </c>
      <c r="AT293" t="s">
        <v>122</v>
      </c>
      <c r="AU293" t="s">
        <v>96</v>
      </c>
      <c r="AZ293" t="s">
        <v>111</v>
      </c>
      <c r="BA293" t="s">
        <v>99</v>
      </c>
      <c r="BB293" t="s">
        <v>2041</v>
      </c>
      <c r="BC293" t="s">
        <v>153</v>
      </c>
      <c r="BD293" t="s">
        <v>760</v>
      </c>
      <c r="BE293">
        <v>2023</v>
      </c>
      <c r="BF293">
        <v>2023</v>
      </c>
    </row>
    <row r="294" spans="1:58">
      <c r="A294">
        <v>2585024</v>
      </c>
      <c r="B294">
        <v>163</v>
      </c>
      <c r="C294">
        <v>6</v>
      </c>
      <c r="D294">
        <v>8423146</v>
      </c>
      <c r="F294" t="s">
        <v>80</v>
      </c>
      <c r="G294" t="s">
        <v>81</v>
      </c>
      <c r="H294" t="s">
        <v>12</v>
      </c>
      <c r="I294" t="s">
        <v>13</v>
      </c>
      <c r="J294" t="s">
        <v>6</v>
      </c>
      <c r="K294" t="s">
        <v>83</v>
      </c>
      <c r="L294" s="3">
        <v>46029</v>
      </c>
      <c r="M294" t="s">
        <v>193</v>
      </c>
      <c r="N294">
        <v>77040021</v>
      </c>
      <c r="O294" t="s">
        <v>266</v>
      </c>
      <c r="P294" t="s">
        <v>2042</v>
      </c>
      <c r="Q294">
        <v>0</v>
      </c>
      <c r="R294">
        <v>586.33500000000004</v>
      </c>
      <c r="S294" s="3">
        <v>46205</v>
      </c>
      <c r="T294">
        <v>30</v>
      </c>
      <c r="U294">
        <v>30</v>
      </c>
      <c r="V294">
        <v>48</v>
      </c>
      <c r="W294" t="s">
        <v>1435</v>
      </c>
      <c r="X294" t="s">
        <v>1532</v>
      </c>
      <c r="Y294">
        <v>286529</v>
      </c>
      <c r="Z294">
        <v>9721</v>
      </c>
      <c r="AA294" t="s">
        <v>98</v>
      </c>
      <c r="AB294" s="3">
        <v>45023</v>
      </c>
      <c r="AC294">
        <v>3814260</v>
      </c>
      <c r="AD294" t="s">
        <v>1705</v>
      </c>
      <c r="AH294" t="s">
        <v>1428</v>
      </c>
      <c r="AI294">
        <v>967795403</v>
      </c>
      <c r="AL294" t="s">
        <v>2043</v>
      </c>
      <c r="AO294" t="s">
        <v>2044</v>
      </c>
      <c r="AP294" t="s">
        <v>723</v>
      </c>
      <c r="AQ294" t="s">
        <v>724</v>
      </c>
      <c r="AR294" t="s">
        <v>2045</v>
      </c>
      <c r="AS294" t="s">
        <v>217</v>
      </c>
      <c r="AT294" t="s">
        <v>141</v>
      </c>
      <c r="AU294" t="s">
        <v>96</v>
      </c>
      <c r="AV294" t="s">
        <v>1478</v>
      </c>
      <c r="AZ294" t="s">
        <v>98</v>
      </c>
      <c r="BA294" t="s">
        <v>99</v>
      </c>
      <c r="BB294" t="s">
        <v>2046</v>
      </c>
      <c r="BC294" t="s">
        <v>1445</v>
      </c>
      <c r="BD294" t="s">
        <v>1446</v>
      </c>
      <c r="BE294">
        <v>2023</v>
      </c>
      <c r="BF294">
        <v>2023</v>
      </c>
    </row>
    <row r="295" spans="1:58">
      <c r="A295">
        <v>2606809</v>
      </c>
      <c r="B295">
        <v>39</v>
      </c>
      <c r="C295">
        <v>2</v>
      </c>
      <c r="D295">
        <v>4035744</v>
      </c>
      <c r="F295" t="s">
        <v>80</v>
      </c>
      <c r="G295" t="s">
        <v>81</v>
      </c>
      <c r="H295" s="527">
        <v>46052</v>
      </c>
      <c r="I295" t="s">
        <v>19</v>
      </c>
      <c r="J295" t="s">
        <v>6</v>
      </c>
      <c r="K295" t="s">
        <v>83</v>
      </c>
      <c r="L295" s="3">
        <v>46029</v>
      </c>
      <c r="M295" t="s">
        <v>1433</v>
      </c>
      <c r="N295">
        <v>16414635</v>
      </c>
      <c r="O295">
        <v>9</v>
      </c>
      <c r="P295" t="s">
        <v>2047</v>
      </c>
      <c r="Q295">
        <v>1</v>
      </c>
      <c r="R295">
        <v>185.489</v>
      </c>
      <c r="S295" s="3">
        <v>46332</v>
      </c>
      <c r="T295">
        <v>33</v>
      </c>
      <c r="U295">
        <v>33</v>
      </c>
      <c r="V295">
        <v>60</v>
      </c>
      <c r="W295" t="s">
        <v>1391</v>
      </c>
      <c r="Y295">
        <v>9252</v>
      </c>
      <c r="Z295">
        <v>0</v>
      </c>
      <c r="AA295" t="s">
        <v>98</v>
      </c>
      <c r="AB295" t="s">
        <v>2048</v>
      </c>
      <c r="AC295">
        <v>380230</v>
      </c>
      <c r="AD295" t="s">
        <v>1451</v>
      </c>
      <c r="AG295" t="s">
        <v>1523</v>
      </c>
      <c r="AH295" t="s">
        <v>1428</v>
      </c>
      <c r="AI295">
        <v>958324722</v>
      </c>
      <c r="AL295" t="s">
        <v>2049</v>
      </c>
      <c r="AO295" t="s">
        <v>2050</v>
      </c>
      <c r="AP295" t="s">
        <v>107</v>
      </c>
      <c r="AQ295" t="s">
        <v>92</v>
      </c>
      <c r="AR295" t="s">
        <v>243</v>
      </c>
      <c r="AS295" t="s">
        <v>2051</v>
      </c>
      <c r="AT295" t="s">
        <v>122</v>
      </c>
      <c r="AU295" t="s">
        <v>96</v>
      </c>
      <c r="AW295" t="s">
        <v>410</v>
      </c>
      <c r="AX295" t="s">
        <v>1443</v>
      </c>
      <c r="AY295" s="3">
        <v>46060</v>
      </c>
      <c r="AZ295" t="s">
        <v>111</v>
      </c>
      <c r="BA295" t="s">
        <v>285</v>
      </c>
      <c r="BC295" t="s">
        <v>200</v>
      </c>
      <c r="BD295" t="s">
        <v>2052</v>
      </c>
      <c r="BE295">
        <v>2018</v>
      </c>
      <c r="BF295">
        <v>2018</v>
      </c>
    </row>
    <row r="296" spans="1:58">
      <c r="A296">
        <v>2615972</v>
      </c>
      <c r="B296">
        <v>332</v>
      </c>
      <c r="C296">
        <v>1</v>
      </c>
      <c r="D296">
        <v>4267690</v>
      </c>
      <c r="F296" t="s">
        <v>80</v>
      </c>
      <c r="G296" t="s">
        <v>81</v>
      </c>
      <c r="H296" t="s">
        <v>18</v>
      </c>
      <c r="I296" t="s">
        <v>20</v>
      </c>
      <c r="J296" t="s">
        <v>6</v>
      </c>
      <c r="K296" t="s">
        <v>83</v>
      </c>
      <c r="L296" s="3">
        <v>46029</v>
      </c>
      <c r="M296" t="s">
        <v>193</v>
      </c>
      <c r="N296">
        <v>8538349</v>
      </c>
      <c r="O296">
        <v>3</v>
      </c>
      <c r="P296" t="s">
        <v>2053</v>
      </c>
      <c r="Q296">
        <v>1</v>
      </c>
      <c r="R296">
        <v>219.988</v>
      </c>
      <c r="S296" t="s">
        <v>2054</v>
      </c>
      <c r="T296">
        <v>24</v>
      </c>
      <c r="U296">
        <v>24</v>
      </c>
      <c r="V296">
        <v>25</v>
      </c>
      <c r="W296" t="s">
        <v>1448</v>
      </c>
      <c r="X296" t="s">
        <v>1449</v>
      </c>
      <c r="Y296">
        <v>1458937</v>
      </c>
      <c r="Z296">
        <v>244248</v>
      </c>
      <c r="AA296" t="s">
        <v>98</v>
      </c>
      <c r="AB296" t="s">
        <v>2055</v>
      </c>
      <c r="AC296">
        <v>6094185</v>
      </c>
      <c r="AD296" t="s">
        <v>2056</v>
      </c>
      <c r="AH296" t="s">
        <v>1428</v>
      </c>
      <c r="AI296">
        <v>965575341</v>
      </c>
      <c r="AO296" t="s">
        <v>2057</v>
      </c>
      <c r="AP296" t="s">
        <v>2058</v>
      </c>
      <c r="AQ296" t="s">
        <v>856</v>
      </c>
      <c r="AR296" t="s">
        <v>2059</v>
      </c>
      <c r="AS296" t="s">
        <v>180</v>
      </c>
      <c r="AT296" t="s">
        <v>141</v>
      </c>
      <c r="AU296" t="s">
        <v>96</v>
      </c>
      <c r="AZ296" t="s">
        <v>98</v>
      </c>
      <c r="BA296" t="s">
        <v>99</v>
      </c>
      <c r="BB296" t="s">
        <v>2060</v>
      </c>
      <c r="BC296" t="s">
        <v>230</v>
      </c>
      <c r="BD296" t="s">
        <v>2061</v>
      </c>
      <c r="BE296">
        <v>2023</v>
      </c>
      <c r="BF296">
        <v>2023</v>
      </c>
    </row>
    <row r="297" spans="1:58">
      <c r="A297">
        <v>2623734</v>
      </c>
      <c r="B297">
        <v>261</v>
      </c>
      <c r="C297">
        <v>9</v>
      </c>
      <c r="D297">
        <v>5256992</v>
      </c>
      <c r="F297" t="s">
        <v>80</v>
      </c>
      <c r="G297" t="s">
        <v>81</v>
      </c>
      <c r="H297" t="s">
        <v>16</v>
      </c>
      <c r="I297" t="s">
        <v>16</v>
      </c>
      <c r="J297" t="s">
        <v>6</v>
      </c>
      <c r="K297" t="s">
        <v>83</v>
      </c>
      <c r="L297" s="3">
        <v>46029</v>
      </c>
      <c r="M297" t="s">
        <v>193</v>
      </c>
      <c r="N297">
        <v>25367626</v>
      </c>
      <c r="O297">
        <v>4</v>
      </c>
      <c r="P297" t="s">
        <v>2062</v>
      </c>
      <c r="Q297">
        <v>1</v>
      </c>
      <c r="R297">
        <v>356.90499999999997</v>
      </c>
      <c r="S297" s="3">
        <v>45668</v>
      </c>
      <c r="T297">
        <v>26</v>
      </c>
      <c r="U297">
        <v>26</v>
      </c>
      <c r="V297">
        <v>37</v>
      </c>
      <c r="W297" t="s">
        <v>1435</v>
      </c>
      <c r="X297" t="s">
        <v>87</v>
      </c>
      <c r="Y297">
        <v>413655</v>
      </c>
      <c r="Z297">
        <v>0</v>
      </c>
      <c r="AA297" t="s">
        <v>98</v>
      </c>
      <c r="AB297" t="s">
        <v>2063</v>
      </c>
      <c r="AC297">
        <v>3625800</v>
      </c>
      <c r="AD297" t="s">
        <v>1705</v>
      </c>
      <c r="AH297" t="s">
        <v>1428</v>
      </c>
      <c r="AI297">
        <v>971485819</v>
      </c>
      <c r="AL297" t="s">
        <v>2064</v>
      </c>
      <c r="AO297" t="s">
        <v>2065</v>
      </c>
      <c r="AP297" t="s">
        <v>408</v>
      </c>
      <c r="AQ297" t="s">
        <v>92</v>
      </c>
      <c r="AR297" t="s">
        <v>2066</v>
      </c>
      <c r="AS297" t="s">
        <v>189</v>
      </c>
      <c r="AT297" t="s">
        <v>122</v>
      </c>
      <c r="AU297" t="s">
        <v>96</v>
      </c>
      <c r="AZ297" t="s">
        <v>111</v>
      </c>
      <c r="BA297" t="s">
        <v>99</v>
      </c>
      <c r="BB297" t="s">
        <v>2067</v>
      </c>
      <c r="BC297" t="s">
        <v>143</v>
      </c>
      <c r="BD297" t="s">
        <v>2068</v>
      </c>
      <c r="BE297">
        <v>2023</v>
      </c>
      <c r="BF297">
        <v>2023</v>
      </c>
    </row>
    <row r="298" spans="1:58">
      <c r="A298">
        <v>2648364</v>
      </c>
      <c r="B298">
        <v>169</v>
      </c>
      <c r="C298">
        <v>6</v>
      </c>
      <c r="D298">
        <v>6221044</v>
      </c>
      <c r="F298" t="s">
        <v>80</v>
      </c>
      <c r="G298" t="s">
        <v>81</v>
      </c>
      <c r="H298" t="s">
        <v>12</v>
      </c>
      <c r="I298" t="s">
        <v>13</v>
      </c>
      <c r="J298" t="s">
        <v>6</v>
      </c>
      <c r="K298" t="s">
        <v>83</v>
      </c>
      <c r="L298" s="3">
        <v>46029</v>
      </c>
      <c r="M298" t="s">
        <v>193</v>
      </c>
      <c r="N298">
        <v>26253049</v>
      </c>
      <c r="O298">
        <v>3</v>
      </c>
      <c r="P298" t="s">
        <v>2069</v>
      </c>
      <c r="Q298">
        <v>1</v>
      </c>
      <c r="R298">
        <v>224.649</v>
      </c>
      <c r="S298" s="3">
        <v>46024</v>
      </c>
      <c r="T298">
        <v>28</v>
      </c>
      <c r="U298">
        <v>28</v>
      </c>
      <c r="V298">
        <v>36</v>
      </c>
      <c r="W298" t="s">
        <v>156</v>
      </c>
      <c r="X298" t="s">
        <v>1449</v>
      </c>
      <c r="Y298">
        <v>117769</v>
      </c>
      <c r="Z298">
        <v>72422</v>
      </c>
      <c r="AA298" t="s">
        <v>98</v>
      </c>
      <c r="AB298" s="3">
        <v>45238</v>
      </c>
      <c r="AC298">
        <v>1538085</v>
      </c>
      <c r="AD298" t="s">
        <v>2070</v>
      </c>
      <c r="AH298" t="s">
        <v>1428</v>
      </c>
      <c r="AI298">
        <v>987654321</v>
      </c>
      <c r="AL298" t="s">
        <v>2071</v>
      </c>
      <c r="AO298" t="s">
        <v>2072</v>
      </c>
      <c r="AP298" t="s">
        <v>107</v>
      </c>
      <c r="AQ298" t="s">
        <v>92</v>
      </c>
      <c r="AR298" t="s">
        <v>1713</v>
      </c>
      <c r="AS298" t="s">
        <v>388</v>
      </c>
      <c r="AT298" t="s">
        <v>141</v>
      </c>
      <c r="AU298" t="s">
        <v>96</v>
      </c>
      <c r="AV298" t="s">
        <v>1478</v>
      </c>
      <c r="AZ298" t="s">
        <v>98</v>
      </c>
      <c r="BA298" t="s">
        <v>99</v>
      </c>
      <c r="BC298" t="s">
        <v>164</v>
      </c>
      <c r="BD298" t="s">
        <v>2073</v>
      </c>
      <c r="BE298">
        <v>2022</v>
      </c>
      <c r="BF298">
        <v>2022</v>
      </c>
    </row>
    <row r="299" spans="1:58">
      <c r="A299">
        <v>2656404</v>
      </c>
      <c r="B299">
        <v>132</v>
      </c>
      <c r="C299">
        <v>5</v>
      </c>
      <c r="D299">
        <v>3689579</v>
      </c>
      <c r="F299" t="s">
        <v>80</v>
      </c>
      <c r="G299" t="s">
        <v>81</v>
      </c>
      <c r="H299" t="s">
        <v>23</v>
      </c>
      <c r="I299" t="s">
        <v>12</v>
      </c>
      <c r="J299" t="s">
        <v>6</v>
      </c>
      <c r="K299" t="s">
        <v>83</v>
      </c>
      <c r="L299" s="3">
        <v>46302</v>
      </c>
      <c r="M299" t="s">
        <v>193</v>
      </c>
      <c r="N299">
        <v>8373770</v>
      </c>
      <c r="O299">
        <v>0</v>
      </c>
      <c r="P299" t="s">
        <v>2074</v>
      </c>
      <c r="Q299">
        <v>1</v>
      </c>
      <c r="R299">
        <v>243.875</v>
      </c>
      <c r="S299" s="3">
        <v>46298</v>
      </c>
      <c r="T299">
        <v>29</v>
      </c>
      <c r="U299">
        <v>29</v>
      </c>
      <c r="V299">
        <v>48</v>
      </c>
      <c r="W299" t="s">
        <v>1448</v>
      </c>
      <c r="X299" t="s">
        <v>1532</v>
      </c>
      <c r="Y299">
        <v>87352</v>
      </c>
      <c r="Z299">
        <v>84232</v>
      </c>
      <c r="AA299" t="s">
        <v>98</v>
      </c>
      <c r="AB299" t="s">
        <v>2075</v>
      </c>
      <c r="AC299">
        <v>1390959</v>
      </c>
      <c r="AD299" t="s">
        <v>2076</v>
      </c>
      <c r="AH299" t="s">
        <v>1428</v>
      </c>
      <c r="AI299">
        <v>942889307</v>
      </c>
      <c r="AL299" t="s">
        <v>2077</v>
      </c>
      <c r="AO299" t="s">
        <v>2078</v>
      </c>
      <c r="AP299" t="s">
        <v>688</v>
      </c>
      <c r="AQ299" t="s">
        <v>299</v>
      </c>
      <c r="AT299" t="s">
        <v>95</v>
      </c>
      <c r="AU299" t="s">
        <v>1777</v>
      </c>
      <c r="AZ299" t="s">
        <v>98</v>
      </c>
      <c r="BA299" t="s">
        <v>99</v>
      </c>
      <c r="BB299" t="s">
        <v>2079</v>
      </c>
      <c r="BC299" t="s">
        <v>287</v>
      </c>
      <c r="BD299" t="s">
        <v>2080</v>
      </c>
      <c r="BE299">
        <v>2023</v>
      </c>
      <c r="BF299">
        <v>2023</v>
      </c>
    </row>
    <row r="300" spans="1:58">
      <c r="A300">
        <v>2663347</v>
      </c>
      <c r="B300">
        <v>186</v>
      </c>
      <c r="C300">
        <v>7</v>
      </c>
      <c r="D300">
        <v>2065404</v>
      </c>
      <c r="F300" t="s">
        <v>80</v>
      </c>
      <c r="G300" t="s">
        <v>81</v>
      </c>
      <c r="H300" t="s">
        <v>13</v>
      </c>
      <c r="I300" t="s">
        <v>14</v>
      </c>
      <c r="J300" t="s">
        <v>6</v>
      </c>
      <c r="K300" t="s">
        <v>83</v>
      </c>
      <c r="L300" s="3">
        <v>46302</v>
      </c>
      <c r="M300" t="s">
        <v>193</v>
      </c>
      <c r="N300">
        <v>16796043</v>
      </c>
      <c r="O300" t="s">
        <v>266</v>
      </c>
      <c r="P300" t="s">
        <v>2081</v>
      </c>
      <c r="Q300">
        <v>1</v>
      </c>
      <c r="R300">
        <v>117.175</v>
      </c>
      <c r="S300" t="s">
        <v>1925</v>
      </c>
      <c r="T300">
        <v>27</v>
      </c>
      <c r="U300">
        <v>27</v>
      </c>
      <c r="V300">
        <v>48</v>
      </c>
      <c r="W300" t="s">
        <v>1391</v>
      </c>
      <c r="Y300">
        <v>78267</v>
      </c>
      <c r="Z300">
        <v>64779</v>
      </c>
      <c r="AA300" t="s">
        <v>98</v>
      </c>
      <c r="AB300" t="s">
        <v>2082</v>
      </c>
      <c r="AC300">
        <v>963271</v>
      </c>
      <c r="AD300" t="s">
        <v>2083</v>
      </c>
      <c r="AH300" t="s">
        <v>1428</v>
      </c>
      <c r="AI300">
        <v>991743033</v>
      </c>
      <c r="AL300" t="s">
        <v>2084</v>
      </c>
      <c r="AO300" t="s">
        <v>2085</v>
      </c>
      <c r="AP300" t="s">
        <v>800</v>
      </c>
      <c r="AQ300" t="s">
        <v>801</v>
      </c>
      <c r="AT300" t="s">
        <v>95</v>
      </c>
      <c r="AU300" t="s">
        <v>1777</v>
      </c>
      <c r="AZ300" t="s">
        <v>98</v>
      </c>
      <c r="BA300" t="s">
        <v>99</v>
      </c>
      <c r="BC300" t="s">
        <v>475</v>
      </c>
      <c r="BD300" t="s">
        <v>2086</v>
      </c>
      <c r="BE300">
        <v>2014</v>
      </c>
      <c r="BF300">
        <v>2014</v>
      </c>
    </row>
    <row r="301" spans="1:58">
      <c r="A301">
        <v>2664103</v>
      </c>
      <c r="B301">
        <v>155</v>
      </c>
      <c r="C301">
        <v>6</v>
      </c>
      <c r="D301">
        <v>10688854</v>
      </c>
      <c r="F301" t="s">
        <v>80</v>
      </c>
      <c r="G301" t="s">
        <v>81</v>
      </c>
      <c r="H301" t="s">
        <v>12</v>
      </c>
      <c r="I301" t="s">
        <v>13</v>
      </c>
      <c r="J301" t="s">
        <v>6</v>
      </c>
      <c r="K301" t="s">
        <v>83</v>
      </c>
      <c r="L301" s="3">
        <v>46029</v>
      </c>
      <c r="M301" t="s">
        <v>193</v>
      </c>
      <c r="N301">
        <v>12610679</v>
      </c>
      <c r="O301">
        <v>3</v>
      </c>
      <c r="P301" t="s">
        <v>2087</v>
      </c>
      <c r="Q301">
        <v>1</v>
      </c>
      <c r="R301">
        <v>343.60399999999998</v>
      </c>
      <c r="S301" t="s">
        <v>2088</v>
      </c>
      <c r="T301">
        <v>28</v>
      </c>
      <c r="U301">
        <v>28</v>
      </c>
      <c r="V301">
        <v>72</v>
      </c>
      <c r="W301" t="s">
        <v>1391</v>
      </c>
      <c r="X301" t="s">
        <v>87</v>
      </c>
      <c r="Y301">
        <v>150965</v>
      </c>
      <c r="Z301">
        <v>97903</v>
      </c>
      <c r="AA301" t="s">
        <v>98</v>
      </c>
      <c r="AB301" t="s">
        <v>2089</v>
      </c>
      <c r="AC301">
        <v>2310492</v>
      </c>
      <c r="AD301" t="s">
        <v>2083</v>
      </c>
      <c r="AH301" t="s">
        <v>1428</v>
      </c>
      <c r="AI301">
        <v>942947960</v>
      </c>
      <c r="AL301" t="s">
        <v>2090</v>
      </c>
      <c r="AO301" t="s">
        <v>2091</v>
      </c>
      <c r="AQ301" t="s">
        <v>2092</v>
      </c>
      <c r="AR301" t="s">
        <v>2093</v>
      </c>
      <c r="AS301" t="s">
        <v>284</v>
      </c>
      <c r="AT301" t="s">
        <v>141</v>
      </c>
      <c r="AU301" t="s">
        <v>96</v>
      </c>
      <c r="AV301" t="s">
        <v>1478</v>
      </c>
      <c r="AZ301" t="s">
        <v>98</v>
      </c>
      <c r="BA301" t="s">
        <v>99</v>
      </c>
      <c r="BB301" t="s">
        <v>2094</v>
      </c>
      <c r="BC301" t="s">
        <v>769</v>
      </c>
      <c r="BD301" t="s">
        <v>2095</v>
      </c>
      <c r="BE301">
        <v>2022</v>
      </c>
      <c r="BF301">
        <v>2022</v>
      </c>
    </row>
    <row r="302" spans="1:58">
      <c r="A302">
        <v>2671637</v>
      </c>
      <c r="B302">
        <v>160</v>
      </c>
      <c r="C302">
        <v>6</v>
      </c>
      <c r="D302">
        <v>5817589</v>
      </c>
      <c r="F302" t="s">
        <v>80</v>
      </c>
      <c r="G302" t="s">
        <v>81</v>
      </c>
      <c r="H302" t="s">
        <v>12</v>
      </c>
      <c r="I302" t="s">
        <v>13</v>
      </c>
      <c r="J302" t="s">
        <v>6</v>
      </c>
      <c r="K302" t="s">
        <v>83</v>
      </c>
      <c r="L302" s="3">
        <v>46029</v>
      </c>
      <c r="M302" t="s">
        <v>193</v>
      </c>
      <c r="N302">
        <v>13865701</v>
      </c>
      <c r="O302">
        <v>9</v>
      </c>
      <c r="P302" t="s">
        <v>2096</v>
      </c>
      <c r="Q302">
        <v>1</v>
      </c>
      <c r="R302">
        <v>376.36</v>
      </c>
      <c r="S302" s="3">
        <v>46297</v>
      </c>
      <c r="T302">
        <v>28</v>
      </c>
      <c r="U302">
        <v>28</v>
      </c>
      <c r="V302">
        <v>48</v>
      </c>
      <c r="W302" t="s">
        <v>1448</v>
      </c>
      <c r="X302" t="s">
        <v>1532</v>
      </c>
      <c r="Y302">
        <v>175481</v>
      </c>
      <c r="Z302">
        <v>104919</v>
      </c>
      <c r="AA302" t="s">
        <v>98</v>
      </c>
      <c r="AB302" t="s">
        <v>2097</v>
      </c>
      <c r="AC302">
        <v>2538560</v>
      </c>
      <c r="AD302" t="s">
        <v>1671</v>
      </c>
      <c r="AH302" t="s">
        <v>1428</v>
      </c>
      <c r="AI302">
        <v>56999125109</v>
      </c>
      <c r="AL302" t="s">
        <v>2098</v>
      </c>
      <c r="AO302" t="s">
        <v>2099</v>
      </c>
      <c r="AP302" t="s">
        <v>855</v>
      </c>
      <c r="AQ302" t="s">
        <v>856</v>
      </c>
      <c r="AR302" t="s">
        <v>2100</v>
      </c>
      <c r="AS302" t="s">
        <v>767</v>
      </c>
      <c r="AT302" t="s">
        <v>141</v>
      </c>
      <c r="AU302" t="s">
        <v>96</v>
      </c>
      <c r="AZ302" t="s">
        <v>98</v>
      </c>
      <c r="BA302" t="s">
        <v>99</v>
      </c>
      <c r="BB302" t="s">
        <v>2101</v>
      </c>
      <c r="BC302" t="s">
        <v>287</v>
      </c>
      <c r="BD302" t="s">
        <v>2102</v>
      </c>
      <c r="BE302">
        <v>2024</v>
      </c>
      <c r="BF302">
        <v>2024</v>
      </c>
    </row>
    <row r="303" spans="1:58">
      <c r="A303">
        <v>2671652</v>
      </c>
      <c r="B303">
        <v>76</v>
      </c>
      <c r="C303">
        <v>3</v>
      </c>
      <c r="D303">
        <v>9406088</v>
      </c>
      <c r="F303" t="s">
        <v>80</v>
      </c>
      <c r="G303" t="s">
        <v>81</v>
      </c>
      <c r="H303" t="s">
        <v>22</v>
      </c>
      <c r="I303" t="s">
        <v>22</v>
      </c>
      <c r="J303" t="s">
        <v>6</v>
      </c>
      <c r="K303" t="s">
        <v>83</v>
      </c>
      <c r="L303" s="3">
        <v>46029</v>
      </c>
      <c r="M303" t="s">
        <v>193</v>
      </c>
      <c r="N303">
        <v>13268500</v>
      </c>
      <c r="O303">
        <v>2</v>
      </c>
      <c r="P303" t="s">
        <v>2103</v>
      </c>
      <c r="Q303">
        <v>1</v>
      </c>
      <c r="R303">
        <v>457.06400000000002</v>
      </c>
      <c r="S303" s="3">
        <v>46147</v>
      </c>
      <c r="T303">
        <v>31</v>
      </c>
      <c r="U303">
        <v>30</v>
      </c>
      <c r="V303">
        <v>37</v>
      </c>
      <c r="W303" t="s">
        <v>1448</v>
      </c>
      <c r="X303" t="s">
        <v>87</v>
      </c>
      <c r="Y303">
        <v>56966</v>
      </c>
      <c r="Z303">
        <v>0</v>
      </c>
      <c r="AA303" t="s">
        <v>98</v>
      </c>
      <c r="AB303" t="s">
        <v>2082</v>
      </c>
      <c r="AC303">
        <v>1428158</v>
      </c>
      <c r="AD303" t="s">
        <v>2076</v>
      </c>
      <c r="AH303" t="s">
        <v>1789</v>
      </c>
      <c r="AI303">
        <v>56945449451</v>
      </c>
      <c r="AL303" t="s">
        <v>2104</v>
      </c>
      <c r="AO303" t="s">
        <v>2105</v>
      </c>
      <c r="AP303" t="s">
        <v>855</v>
      </c>
      <c r="AQ303" t="s">
        <v>856</v>
      </c>
      <c r="AR303" t="s">
        <v>631</v>
      </c>
      <c r="AS303" t="s">
        <v>171</v>
      </c>
      <c r="AT303" t="s">
        <v>122</v>
      </c>
      <c r="AU303" t="s">
        <v>96</v>
      </c>
      <c r="AZ303" t="s">
        <v>111</v>
      </c>
      <c r="BA303" t="s">
        <v>99</v>
      </c>
      <c r="BB303" t="s">
        <v>2106</v>
      </c>
      <c r="BC303" t="s">
        <v>278</v>
      </c>
      <c r="BD303" t="s">
        <v>2107</v>
      </c>
      <c r="BE303">
        <v>2023</v>
      </c>
      <c r="BF303">
        <v>2023</v>
      </c>
    </row>
    <row r="304" spans="1:58">
      <c r="A304">
        <v>2678162</v>
      </c>
      <c r="B304">
        <v>257</v>
      </c>
      <c r="C304">
        <v>9</v>
      </c>
      <c r="D304">
        <v>9165757</v>
      </c>
      <c r="F304" t="s">
        <v>80</v>
      </c>
      <c r="G304" t="s">
        <v>81</v>
      </c>
      <c r="H304" t="s">
        <v>15</v>
      </c>
      <c r="I304" t="s">
        <v>16</v>
      </c>
      <c r="J304" t="s">
        <v>6</v>
      </c>
      <c r="K304" t="s">
        <v>83</v>
      </c>
      <c r="L304" s="3">
        <v>46029</v>
      </c>
      <c r="M304" t="s">
        <v>193</v>
      </c>
      <c r="N304">
        <v>12477107</v>
      </c>
      <c r="O304">
        <v>2</v>
      </c>
      <c r="P304" t="s">
        <v>2108</v>
      </c>
      <c r="Q304">
        <v>1</v>
      </c>
      <c r="R304">
        <v>539.59400000000005</v>
      </c>
      <c r="S304" s="3">
        <v>45788</v>
      </c>
      <c r="T304">
        <v>25</v>
      </c>
      <c r="U304">
        <v>25</v>
      </c>
      <c r="V304">
        <v>48</v>
      </c>
      <c r="W304" t="s">
        <v>1425</v>
      </c>
      <c r="X304" t="s">
        <v>87</v>
      </c>
      <c r="Y304">
        <v>596565</v>
      </c>
      <c r="Z304">
        <v>0</v>
      </c>
      <c r="AA304" t="s">
        <v>98</v>
      </c>
      <c r="AB304" t="s">
        <v>2109</v>
      </c>
      <c r="AC304">
        <v>5452911</v>
      </c>
      <c r="AD304" t="s">
        <v>2110</v>
      </c>
      <c r="AH304" t="s">
        <v>1428</v>
      </c>
      <c r="AI304">
        <v>979680526</v>
      </c>
      <c r="AL304" t="s">
        <v>2111</v>
      </c>
      <c r="AO304" t="s">
        <v>2112</v>
      </c>
      <c r="AP304" t="s">
        <v>107</v>
      </c>
      <c r="AQ304" t="s">
        <v>92</v>
      </c>
      <c r="AR304" t="s">
        <v>2113</v>
      </c>
      <c r="AS304" t="s">
        <v>217</v>
      </c>
      <c r="AT304" t="s">
        <v>122</v>
      </c>
      <c r="AU304" t="s">
        <v>96</v>
      </c>
      <c r="AZ304" t="s">
        <v>111</v>
      </c>
      <c r="BA304" t="s">
        <v>99</v>
      </c>
      <c r="BB304" t="s">
        <v>2114</v>
      </c>
      <c r="BC304" t="s">
        <v>769</v>
      </c>
      <c r="BD304" t="s">
        <v>2115</v>
      </c>
      <c r="BE304">
        <v>2023</v>
      </c>
      <c r="BF304">
        <v>2023</v>
      </c>
    </row>
    <row r="305" spans="1:58">
      <c r="A305">
        <v>2678831</v>
      </c>
      <c r="B305">
        <v>40</v>
      </c>
      <c r="C305">
        <v>2</v>
      </c>
      <c r="D305">
        <v>2891119</v>
      </c>
      <c r="F305" t="s">
        <v>80</v>
      </c>
      <c r="G305" t="s">
        <v>81</v>
      </c>
      <c r="H305" t="s">
        <v>19</v>
      </c>
      <c r="I305" t="s">
        <v>19</v>
      </c>
      <c r="J305" t="s">
        <v>6</v>
      </c>
      <c r="K305" t="s">
        <v>83</v>
      </c>
      <c r="L305" s="3">
        <v>46029</v>
      </c>
      <c r="M305" t="s">
        <v>193</v>
      </c>
      <c r="N305">
        <v>26423358</v>
      </c>
      <c r="O305">
        <v>5</v>
      </c>
      <c r="P305" t="s">
        <v>2116</v>
      </c>
      <c r="Q305">
        <v>1</v>
      </c>
      <c r="R305">
        <v>203.815</v>
      </c>
      <c r="S305" s="3">
        <v>46301</v>
      </c>
      <c r="T305">
        <v>32</v>
      </c>
      <c r="U305">
        <v>31</v>
      </c>
      <c r="V305">
        <v>48</v>
      </c>
      <c r="W305" t="s">
        <v>1448</v>
      </c>
      <c r="X305" t="s">
        <v>87</v>
      </c>
      <c r="Y305">
        <v>10456</v>
      </c>
      <c r="Z305">
        <v>0</v>
      </c>
      <c r="AA305" t="s">
        <v>98</v>
      </c>
      <c r="AB305" t="s">
        <v>2117</v>
      </c>
      <c r="AC305">
        <v>418086</v>
      </c>
      <c r="AD305" t="s">
        <v>1752</v>
      </c>
      <c r="AG305" t="s">
        <v>1523</v>
      </c>
      <c r="AH305" t="s">
        <v>1439</v>
      </c>
      <c r="AI305">
        <v>941502259</v>
      </c>
      <c r="AL305" t="s">
        <v>2118</v>
      </c>
      <c r="AO305" t="s">
        <v>2119</v>
      </c>
      <c r="AP305" t="s">
        <v>107</v>
      </c>
      <c r="AQ305" t="s">
        <v>92</v>
      </c>
      <c r="AR305" t="s">
        <v>2120</v>
      </c>
      <c r="AS305" t="s">
        <v>208</v>
      </c>
      <c r="AT305" t="s">
        <v>122</v>
      </c>
      <c r="AU305" t="s">
        <v>96</v>
      </c>
      <c r="AZ305" t="s">
        <v>111</v>
      </c>
      <c r="BA305" t="s">
        <v>99</v>
      </c>
      <c r="BB305" t="s">
        <v>2121</v>
      </c>
      <c r="BC305" t="s">
        <v>230</v>
      </c>
      <c r="BD305" t="s">
        <v>2061</v>
      </c>
      <c r="BE305">
        <v>2023</v>
      </c>
      <c r="BF305">
        <v>2023</v>
      </c>
    </row>
    <row r="306" spans="1:58">
      <c r="A306">
        <v>2683379</v>
      </c>
      <c r="B306">
        <v>259</v>
      </c>
      <c r="C306">
        <v>9</v>
      </c>
      <c r="D306">
        <v>4453523</v>
      </c>
      <c r="F306" t="s">
        <v>80</v>
      </c>
      <c r="G306" t="s">
        <v>81</v>
      </c>
      <c r="H306" t="s">
        <v>15</v>
      </c>
      <c r="I306" t="s">
        <v>16</v>
      </c>
      <c r="J306" t="s">
        <v>6</v>
      </c>
      <c r="K306" t="s">
        <v>83</v>
      </c>
      <c r="L306" s="3">
        <v>46029</v>
      </c>
      <c r="M306" t="s">
        <v>193</v>
      </c>
      <c r="N306">
        <v>8956772</v>
      </c>
      <c r="O306">
        <v>6</v>
      </c>
      <c r="P306" t="s">
        <v>2122</v>
      </c>
      <c r="Q306">
        <v>1</v>
      </c>
      <c r="R306">
        <v>253.40700000000001</v>
      </c>
      <c r="S306" s="3">
        <v>45727</v>
      </c>
      <c r="T306">
        <v>25</v>
      </c>
      <c r="U306">
        <v>25</v>
      </c>
      <c r="V306">
        <v>48</v>
      </c>
      <c r="W306" t="s">
        <v>1465</v>
      </c>
      <c r="X306" t="s">
        <v>87</v>
      </c>
      <c r="Y306">
        <v>312781</v>
      </c>
      <c r="Z306">
        <v>0</v>
      </c>
      <c r="AA306" t="s">
        <v>98</v>
      </c>
      <c r="AB306" s="3">
        <v>44966</v>
      </c>
      <c r="AC306">
        <v>2593444</v>
      </c>
      <c r="AD306" t="s">
        <v>2123</v>
      </c>
      <c r="AH306" t="s">
        <v>1428</v>
      </c>
      <c r="AI306">
        <v>998860669</v>
      </c>
      <c r="AL306" t="s">
        <v>2124</v>
      </c>
      <c r="AO306" t="s">
        <v>2125</v>
      </c>
      <c r="AP306" t="s">
        <v>902</v>
      </c>
      <c r="AQ306" t="s">
        <v>92</v>
      </c>
      <c r="AR306" t="s">
        <v>2126</v>
      </c>
      <c r="AS306" t="s">
        <v>388</v>
      </c>
      <c r="AT306" t="s">
        <v>122</v>
      </c>
      <c r="AU306" t="s">
        <v>96</v>
      </c>
      <c r="AZ306" t="s">
        <v>111</v>
      </c>
      <c r="BA306" t="s">
        <v>99</v>
      </c>
      <c r="BB306" t="s">
        <v>2127</v>
      </c>
      <c r="BC306" t="s">
        <v>468</v>
      </c>
      <c r="BD306" t="s">
        <v>2128</v>
      </c>
      <c r="BE306">
        <v>2022</v>
      </c>
      <c r="BF306">
        <v>2022</v>
      </c>
    </row>
    <row r="307" spans="1:58">
      <c r="A307">
        <v>2695017</v>
      </c>
      <c r="B307">
        <v>231</v>
      </c>
      <c r="C307">
        <v>8</v>
      </c>
      <c r="D307">
        <v>3867473</v>
      </c>
      <c r="F307" t="s">
        <v>80</v>
      </c>
      <c r="G307" t="s">
        <v>81</v>
      </c>
      <c r="H307" t="s">
        <v>15</v>
      </c>
      <c r="I307" t="s">
        <v>15</v>
      </c>
      <c r="J307" t="s">
        <v>6</v>
      </c>
      <c r="K307" t="s">
        <v>83</v>
      </c>
      <c r="L307" s="3">
        <v>46029</v>
      </c>
      <c r="M307" t="s">
        <v>193</v>
      </c>
      <c r="N307">
        <v>13686726</v>
      </c>
      <c r="O307">
        <v>1</v>
      </c>
      <c r="P307" t="s">
        <v>2129</v>
      </c>
      <c r="Q307">
        <v>1</v>
      </c>
      <c r="R307">
        <v>410.84199999999998</v>
      </c>
      <c r="S307" s="3">
        <v>45669</v>
      </c>
      <c r="T307">
        <v>25</v>
      </c>
      <c r="U307">
        <v>25</v>
      </c>
      <c r="V307">
        <v>36</v>
      </c>
      <c r="W307" t="s">
        <v>1425</v>
      </c>
      <c r="X307" t="s">
        <v>1449</v>
      </c>
      <c r="Y307">
        <v>370965</v>
      </c>
      <c r="Z307">
        <v>0</v>
      </c>
      <c r="AA307" t="s">
        <v>98</v>
      </c>
      <c r="AB307" s="3">
        <v>45239</v>
      </c>
      <c r="AC307">
        <v>3657701</v>
      </c>
      <c r="AD307" t="s">
        <v>2110</v>
      </c>
      <c r="AH307" t="s">
        <v>1428</v>
      </c>
      <c r="AI307">
        <v>954852977</v>
      </c>
      <c r="AL307" t="s">
        <v>2130</v>
      </c>
      <c r="AO307" t="s">
        <v>2131</v>
      </c>
      <c r="AP307" t="s">
        <v>107</v>
      </c>
      <c r="AQ307" t="s">
        <v>92</v>
      </c>
      <c r="AR307" t="s">
        <v>2132</v>
      </c>
      <c r="AS307" t="s">
        <v>162</v>
      </c>
      <c r="AT307" t="s">
        <v>122</v>
      </c>
      <c r="AU307" t="s">
        <v>96</v>
      </c>
      <c r="AZ307" t="s">
        <v>111</v>
      </c>
      <c r="BA307" t="s">
        <v>99</v>
      </c>
      <c r="BB307" t="s">
        <v>2133</v>
      </c>
      <c r="BC307" t="s">
        <v>718</v>
      </c>
      <c r="BD307" t="s">
        <v>2134</v>
      </c>
      <c r="BE307">
        <v>2024</v>
      </c>
      <c r="BF307">
        <v>2024</v>
      </c>
    </row>
    <row r="308" spans="1:58">
      <c r="A308">
        <v>2700458</v>
      </c>
      <c r="B308">
        <v>196</v>
      </c>
      <c r="C308">
        <v>7</v>
      </c>
      <c r="D308">
        <v>7252101</v>
      </c>
      <c r="F308" t="s">
        <v>80</v>
      </c>
      <c r="G308" t="s">
        <v>81</v>
      </c>
      <c r="H308" t="s">
        <v>13</v>
      </c>
      <c r="I308" t="s">
        <v>14</v>
      </c>
      <c r="J308" t="s">
        <v>6</v>
      </c>
      <c r="K308" t="s">
        <v>83</v>
      </c>
      <c r="L308" s="3">
        <v>46029</v>
      </c>
      <c r="M308" t="s">
        <v>193</v>
      </c>
      <c r="N308">
        <v>12700961</v>
      </c>
      <c r="O308">
        <v>9</v>
      </c>
      <c r="P308" t="s">
        <v>2135</v>
      </c>
      <c r="Q308">
        <v>1</v>
      </c>
      <c r="R308">
        <v>316.20800000000003</v>
      </c>
      <c r="S308" s="3">
        <v>46143</v>
      </c>
      <c r="T308">
        <v>26</v>
      </c>
      <c r="U308">
        <v>26</v>
      </c>
      <c r="V308">
        <v>49</v>
      </c>
      <c r="W308" t="s">
        <v>1448</v>
      </c>
      <c r="X308" t="s">
        <v>1532</v>
      </c>
      <c r="Y308">
        <v>211797</v>
      </c>
      <c r="Z308">
        <v>114612</v>
      </c>
      <c r="AA308" t="s">
        <v>98</v>
      </c>
      <c r="AB308" s="3">
        <v>45269</v>
      </c>
      <c r="AC308">
        <v>2539865</v>
      </c>
      <c r="AD308" t="s">
        <v>1671</v>
      </c>
      <c r="AH308" t="s">
        <v>1428</v>
      </c>
      <c r="AI308">
        <v>979822304</v>
      </c>
      <c r="AL308" t="s">
        <v>2136</v>
      </c>
      <c r="AO308" t="s">
        <v>2137</v>
      </c>
      <c r="AP308" t="s">
        <v>661</v>
      </c>
      <c r="AQ308" t="s">
        <v>149</v>
      </c>
      <c r="AR308" t="s">
        <v>2138</v>
      </c>
      <c r="AS308" t="s">
        <v>418</v>
      </c>
      <c r="AT308" t="s">
        <v>141</v>
      </c>
      <c r="AU308" t="s">
        <v>96</v>
      </c>
      <c r="AV308" t="s">
        <v>1478</v>
      </c>
      <c r="AZ308" t="s">
        <v>98</v>
      </c>
      <c r="BA308" t="s">
        <v>99</v>
      </c>
      <c r="BB308" t="s">
        <v>2139</v>
      </c>
      <c r="BC308" t="s">
        <v>278</v>
      </c>
      <c r="BD308" t="s">
        <v>2140</v>
      </c>
      <c r="BE308">
        <v>2024</v>
      </c>
      <c r="BF308">
        <v>2024</v>
      </c>
    </row>
    <row r="309" spans="1:58">
      <c r="A309">
        <v>2709871</v>
      </c>
      <c r="B309">
        <v>35</v>
      </c>
      <c r="C309">
        <v>2</v>
      </c>
      <c r="D309">
        <v>1598045</v>
      </c>
      <c r="F309" t="s">
        <v>80</v>
      </c>
      <c r="G309" t="s">
        <v>81</v>
      </c>
      <c r="H309" t="s">
        <v>19</v>
      </c>
      <c r="I309" t="s">
        <v>19</v>
      </c>
      <c r="J309" t="s">
        <v>6</v>
      </c>
      <c r="K309" t="s">
        <v>83</v>
      </c>
      <c r="L309" s="3">
        <v>46029</v>
      </c>
      <c r="M309" t="s">
        <v>193</v>
      </c>
      <c r="N309">
        <v>7169657</v>
      </c>
      <c r="O309" t="s">
        <v>266</v>
      </c>
      <c r="P309" t="s">
        <v>2141</v>
      </c>
      <c r="Q309">
        <v>1</v>
      </c>
      <c r="R309">
        <v>290.125</v>
      </c>
      <c r="S309" t="s">
        <v>1942</v>
      </c>
      <c r="T309">
        <v>31</v>
      </c>
      <c r="U309">
        <v>30</v>
      </c>
      <c r="V309">
        <v>36</v>
      </c>
      <c r="W309" t="s">
        <v>156</v>
      </c>
      <c r="Y309">
        <v>11711</v>
      </c>
      <c r="Z309">
        <v>0</v>
      </c>
      <c r="AA309" t="s">
        <v>98</v>
      </c>
      <c r="AB309" t="s">
        <v>2142</v>
      </c>
      <c r="AC309">
        <v>591961</v>
      </c>
      <c r="AD309" t="s">
        <v>2143</v>
      </c>
      <c r="AG309" t="s">
        <v>1523</v>
      </c>
      <c r="AH309" t="s">
        <v>1439</v>
      </c>
      <c r="AI309">
        <v>998920085</v>
      </c>
      <c r="AL309" t="s">
        <v>2144</v>
      </c>
      <c r="AO309" t="s">
        <v>2145</v>
      </c>
      <c r="AP309" t="s">
        <v>488</v>
      </c>
      <c r="AQ309" t="s">
        <v>92</v>
      </c>
      <c r="AR309" t="s">
        <v>2146</v>
      </c>
      <c r="AS309" t="s">
        <v>208</v>
      </c>
      <c r="AT309" t="s">
        <v>122</v>
      </c>
      <c r="AU309" t="s">
        <v>96</v>
      </c>
      <c r="AW309" t="s">
        <v>410</v>
      </c>
      <c r="AX309" t="s">
        <v>1607</v>
      </c>
      <c r="AY309" t="s">
        <v>2147</v>
      </c>
      <c r="AZ309" t="s">
        <v>111</v>
      </c>
      <c r="BA309" t="s">
        <v>99</v>
      </c>
      <c r="BC309" t="s">
        <v>164</v>
      </c>
      <c r="BD309" t="s">
        <v>1114</v>
      </c>
      <c r="BE309">
        <v>2024</v>
      </c>
      <c r="BF309">
        <v>2024</v>
      </c>
    </row>
    <row r="310" spans="1:58">
      <c r="A310">
        <v>2710716</v>
      </c>
      <c r="B310">
        <v>160</v>
      </c>
      <c r="C310">
        <v>6</v>
      </c>
      <c r="D310">
        <v>4977073</v>
      </c>
      <c r="F310" t="s">
        <v>80</v>
      </c>
      <c r="G310" t="s">
        <v>81</v>
      </c>
      <c r="H310" t="s">
        <v>12</v>
      </c>
      <c r="I310" t="s">
        <v>13</v>
      </c>
      <c r="J310" t="s">
        <v>6</v>
      </c>
      <c r="K310" t="s">
        <v>83</v>
      </c>
      <c r="L310" s="3">
        <v>46029</v>
      </c>
      <c r="M310" t="s">
        <v>193</v>
      </c>
      <c r="N310">
        <v>17393894</v>
      </c>
      <c r="O310">
        <v>2</v>
      </c>
      <c r="P310" t="s">
        <v>2148</v>
      </c>
      <c r="Q310">
        <v>1</v>
      </c>
      <c r="R310">
        <v>223.416</v>
      </c>
      <c r="S310" s="3">
        <v>46297</v>
      </c>
      <c r="T310">
        <v>27</v>
      </c>
      <c r="U310">
        <v>27</v>
      </c>
      <c r="V310">
        <v>37</v>
      </c>
      <c r="W310" t="s">
        <v>1448</v>
      </c>
      <c r="X310" t="s">
        <v>1532</v>
      </c>
      <c r="Y310">
        <v>111653</v>
      </c>
      <c r="Z310">
        <v>0</v>
      </c>
      <c r="AA310" t="s">
        <v>98</v>
      </c>
      <c r="AB310" t="s">
        <v>2149</v>
      </c>
      <c r="AC310">
        <v>1452149</v>
      </c>
      <c r="AD310" t="s">
        <v>2076</v>
      </c>
      <c r="AH310" t="s">
        <v>1428</v>
      </c>
      <c r="AI310">
        <v>56954924935</v>
      </c>
      <c r="AL310" t="s">
        <v>2150</v>
      </c>
      <c r="AO310" t="s">
        <v>2151</v>
      </c>
      <c r="AP310" t="s">
        <v>661</v>
      </c>
      <c r="AQ310" t="s">
        <v>149</v>
      </c>
      <c r="AR310" t="s">
        <v>2152</v>
      </c>
      <c r="AS310" t="s">
        <v>293</v>
      </c>
      <c r="AT310" t="s">
        <v>74</v>
      </c>
      <c r="AU310" t="s">
        <v>96</v>
      </c>
      <c r="AZ310" t="s">
        <v>111</v>
      </c>
      <c r="BA310" t="s">
        <v>99</v>
      </c>
      <c r="BB310" t="s">
        <v>2153</v>
      </c>
      <c r="BC310" t="s">
        <v>287</v>
      </c>
      <c r="BD310" t="s">
        <v>2154</v>
      </c>
      <c r="BE310">
        <v>2024</v>
      </c>
      <c r="BF310">
        <v>2024</v>
      </c>
    </row>
    <row r="311" spans="1:58">
      <c r="A311">
        <v>2723481</v>
      </c>
      <c r="B311">
        <v>137</v>
      </c>
      <c r="C311">
        <v>5</v>
      </c>
      <c r="D311">
        <v>2226467</v>
      </c>
      <c r="F311" t="s">
        <v>80</v>
      </c>
      <c r="G311" t="s">
        <v>81</v>
      </c>
      <c r="H311" t="s">
        <v>23</v>
      </c>
      <c r="I311" t="s">
        <v>12</v>
      </c>
      <c r="J311" t="s">
        <v>6</v>
      </c>
      <c r="K311" t="s">
        <v>83</v>
      </c>
      <c r="L311" s="3">
        <v>46029</v>
      </c>
      <c r="M311" t="s">
        <v>193</v>
      </c>
      <c r="N311">
        <v>15902985</v>
      </c>
      <c r="O311">
        <v>9</v>
      </c>
      <c r="P311" t="s">
        <v>2155</v>
      </c>
      <c r="Q311">
        <v>1</v>
      </c>
      <c r="R311">
        <v>205.39699999999999</v>
      </c>
      <c r="S311" s="3">
        <v>46145</v>
      </c>
      <c r="T311">
        <v>28</v>
      </c>
      <c r="U311">
        <v>28</v>
      </c>
      <c r="V311">
        <v>40</v>
      </c>
      <c r="W311" t="s">
        <v>1425</v>
      </c>
      <c r="X311" t="s">
        <v>87</v>
      </c>
      <c r="Y311">
        <v>75802</v>
      </c>
      <c r="Z311">
        <v>68299</v>
      </c>
      <c r="AA311" t="s">
        <v>98</v>
      </c>
      <c r="AB311" s="3">
        <v>44967</v>
      </c>
      <c r="AC311">
        <v>1171086</v>
      </c>
      <c r="AD311" t="s">
        <v>1881</v>
      </c>
      <c r="AH311" t="s">
        <v>1428</v>
      </c>
      <c r="AI311">
        <v>999592226</v>
      </c>
      <c r="AL311" t="s">
        <v>2156</v>
      </c>
      <c r="AO311" t="s">
        <v>2157</v>
      </c>
      <c r="AP311" t="s">
        <v>723</v>
      </c>
      <c r="AQ311" t="s">
        <v>724</v>
      </c>
      <c r="AR311" t="s">
        <v>2158</v>
      </c>
      <c r="AS311" t="s">
        <v>189</v>
      </c>
      <c r="AT311" t="s">
        <v>141</v>
      </c>
      <c r="AU311" t="s">
        <v>527</v>
      </c>
      <c r="AZ311" t="s">
        <v>98</v>
      </c>
      <c r="BA311" t="s">
        <v>99</v>
      </c>
      <c r="BB311" t="s">
        <v>2159</v>
      </c>
      <c r="BC311" t="s">
        <v>1566</v>
      </c>
      <c r="BD311" t="s">
        <v>2160</v>
      </c>
      <c r="BE311">
        <v>2013</v>
      </c>
      <c r="BF311">
        <v>2013</v>
      </c>
    </row>
    <row r="312" spans="1:58">
      <c r="A312">
        <v>2724801</v>
      </c>
      <c r="B312">
        <v>353</v>
      </c>
      <c r="C312">
        <v>12</v>
      </c>
      <c r="D312">
        <v>6101251</v>
      </c>
      <c r="F312" t="s">
        <v>80</v>
      </c>
      <c r="G312" t="s">
        <v>81</v>
      </c>
      <c r="H312" t="s">
        <v>20</v>
      </c>
      <c r="I312" t="s">
        <v>20</v>
      </c>
      <c r="J312" t="s">
        <v>6</v>
      </c>
      <c r="K312" t="s">
        <v>83</v>
      </c>
      <c r="L312" s="3">
        <v>46029</v>
      </c>
      <c r="M312" t="s">
        <v>193</v>
      </c>
      <c r="N312">
        <v>13749912</v>
      </c>
      <c r="O312">
        <v>6</v>
      </c>
      <c r="P312" t="s">
        <v>2161</v>
      </c>
      <c r="Q312">
        <v>1</v>
      </c>
      <c r="R312">
        <v>169.80199999999999</v>
      </c>
      <c r="S312" s="3">
        <v>45665</v>
      </c>
      <c r="T312">
        <v>20</v>
      </c>
      <c r="U312">
        <v>20</v>
      </c>
      <c r="V312">
        <v>68</v>
      </c>
      <c r="W312" t="s">
        <v>1425</v>
      </c>
      <c r="Y312">
        <v>326321</v>
      </c>
      <c r="Z312">
        <v>97046</v>
      </c>
      <c r="AA312" t="s">
        <v>98</v>
      </c>
      <c r="AB312" s="3">
        <v>45056</v>
      </c>
      <c r="AC312">
        <v>2460991</v>
      </c>
      <c r="AD312" t="s">
        <v>2162</v>
      </c>
      <c r="AH312" t="s">
        <v>1428</v>
      </c>
      <c r="AI312">
        <v>947629904</v>
      </c>
      <c r="AL312" t="s">
        <v>2163</v>
      </c>
      <c r="AO312" t="s">
        <v>2164</v>
      </c>
      <c r="AP312" t="s">
        <v>1681</v>
      </c>
      <c r="AQ312" t="s">
        <v>434</v>
      </c>
      <c r="AR312" t="s">
        <v>1502</v>
      </c>
      <c r="AS312" t="s">
        <v>556</v>
      </c>
      <c r="AT312" t="s">
        <v>141</v>
      </c>
      <c r="AU312" t="s">
        <v>96</v>
      </c>
      <c r="AZ312" t="s">
        <v>98</v>
      </c>
      <c r="BA312" t="s">
        <v>99</v>
      </c>
      <c r="BC312" t="s">
        <v>1519</v>
      </c>
      <c r="BD312" t="s">
        <v>2165</v>
      </c>
      <c r="BE312">
        <v>2018</v>
      </c>
      <c r="BF312">
        <v>2018</v>
      </c>
    </row>
    <row r="313" spans="1:58">
      <c r="A313">
        <v>2741702</v>
      </c>
      <c r="B313">
        <v>136</v>
      </c>
      <c r="C313">
        <v>5</v>
      </c>
      <c r="D313">
        <v>5876203</v>
      </c>
      <c r="F313" t="s">
        <v>80</v>
      </c>
      <c r="G313" t="s">
        <v>81</v>
      </c>
      <c r="H313" t="s">
        <v>23</v>
      </c>
      <c r="I313" t="s">
        <v>12</v>
      </c>
      <c r="J313" t="s">
        <v>6</v>
      </c>
      <c r="K313" t="s">
        <v>83</v>
      </c>
      <c r="L313" s="3">
        <v>46029</v>
      </c>
      <c r="M313" t="s">
        <v>193</v>
      </c>
      <c r="N313">
        <v>15292546</v>
      </c>
      <c r="O313">
        <v>8</v>
      </c>
      <c r="P313" t="s">
        <v>2166</v>
      </c>
      <c r="Q313">
        <v>1</v>
      </c>
      <c r="R313">
        <v>232.35400000000001</v>
      </c>
      <c r="S313" s="3">
        <v>46176</v>
      </c>
      <c r="T313">
        <v>27</v>
      </c>
      <c r="U313">
        <v>27</v>
      </c>
      <c r="V313">
        <v>60</v>
      </c>
      <c r="W313" t="s">
        <v>1425</v>
      </c>
      <c r="X313" t="s">
        <v>87</v>
      </c>
      <c r="Y313">
        <v>76905</v>
      </c>
      <c r="Z313">
        <v>0</v>
      </c>
      <c r="AA313" t="s">
        <v>98</v>
      </c>
      <c r="AB313" t="s">
        <v>2167</v>
      </c>
      <c r="AC313">
        <v>1238675</v>
      </c>
      <c r="AD313" t="s">
        <v>2083</v>
      </c>
      <c r="AH313" t="s">
        <v>1428</v>
      </c>
      <c r="AI313">
        <v>976647009</v>
      </c>
      <c r="AL313" t="s">
        <v>2168</v>
      </c>
      <c r="AO313" t="s">
        <v>2169</v>
      </c>
      <c r="AQ313" t="s">
        <v>765</v>
      </c>
      <c r="AR313" t="s">
        <v>2170</v>
      </c>
      <c r="AS313" t="s">
        <v>140</v>
      </c>
      <c r="AT313" t="s">
        <v>122</v>
      </c>
      <c r="AU313" t="s">
        <v>96</v>
      </c>
      <c r="AZ313" t="s">
        <v>111</v>
      </c>
      <c r="BA313" t="s">
        <v>99</v>
      </c>
      <c r="BB313" t="s">
        <v>2171</v>
      </c>
      <c r="BC313" t="s">
        <v>133</v>
      </c>
      <c r="BD313" t="s">
        <v>2172</v>
      </c>
      <c r="BE313">
        <v>2019</v>
      </c>
      <c r="BF313">
        <v>2019</v>
      </c>
    </row>
    <row r="314" spans="1:58">
      <c r="A314">
        <v>2742863</v>
      </c>
      <c r="B314">
        <v>61</v>
      </c>
      <c r="C314">
        <v>3</v>
      </c>
      <c r="D314">
        <v>1966990</v>
      </c>
      <c r="F314" t="s">
        <v>80</v>
      </c>
      <c r="G314" t="s">
        <v>81</v>
      </c>
      <c r="H314" t="s">
        <v>19</v>
      </c>
      <c r="I314" t="s">
        <v>22</v>
      </c>
      <c r="J314" t="s">
        <v>6</v>
      </c>
      <c r="K314" t="s">
        <v>83</v>
      </c>
      <c r="L314" s="3">
        <v>46029</v>
      </c>
      <c r="M314" t="s">
        <v>1559</v>
      </c>
      <c r="N314">
        <v>8723200</v>
      </c>
      <c r="O314" t="s">
        <v>266</v>
      </c>
      <c r="P314" t="s">
        <v>2173</v>
      </c>
      <c r="Q314">
        <v>1</v>
      </c>
      <c r="R314">
        <v>358.54199999999997</v>
      </c>
      <c r="S314" t="s">
        <v>2174</v>
      </c>
      <c r="T314">
        <v>30</v>
      </c>
      <c r="U314">
        <v>30</v>
      </c>
      <c r="V314">
        <v>36</v>
      </c>
      <c r="W314" t="s">
        <v>1425</v>
      </c>
      <c r="Y314">
        <v>29432</v>
      </c>
      <c r="Z314">
        <v>0</v>
      </c>
      <c r="AA314" t="s">
        <v>98</v>
      </c>
      <c r="AB314" t="s">
        <v>2175</v>
      </c>
      <c r="AC314">
        <v>1105058</v>
      </c>
      <c r="AD314" t="s">
        <v>2176</v>
      </c>
      <c r="AG314" t="s">
        <v>1523</v>
      </c>
      <c r="AH314" t="s">
        <v>1428</v>
      </c>
      <c r="AI314">
        <v>989293829</v>
      </c>
      <c r="AL314" t="s">
        <v>2177</v>
      </c>
      <c r="AO314" t="s">
        <v>2178</v>
      </c>
      <c r="AP314" t="s">
        <v>129</v>
      </c>
      <c r="AQ314" t="s">
        <v>92</v>
      </c>
      <c r="AR314" t="s">
        <v>2179</v>
      </c>
      <c r="AS314" t="s">
        <v>346</v>
      </c>
      <c r="AT314" t="s">
        <v>74</v>
      </c>
      <c r="AU314" t="s">
        <v>96</v>
      </c>
      <c r="AZ314" t="s">
        <v>111</v>
      </c>
      <c r="BA314" t="s">
        <v>99</v>
      </c>
      <c r="BB314" t="s">
        <v>2180</v>
      </c>
      <c r="BC314" t="s">
        <v>1074</v>
      </c>
      <c r="BD314" t="s">
        <v>2181</v>
      </c>
      <c r="BE314">
        <v>2024</v>
      </c>
      <c r="BF314">
        <v>2024</v>
      </c>
    </row>
    <row r="315" spans="1:58">
      <c r="A315">
        <v>2742999</v>
      </c>
      <c r="B315">
        <v>344</v>
      </c>
      <c r="C315">
        <v>12</v>
      </c>
      <c r="D315">
        <v>4871567</v>
      </c>
      <c r="F315" t="s">
        <v>80</v>
      </c>
      <c r="G315" t="s">
        <v>81</v>
      </c>
      <c r="H315" t="s">
        <v>18</v>
      </c>
      <c r="I315" t="s">
        <v>20</v>
      </c>
      <c r="J315" t="s">
        <v>6</v>
      </c>
      <c r="K315" t="s">
        <v>83</v>
      </c>
      <c r="L315" s="3">
        <v>46029</v>
      </c>
      <c r="M315" t="s">
        <v>193</v>
      </c>
      <c r="N315">
        <v>13332484</v>
      </c>
      <c r="O315">
        <v>4</v>
      </c>
      <c r="P315" t="s">
        <v>2182</v>
      </c>
      <c r="Q315">
        <v>1</v>
      </c>
      <c r="R315">
        <v>188.35900000000001</v>
      </c>
      <c r="S315" s="3">
        <v>45938</v>
      </c>
      <c r="T315">
        <v>20</v>
      </c>
      <c r="U315">
        <v>20</v>
      </c>
      <c r="V315">
        <v>54</v>
      </c>
      <c r="W315" t="s">
        <v>1425</v>
      </c>
      <c r="Y315">
        <v>389786</v>
      </c>
      <c r="Z315">
        <v>0</v>
      </c>
      <c r="AA315" t="s">
        <v>98</v>
      </c>
      <c r="AB315" t="s">
        <v>2175</v>
      </c>
      <c r="AC315">
        <v>2650094</v>
      </c>
      <c r="AD315" t="s">
        <v>2083</v>
      </c>
      <c r="AH315" t="s">
        <v>1428</v>
      </c>
      <c r="AI315">
        <v>442930571</v>
      </c>
      <c r="AL315" t="s">
        <v>2183</v>
      </c>
      <c r="AO315" t="s">
        <v>2184</v>
      </c>
      <c r="AP315" t="s">
        <v>2185</v>
      </c>
      <c r="AQ315" t="s">
        <v>149</v>
      </c>
      <c r="AR315" t="s">
        <v>2186</v>
      </c>
      <c r="AS315" t="s">
        <v>189</v>
      </c>
      <c r="AT315" t="s">
        <v>122</v>
      </c>
      <c r="AU315" t="s">
        <v>96</v>
      </c>
      <c r="AZ315" t="s">
        <v>111</v>
      </c>
      <c r="BA315" t="s">
        <v>99</v>
      </c>
      <c r="BC315" t="s">
        <v>278</v>
      </c>
      <c r="BD315" t="s">
        <v>2187</v>
      </c>
      <c r="BE315">
        <v>2020</v>
      </c>
      <c r="BF315">
        <v>2020</v>
      </c>
    </row>
    <row r="316" spans="1:58">
      <c r="A316">
        <v>2748236</v>
      </c>
      <c r="B316">
        <v>99</v>
      </c>
      <c r="C316">
        <v>4</v>
      </c>
      <c r="D316">
        <v>4191742</v>
      </c>
      <c r="F316" t="s">
        <v>80</v>
      </c>
      <c r="G316" t="s">
        <v>81</v>
      </c>
      <c r="H316" t="s">
        <v>22</v>
      </c>
      <c r="I316" t="s">
        <v>23</v>
      </c>
      <c r="J316" t="s">
        <v>6</v>
      </c>
      <c r="K316" t="s">
        <v>83</v>
      </c>
      <c r="L316" s="3">
        <v>46029</v>
      </c>
      <c r="M316" t="s">
        <v>193</v>
      </c>
      <c r="N316">
        <v>7550176</v>
      </c>
      <c r="O316">
        <v>5</v>
      </c>
      <c r="P316" t="s">
        <v>2188</v>
      </c>
      <c r="Q316">
        <v>1</v>
      </c>
      <c r="R316">
        <v>141.499</v>
      </c>
      <c r="S316" s="3">
        <v>46360</v>
      </c>
      <c r="T316">
        <v>28</v>
      </c>
      <c r="U316">
        <v>28</v>
      </c>
      <c r="V316">
        <v>69</v>
      </c>
      <c r="W316" t="s">
        <v>1425</v>
      </c>
      <c r="Y316">
        <v>29952</v>
      </c>
      <c r="Z316">
        <v>40030</v>
      </c>
      <c r="AA316" t="s">
        <v>98</v>
      </c>
      <c r="AB316" t="s">
        <v>2189</v>
      </c>
      <c r="AC316">
        <v>635978</v>
      </c>
      <c r="AD316" t="s">
        <v>2083</v>
      </c>
      <c r="AH316" t="s">
        <v>1428</v>
      </c>
      <c r="AI316">
        <v>951100668</v>
      </c>
      <c r="AL316" t="s">
        <v>2190</v>
      </c>
      <c r="AO316" t="s">
        <v>2191</v>
      </c>
      <c r="AP316" t="s">
        <v>800</v>
      </c>
      <c r="AQ316" t="s">
        <v>801</v>
      </c>
      <c r="AR316" t="s">
        <v>1130</v>
      </c>
      <c r="AS316" t="s">
        <v>767</v>
      </c>
      <c r="AT316" t="s">
        <v>141</v>
      </c>
      <c r="AU316" t="s">
        <v>96</v>
      </c>
      <c r="AZ316" t="s">
        <v>98</v>
      </c>
      <c r="BA316" t="s">
        <v>99</v>
      </c>
      <c r="BC316" t="s">
        <v>182</v>
      </c>
      <c r="BD316" t="s">
        <v>2192</v>
      </c>
      <c r="BE316">
        <v>2022</v>
      </c>
      <c r="BF316">
        <v>2022</v>
      </c>
    </row>
    <row r="317" spans="1:58">
      <c r="A317">
        <v>2762576</v>
      </c>
      <c r="B317">
        <v>44</v>
      </c>
      <c r="C317">
        <v>2</v>
      </c>
      <c r="D317">
        <v>5360106</v>
      </c>
      <c r="F317" t="s">
        <v>80</v>
      </c>
      <c r="G317" t="s">
        <v>81</v>
      </c>
      <c r="H317" t="s">
        <v>23</v>
      </c>
      <c r="I317" t="s">
        <v>19</v>
      </c>
      <c r="J317" t="s">
        <v>6</v>
      </c>
      <c r="K317" t="s">
        <v>83</v>
      </c>
      <c r="L317" s="3">
        <v>46302</v>
      </c>
      <c r="M317" t="s">
        <v>1559</v>
      </c>
      <c r="N317">
        <v>12829586</v>
      </c>
      <c r="O317">
        <v>0</v>
      </c>
      <c r="P317" t="s">
        <v>2193</v>
      </c>
      <c r="Q317">
        <v>1</v>
      </c>
      <c r="R317">
        <v>335.11500000000001</v>
      </c>
      <c r="S317" s="3">
        <v>46179</v>
      </c>
      <c r="T317">
        <v>30</v>
      </c>
      <c r="U317">
        <v>27</v>
      </c>
      <c r="V317">
        <v>48</v>
      </c>
      <c r="W317" t="s">
        <v>1425</v>
      </c>
      <c r="X317" t="s">
        <v>1532</v>
      </c>
      <c r="Y317">
        <v>17560</v>
      </c>
      <c r="Z317">
        <v>35891</v>
      </c>
      <c r="AA317" t="s">
        <v>98</v>
      </c>
      <c r="AB317" s="3">
        <v>45057</v>
      </c>
      <c r="AC317">
        <v>723681</v>
      </c>
      <c r="AD317" t="s">
        <v>2176</v>
      </c>
      <c r="AH317" t="s">
        <v>1789</v>
      </c>
      <c r="AL317" t="s">
        <v>2194</v>
      </c>
      <c r="AO317" t="s">
        <v>2195</v>
      </c>
      <c r="AP317" t="s">
        <v>517</v>
      </c>
      <c r="AQ317" t="s">
        <v>92</v>
      </c>
      <c r="AT317" t="s">
        <v>95</v>
      </c>
      <c r="AU317" t="s">
        <v>1777</v>
      </c>
      <c r="AZ317" t="s">
        <v>98</v>
      </c>
      <c r="BA317" t="s">
        <v>99</v>
      </c>
      <c r="BB317" t="s">
        <v>2196</v>
      </c>
      <c r="BC317" t="s">
        <v>421</v>
      </c>
      <c r="BD317" t="s">
        <v>2197</v>
      </c>
      <c r="BE317">
        <v>2024</v>
      </c>
      <c r="BF317">
        <v>2024</v>
      </c>
    </row>
    <row r="318" spans="1:58">
      <c r="A318">
        <v>2764809</v>
      </c>
      <c r="B318">
        <v>91</v>
      </c>
      <c r="C318">
        <v>4</v>
      </c>
      <c r="D318">
        <v>3014312</v>
      </c>
      <c r="F318" t="s">
        <v>80</v>
      </c>
      <c r="G318" t="s">
        <v>81</v>
      </c>
      <c r="H318" t="s">
        <v>22</v>
      </c>
      <c r="I318" t="s">
        <v>23</v>
      </c>
      <c r="J318" t="s">
        <v>6</v>
      </c>
      <c r="K318" t="s">
        <v>83</v>
      </c>
      <c r="L318" s="3">
        <v>46029</v>
      </c>
      <c r="M318" t="s">
        <v>193</v>
      </c>
      <c r="N318">
        <v>77480172</v>
      </c>
      <c r="O318">
        <v>3</v>
      </c>
      <c r="P318" t="s">
        <v>2198</v>
      </c>
      <c r="Q318">
        <v>0</v>
      </c>
      <c r="R318">
        <v>420.21899999999999</v>
      </c>
      <c r="S318" t="s">
        <v>2199</v>
      </c>
      <c r="T318">
        <v>28</v>
      </c>
      <c r="U318">
        <v>28</v>
      </c>
      <c r="V318">
        <v>36</v>
      </c>
      <c r="W318" t="s">
        <v>1435</v>
      </c>
      <c r="X318" t="s">
        <v>1532</v>
      </c>
      <c r="Y318">
        <v>68258</v>
      </c>
      <c r="Z318">
        <v>0</v>
      </c>
      <c r="AA318" t="s">
        <v>98</v>
      </c>
      <c r="AB318" s="3">
        <v>45118</v>
      </c>
      <c r="AC318">
        <v>1749134</v>
      </c>
      <c r="AD318" t="s">
        <v>1705</v>
      </c>
      <c r="AH318" t="s">
        <v>1428</v>
      </c>
      <c r="AI318">
        <v>961928506</v>
      </c>
      <c r="AL318" t="s">
        <v>2200</v>
      </c>
      <c r="AO318" t="s">
        <v>2201</v>
      </c>
      <c r="AP318" t="s">
        <v>365</v>
      </c>
      <c r="AQ318" t="s">
        <v>149</v>
      </c>
      <c r="AR318" t="s">
        <v>2202</v>
      </c>
      <c r="AS318" t="s">
        <v>162</v>
      </c>
      <c r="AT318" t="s">
        <v>74</v>
      </c>
      <c r="AU318" t="s">
        <v>96</v>
      </c>
      <c r="AZ318" t="s">
        <v>111</v>
      </c>
      <c r="BA318" t="s">
        <v>99</v>
      </c>
      <c r="BB318" t="s">
        <v>2203</v>
      </c>
      <c r="BC318" t="s">
        <v>412</v>
      </c>
      <c r="BD318" t="s">
        <v>2204</v>
      </c>
      <c r="BE318">
        <v>2024</v>
      </c>
      <c r="BF318">
        <v>2024</v>
      </c>
    </row>
    <row r="319" spans="1:58">
      <c r="A319">
        <v>2766055</v>
      </c>
      <c r="B319">
        <v>285</v>
      </c>
      <c r="C319">
        <v>10</v>
      </c>
      <c r="D319">
        <v>6404128</v>
      </c>
      <c r="F319" t="s">
        <v>80</v>
      </c>
      <c r="G319" t="s">
        <v>81</v>
      </c>
      <c r="H319" t="s">
        <v>16</v>
      </c>
      <c r="I319" t="s">
        <v>17</v>
      </c>
      <c r="J319" t="s">
        <v>6</v>
      </c>
      <c r="K319" t="s">
        <v>83</v>
      </c>
      <c r="L319" s="3">
        <v>46029</v>
      </c>
      <c r="M319" t="s">
        <v>193</v>
      </c>
      <c r="N319">
        <v>7692357</v>
      </c>
      <c r="O319">
        <v>4</v>
      </c>
      <c r="P319" t="s">
        <v>2205</v>
      </c>
      <c r="Q319">
        <v>1</v>
      </c>
      <c r="R319">
        <v>337.53800000000001</v>
      </c>
      <c r="S319" s="3">
        <v>45879</v>
      </c>
      <c r="T319">
        <v>22</v>
      </c>
      <c r="U319">
        <v>22</v>
      </c>
      <c r="V319">
        <v>48</v>
      </c>
      <c r="W319" t="s">
        <v>1435</v>
      </c>
      <c r="X319" t="s">
        <v>87</v>
      </c>
      <c r="Y319">
        <v>439810</v>
      </c>
      <c r="Z319">
        <v>0</v>
      </c>
      <c r="AA319" t="s">
        <v>98</v>
      </c>
      <c r="AB319" s="3">
        <v>45118</v>
      </c>
      <c r="AC319">
        <v>3815190</v>
      </c>
      <c r="AD319" t="s">
        <v>1705</v>
      </c>
      <c r="AH319" t="s">
        <v>1428</v>
      </c>
      <c r="AI319">
        <v>951711706</v>
      </c>
      <c r="AL319" t="s">
        <v>2206</v>
      </c>
      <c r="AO319" t="s">
        <v>2207</v>
      </c>
      <c r="AP319" t="s">
        <v>408</v>
      </c>
      <c r="AQ319" t="s">
        <v>92</v>
      </c>
      <c r="AR319" t="s">
        <v>2208</v>
      </c>
      <c r="AS319" t="s">
        <v>449</v>
      </c>
      <c r="AT319" t="s">
        <v>122</v>
      </c>
      <c r="AU319" t="s">
        <v>96</v>
      </c>
      <c r="AZ319" t="s">
        <v>111</v>
      </c>
      <c r="BA319" t="s">
        <v>99</v>
      </c>
      <c r="BB319" t="s">
        <v>2209</v>
      </c>
      <c r="BC319" t="s">
        <v>143</v>
      </c>
      <c r="BD319" t="s">
        <v>2210</v>
      </c>
      <c r="BE319">
        <v>2024</v>
      </c>
      <c r="BF319">
        <v>2024</v>
      </c>
    </row>
    <row r="320" spans="1:58">
      <c r="A320">
        <v>2780135</v>
      </c>
      <c r="B320">
        <v>165</v>
      </c>
      <c r="C320">
        <v>6</v>
      </c>
      <c r="D320">
        <v>5550311</v>
      </c>
      <c r="F320" t="s">
        <v>80</v>
      </c>
      <c r="G320" t="s">
        <v>81</v>
      </c>
      <c r="H320" t="s">
        <v>12</v>
      </c>
      <c r="I320" t="s">
        <v>13</v>
      </c>
      <c r="J320" t="s">
        <v>6</v>
      </c>
      <c r="K320" t="s">
        <v>83</v>
      </c>
      <c r="L320" s="3">
        <v>46029</v>
      </c>
      <c r="M320" t="s">
        <v>193</v>
      </c>
      <c r="N320">
        <v>13253987</v>
      </c>
      <c r="O320">
        <v>1</v>
      </c>
      <c r="P320" t="s">
        <v>2211</v>
      </c>
      <c r="Q320">
        <v>1</v>
      </c>
      <c r="R320">
        <v>224.86600000000001</v>
      </c>
      <c r="S320" s="3">
        <v>46144</v>
      </c>
      <c r="T320">
        <v>25</v>
      </c>
      <c r="U320">
        <v>25</v>
      </c>
      <c r="V320">
        <v>58</v>
      </c>
      <c r="W320" t="s">
        <v>1465</v>
      </c>
      <c r="X320" t="s">
        <v>1449</v>
      </c>
      <c r="Y320">
        <v>108007</v>
      </c>
      <c r="Z320">
        <v>88524</v>
      </c>
      <c r="AA320" t="s">
        <v>98</v>
      </c>
      <c r="AB320" s="3">
        <v>45180</v>
      </c>
      <c r="AC320">
        <v>1545727</v>
      </c>
      <c r="AD320" t="s">
        <v>2212</v>
      </c>
      <c r="AH320" t="s">
        <v>1428</v>
      </c>
      <c r="AI320">
        <v>962516820</v>
      </c>
      <c r="AL320" t="s">
        <v>2213</v>
      </c>
      <c r="AO320" t="s">
        <v>2214</v>
      </c>
      <c r="AP320" t="s">
        <v>206</v>
      </c>
      <c r="AQ320" t="s">
        <v>160</v>
      </c>
      <c r="AR320" t="s">
        <v>2215</v>
      </c>
      <c r="AS320" t="s">
        <v>2216</v>
      </c>
      <c r="AT320" t="s">
        <v>141</v>
      </c>
      <c r="AU320" t="s">
        <v>96</v>
      </c>
      <c r="AZ320" t="s">
        <v>98</v>
      </c>
      <c r="BA320" t="s">
        <v>99</v>
      </c>
      <c r="BC320" t="s">
        <v>811</v>
      </c>
      <c r="BD320" t="s">
        <v>2217</v>
      </c>
      <c r="BE320">
        <v>2023</v>
      </c>
      <c r="BF320">
        <v>2023</v>
      </c>
    </row>
    <row r="321" spans="1:58">
      <c r="A321">
        <v>2783446</v>
      </c>
      <c r="B321">
        <v>45</v>
      </c>
      <c r="C321">
        <v>2</v>
      </c>
      <c r="D321">
        <v>7182434</v>
      </c>
      <c r="F321" t="s">
        <v>80</v>
      </c>
      <c r="G321" t="s">
        <v>81</v>
      </c>
      <c r="H321" t="s">
        <v>19</v>
      </c>
      <c r="I321" t="s">
        <v>19</v>
      </c>
      <c r="J321" t="s">
        <v>6</v>
      </c>
      <c r="K321" t="s">
        <v>83</v>
      </c>
      <c r="L321" s="3">
        <v>46029</v>
      </c>
      <c r="M321" t="s">
        <v>193</v>
      </c>
      <c r="N321">
        <v>77097597</v>
      </c>
      <c r="O321">
        <v>2</v>
      </c>
      <c r="P321" t="s">
        <v>2218</v>
      </c>
      <c r="Q321">
        <v>0</v>
      </c>
      <c r="R321">
        <v>460.29700000000003</v>
      </c>
      <c r="S321" s="3">
        <v>46148</v>
      </c>
      <c r="T321">
        <v>29</v>
      </c>
      <c r="U321">
        <v>28</v>
      </c>
      <c r="V321">
        <v>48</v>
      </c>
      <c r="W321" t="s">
        <v>1435</v>
      </c>
      <c r="X321" t="s">
        <v>1532</v>
      </c>
      <c r="Y321">
        <v>24883</v>
      </c>
      <c r="Z321">
        <v>9721</v>
      </c>
      <c r="AA321" t="s">
        <v>98</v>
      </c>
      <c r="AB321" t="s">
        <v>2219</v>
      </c>
      <c r="AC321">
        <v>955198</v>
      </c>
      <c r="AD321" t="s">
        <v>1705</v>
      </c>
      <c r="AG321" t="s">
        <v>2220</v>
      </c>
      <c r="AH321" t="s">
        <v>1439</v>
      </c>
      <c r="AI321">
        <v>999123782</v>
      </c>
      <c r="AL321" t="s">
        <v>2221</v>
      </c>
      <c r="AO321" t="s">
        <v>2222</v>
      </c>
      <c r="AP321" t="s">
        <v>1349</v>
      </c>
      <c r="AQ321" t="s">
        <v>92</v>
      </c>
      <c r="AR321" t="s">
        <v>1055</v>
      </c>
      <c r="AS321" t="s">
        <v>339</v>
      </c>
      <c r="AT321" t="s">
        <v>141</v>
      </c>
      <c r="AU321" t="s">
        <v>96</v>
      </c>
      <c r="AZ321" t="s">
        <v>98</v>
      </c>
      <c r="BA321" t="s">
        <v>99</v>
      </c>
      <c r="BB321" t="s">
        <v>2223</v>
      </c>
      <c r="BC321" t="s">
        <v>143</v>
      </c>
      <c r="BD321" t="s">
        <v>2224</v>
      </c>
      <c r="BE321">
        <v>2024</v>
      </c>
      <c r="BF321">
        <v>2024</v>
      </c>
    </row>
    <row r="322" spans="1:58">
      <c r="A322">
        <v>2791803</v>
      </c>
      <c r="B322">
        <v>72</v>
      </c>
      <c r="C322">
        <v>3</v>
      </c>
      <c r="D322">
        <v>5749965</v>
      </c>
      <c r="F322" t="s">
        <v>80</v>
      </c>
      <c r="G322" t="s">
        <v>81</v>
      </c>
      <c r="H322" t="s">
        <v>19</v>
      </c>
      <c r="I322" t="s">
        <v>22</v>
      </c>
      <c r="J322" t="s">
        <v>6</v>
      </c>
      <c r="K322" t="s">
        <v>83</v>
      </c>
      <c r="L322" s="3">
        <v>46029</v>
      </c>
      <c r="M322" t="s">
        <v>1559</v>
      </c>
      <c r="N322">
        <v>15029397</v>
      </c>
      <c r="O322">
        <v>9</v>
      </c>
      <c r="P322" t="s">
        <v>2225</v>
      </c>
      <c r="Q322">
        <v>1</v>
      </c>
      <c r="R322">
        <v>267.964</v>
      </c>
      <c r="S322" s="3">
        <v>46270</v>
      </c>
      <c r="T322">
        <v>28</v>
      </c>
      <c r="U322">
        <v>28</v>
      </c>
      <c r="V322">
        <v>49</v>
      </c>
      <c r="W322" t="s">
        <v>1448</v>
      </c>
      <c r="Y322">
        <v>29672</v>
      </c>
      <c r="Z322">
        <v>0</v>
      </c>
      <c r="AA322" t="s">
        <v>98</v>
      </c>
      <c r="AB322" t="s">
        <v>2226</v>
      </c>
      <c r="AC322">
        <v>833564</v>
      </c>
      <c r="AD322" t="s">
        <v>2227</v>
      </c>
      <c r="AG322" t="s">
        <v>1523</v>
      </c>
      <c r="AH322" t="s">
        <v>1428</v>
      </c>
      <c r="AI322">
        <v>937126014</v>
      </c>
      <c r="AL322" t="s">
        <v>2228</v>
      </c>
      <c r="AO322" t="s">
        <v>2229</v>
      </c>
      <c r="AP322" t="s">
        <v>321</v>
      </c>
      <c r="AQ322" t="s">
        <v>322</v>
      </c>
      <c r="AR322" t="s">
        <v>2230</v>
      </c>
      <c r="AS322" t="s">
        <v>162</v>
      </c>
      <c r="AT322" t="s">
        <v>122</v>
      </c>
      <c r="AU322" t="s">
        <v>96</v>
      </c>
      <c r="AZ322" t="s">
        <v>111</v>
      </c>
      <c r="BA322" t="s">
        <v>99</v>
      </c>
      <c r="BB322" t="s">
        <v>2231</v>
      </c>
      <c r="BC322" t="s">
        <v>182</v>
      </c>
      <c r="BD322" t="s">
        <v>2232</v>
      </c>
      <c r="BE322">
        <v>2024</v>
      </c>
      <c r="BF322">
        <v>2024</v>
      </c>
    </row>
    <row r="323" spans="1:58">
      <c r="A323">
        <v>2791811</v>
      </c>
      <c r="B323">
        <v>227</v>
      </c>
      <c r="C323">
        <v>8</v>
      </c>
      <c r="D323">
        <v>7476330</v>
      </c>
      <c r="F323" t="s">
        <v>80</v>
      </c>
      <c r="G323" t="s">
        <v>81</v>
      </c>
      <c r="H323" t="s">
        <v>14</v>
      </c>
      <c r="I323" t="s">
        <v>15</v>
      </c>
      <c r="J323" t="s">
        <v>6</v>
      </c>
      <c r="K323" t="s">
        <v>83</v>
      </c>
      <c r="L323" s="3">
        <v>46029</v>
      </c>
      <c r="M323" t="s">
        <v>193</v>
      </c>
      <c r="N323">
        <v>9922401</v>
      </c>
      <c r="O323">
        <v>0</v>
      </c>
      <c r="P323" t="s">
        <v>2233</v>
      </c>
      <c r="Q323">
        <v>1</v>
      </c>
      <c r="R323">
        <v>400.69600000000003</v>
      </c>
      <c r="S323" s="3">
        <v>45789</v>
      </c>
      <c r="T323">
        <v>23</v>
      </c>
      <c r="U323">
        <v>23</v>
      </c>
      <c r="V323">
        <v>48</v>
      </c>
      <c r="W323" t="s">
        <v>1448</v>
      </c>
      <c r="X323" t="s">
        <v>1532</v>
      </c>
      <c r="Y323">
        <v>340642</v>
      </c>
      <c r="Z323">
        <v>0</v>
      </c>
      <c r="AA323" t="s">
        <v>98</v>
      </c>
      <c r="AB323" t="s">
        <v>2219</v>
      </c>
      <c r="AC323">
        <v>3546210</v>
      </c>
      <c r="AD323" t="s">
        <v>2076</v>
      </c>
      <c r="AH323" t="s">
        <v>1428</v>
      </c>
      <c r="AI323">
        <v>997892110</v>
      </c>
      <c r="AL323" t="s">
        <v>2234</v>
      </c>
      <c r="AO323" t="s">
        <v>2235</v>
      </c>
      <c r="AP323" t="s">
        <v>353</v>
      </c>
      <c r="AQ323" t="s">
        <v>92</v>
      </c>
      <c r="AR323" t="s">
        <v>2236</v>
      </c>
      <c r="AS323" t="s">
        <v>198</v>
      </c>
      <c r="AT323" t="s">
        <v>74</v>
      </c>
      <c r="AU323" t="s">
        <v>96</v>
      </c>
      <c r="AZ323" t="s">
        <v>111</v>
      </c>
      <c r="BA323" t="s">
        <v>99</v>
      </c>
      <c r="BB323" t="s">
        <v>2237</v>
      </c>
      <c r="BC323" t="s">
        <v>153</v>
      </c>
      <c r="BD323" t="s">
        <v>2238</v>
      </c>
      <c r="BE323">
        <v>2024</v>
      </c>
      <c r="BF323">
        <v>2024</v>
      </c>
    </row>
    <row r="324" spans="1:58">
      <c r="A324">
        <v>2794654</v>
      </c>
      <c r="B324">
        <v>71</v>
      </c>
      <c r="C324">
        <v>3</v>
      </c>
      <c r="D324">
        <v>2533318</v>
      </c>
      <c r="F324" t="s">
        <v>80</v>
      </c>
      <c r="G324" t="s">
        <v>81</v>
      </c>
      <c r="H324" t="s">
        <v>19</v>
      </c>
      <c r="I324" t="s">
        <v>22</v>
      </c>
      <c r="J324" t="s">
        <v>6</v>
      </c>
      <c r="K324" t="s">
        <v>83</v>
      </c>
      <c r="L324" s="3">
        <v>46029</v>
      </c>
      <c r="M324" t="s">
        <v>193</v>
      </c>
      <c r="N324">
        <v>10101870</v>
      </c>
      <c r="O324">
        <v>9</v>
      </c>
      <c r="P324" t="s">
        <v>2239</v>
      </c>
      <c r="Q324">
        <v>1</v>
      </c>
      <c r="R324">
        <v>180.429</v>
      </c>
      <c r="S324" s="3">
        <v>46300</v>
      </c>
      <c r="T324">
        <v>28</v>
      </c>
      <c r="U324">
        <v>28</v>
      </c>
      <c r="V324">
        <v>44</v>
      </c>
      <c r="W324" t="s">
        <v>1425</v>
      </c>
      <c r="Y324">
        <v>21706</v>
      </c>
      <c r="Z324">
        <v>0</v>
      </c>
      <c r="AA324" t="s">
        <v>98</v>
      </c>
      <c r="AB324" t="s">
        <v>2240</v>
      </c>
      <c r="AC324">
        <v>562993</v>
      </c>
      <c r="AD324" t="s">
        <v>2241</v>
      </c>
      <c r="AG324" t="s">
        <v>1523</v>
      </c>
      <c r="AH324" t="s">
        <v>1428</v>
      </c>
      <c r="AI324">
        <v>964052761</v>
      </c>
      <c r="AL324" t="s">
        <v>2242</v>
      </c>
      <c r="AO324" t="s">
        <v>2243</v>
      </c>
      <c r="AP324" t="s">
        <v>2244</v>
      </c>
      <c r="AQ324" t="s">
        <v>188</v>
      </c>
      <c r="AR324" t="s">
        <v>2245</v>
      </c>
      <c r="AS324" t="s">
        <v>556</v>
      </c>
      <c r="AT324" t="s">
        <v>122</v>
      </c>
      <c r="AU324" t="s">
        <v>96</v>
      </c>
      <c r="AZ324" t="s">
        <v>111</v>
      </c>
      <c r="BA324" t="s">
        <v>99</v>
      </c>
      <c r="BC324" t="s">
        <v>2246</v>
      </c>
      <c r="BD324" t="s">
        <v>2247</v>
      </c>
      <c r="BE324">
        <v>2018</v>
      </c>
      <c r="BF324">
        <v>2018</v>
      </c>
    </row>
    <row r="325" spans="1:58">
      <c r="A325">
        <v>2796803</v>
      </c>
      <c r="B325">
        <v>137</v>
      </c>
      <c r="C325">
        <v>5</v>
      </c>
      <c r="D325">
        <v>11568928</v>
      </c>
      <c r="F325" t="s">
        <v>80</v>
      </c>
      <c r="G325" t="s">
        <v>81</v>
      </c>
      <c r="H325" t="s">
        <v>23</v>
      </c>
      <c r="I325" t="s">
        <v>12</v>
      </c>
      <c r="J325" t="s">
        <v>6</v>
      </c>
      <c r="K325" t="s">
        <v>83</v>
      </c>
      <c r="L325" s="3">
        <v>46302</v>
      </c>
      <c r="M325" t="s">
        <v>1559</v>
      </c>
      <c r="N325">
        <v>8803500</v>
      </c>
      <c r="O325">
        <v>3</v>
      </c>
      <c r="P325" t="s">
        <v>2248</v>
      </c>
      <c r="Q325">
        <v>1</v>
      </c>
      <c r="R325">
        <v>659.68600000000004</v>
      </c>
      <c r="S325" s="3">
        <v>46145</v>
      </c>
      <c r="T325">
        <v>25</v>
      </c>
      <c r="U325">
        <v>25</v>
      </c>
      <c r="V325">
        <v>48</v>
      </c>
      <c r="W325" t="s">
        <v>1448</v>
      </c>
      <c r="X325" t="s">
        <v>1532</v>
      </c>
      <c r="Y325">
        <v>220875</v>
      </c>
      <c r="Z325">
        <v>181693</v>
      </c>
      <c r="AA325" t="s">
        <v>98</v>
      </c>
      <c r="AB325" t="s">
        <v>2249</v>
      </c>
      <c r="AC325">
        <v>3700998</v>
      </c>
      <c r="AD325" t="s">
        <v>2076</v>
      </c>
      <c r="AH325" t="s">
        <v>1428</v>
      </c>
      <c r="AI325">
        <v>976983860</v>
      </c>
      <c r="AL325" t="s">
        <v>2250</v>
      </c>
      <c r="AO325" t="s">
        <v>2251</v>
      </c>
      <c r="AP325" t="s">
        <v>214</v>
      </c>
      <c r="AQ325" t="s">
        <v>215</v>
      </c>
      <c r="AT325" t="s">
        <v>95</v>
      </c>
      <c r="AU325" t="s">
        <v>1777</v>
      </c>
      <c r="AZ325" t="s">
        <v>98</v>
      </c>
      <c r="BA325" t="s">
        <v>99</v>
      </c>
      <c r="BB325" t="s">
        <v>2252</v>
      </c>
      <c r="BC325" t="s">
        <v>309</v>
      </c>
      <c r="BD325" t="s">
        <v>2253</v>
      </c>
      <c r="BE325">
        <v>2024</v>
      </c>
      <c r="BF325">
        <v>2024</v>
      </c>
    </row>
    <row r="326" spans="1:58">
      <c r="A326">
        <v>2817318</v>
      </c>
      <c r="B326">
        <v>145</v>
      </c>
      <c r="C326">
        <v>5</v>
      </c>
      <c r="D326">
        <v>5415478</v>
      </c>
      <c r="F326" t="s">
        <v>80</v>
      </c>
      <c r="G326" t="s">
        <v>81</v>
      </c>
      <c r="H326" t="s">
        <v>12</v>
      </c>
      <c r="I326" t="s">
        <v>12</v>
      </c>
      <c r="J326" t="s">
        <v>6</v>
      </c>
      <c r="K326" t="s">
        <v>83</v>
      </c>
      <c r="L326" s="3">
        <v>46029</v>
      </c>
      <c r="M326" t="s">
        <v>193</v>
      </c>
      <c r="N326">
        <v>15545976</v>
      </c>
      <c r="O326" t="s">
        <v>266</v>
      </c>
      <c r="P326" t="s">
        <v>2254</v>
      </c>
      <c r="Q326">
        <v>1</v>
      </c>
      <c r="R326">
        <v>215.13499999999999</v>
      </c>
      <c r="S326" t="s">
        <v>2255</v>
      </c>
      <c r="T326">
        <v>25</v>
      </c>
      <c r="U326">
        <v>25</v>
      </c>
      <c r="V326">
        <v>43</v>
      </c>
      <c r="W326" t="s">
        <v>1425</v>
      </c>
      <c r="X326" t="s">
        <v>87</v>
      </c>
      <c r="Y326">
        <v>81409</v>
      </c>
      <c r="Z326">
        <v>0</v>
      </c>
      <c r="AA326" t="s">
        <v>98</v>
      </c>
      <c r="AB326" t="s">
        <v>2256</v>
      </c>
      <c r="AC326">
        <v>1157084</v>
      </c>
      <c r="AD326" t="s">
        <v>2083</v>
      </c>
      <c r="AH326" t="s">
        <v>1428</v>
      </c>
      <c r="AI326">
        <v>998466749</v>
      </c>
      <c r="AL326" t="s">
        <v>2257</v>
      </c>
      <c r="AO326" t="s">
        <v>2258</v>
      </c>
      <c r="AP326" t="s">
        <v>682</v>
      </c>
      <c r="AQ326" t="s">
        <v>92</v>
      </c>
      <c r="AR326" t="s">
        <v>2259</v>
      </c>
      <c r="AS326" t="s">
        <v>121</v>
      </c>
      <c r="AT326" t="s">
        <v>122</v>
      </c>
      <c r="AU326" t="s">
        <v>96</v>
      </c>
      <c r="AZ326" t="s">
        <v>111</v>
      </c>
      <c r="BA326" t="s">
        <v>99</v>
      </c>
      <c r="BB326" t="s">
        <v>2260</v>
      </c>
      <c r="BC326" t="s">
        <v>200</v>
      </c>
      <c r="BD326" t="s">
        <v>2261</v>
      </c>
      <c r="BE326">
        <v>2022</v>
      </c>
      <c r="BF326">
        <v>2022</v>
      </c>
    </row>
    <row r="327" spans="1:58">
      <c r="A327">
        <v>2817859</v>
      </c>
      <c r="B327">
        <v>232</v>
      </c>
      <c r="C327">
        <v>2</v>
      </c>
      <c r="D327">
        <v>1075233</v>
      </c>
      <c r="F327" t="s">
        <v>80</v>
      </c>
      <c r="G327" t="s">
        <v>81</v>
      </c>
      <c r="H327" t="s">
        <v>15</v>
      </c>
      <c r="I327" t="s">
        <v>15</v>
      </c>
      <c r="J327" t="s">
        <v>6</v>
      </c>
      <c r="K327" t="s">
        <v>83</v>
      </c>
      <c r="L327" s="3">
        <v>46029</v>
      </c>
      <c r="M327" t="s">
        <v>193</v>
      </c>
      <c r="N327">
        <v>8220718</v>
      </c>
      <c r="O327" t="s">
        <v>266</v>
      </c>
      <c r="P327" t="s">
        <v>2262</v>
      </c>
      <c r="Q327">
        <v>1</v>
      </c>
      <c r="R327">
        <v>554.51599999999996</v>
      </c>
      <c r="S327" t="s">
        <v>2263</v>
      </c>
      <c r="T327">
        <v>22</v>
      </c>
      <c r="U327">
        <v>22</v>
      </c>
      <c r="V327">
        <v>24</v>
      </c>
      <c r="W327" t="s">
        <v>1448</v>
      </c>
      <c r="Y327">
        <v>208324</v>
      </c>
      <c r="Z327">
        <v>0</v>
      </c>
      <c r="AA327" t="s">
        <v>98</v>
      </c>
      <c r="AB327" t="s">
        <v>2264</v>
      </c>
      <c r="AC327">
        <v>1317356</v>
      </c>
      <c r="AD327" t="s">
        <v>1752</v>
      </c>
      <c r="AH327" t="s">
        <v>1428</v>
      </c>
      <c r="AI327">
        <v>56966014766</v>
      </c>
      <c r="AL327" t="s">
        <v>2265</v>
      </c>
      <c r="AO327" t="s">
        <v>2266</v>
      </c>
      <c r="AP327" t="s">
        <v>876</v>
      </c>
      <c r="AQ327" t="s">
        <v>299</v>
      </c>
      <c r="AR327" t="s">
        <v>2202</v>
      </c>
      <c r="AS327" t="s">
        <v>131</v>
      </c>
      <c r="AT327" t="s">
        <v>122</v>
      </c>
      <c r="AU327" t="s">
        <v>96</v>
      </c>
      <c r="AZ327" t="s">
        <v>111</v>
      </c>
      <c r="BA327" t="s">
        <v>99</v>
      </c>
      <c r="BB327" t="s">
        <v>2267</v>
      </c>
      <c r="BC327" t="s">
        <v>182</v>
      </c>
      <c r="BD327" t="s">
        <v>2268</v>
      </c>
      <c r="BE327">
        <v>2024</v>
      </c>
      <c r="BF327">
        <v>2024</v>
      </c>
    </row>
    <row r="328" spans="1:58">
      <c r="A328">
        <v>2818536</v>
      </c>
      <c r="B328">
        <v>227</v>
      </c>
      <c r="C328">
        <v>8</v>
      </c>
      <c r="D328">
        <v>3680778</v>
      </c>
      <c r="F328" t="s">
        <v>80</v>
      </c>
      <c r="G328" t="s">
        <v>81</v>
      </c>
      <c r="H328" t="s">
        <v>14</v>
      </c>
      <c r="I328" t="s">
        <v>15</v>
      </c>
      <c r="J328" t="s">
        <v>6</v>
      </c>
      <c r="K328" t="s">
        <v>83</v>
      </c>
      <c r="L328" s="3">
        <v>46029</v>
      </c>
      <c r="M328" t="s">
        <v>193</v>
      </c>
      <c r="N328">
        <v>12007015</v>
      </c>
      <c r="O328">
        <v>0</v>
      </c>
      <c r="P328" t="s">
        <v>2269</v>
      </c>
      <c r="Q328">
        <v>1</v>
      </c>
      <c r="R328">
        <v>173.517</v>
      </c>
      <c r="S328" s="3">
        <v>45789</v>
      </c>
      <c r="T328">
        <v>22</v>
      </c>
      <c r="U328">
        <v>22</v>
      </c>
      <c r="V328">
        <v>48</v>
      </c>
      <c r="W328" t="s">
        <v>1425</v>
      </c>
      <c r="Y328">
        <v>162972</v>
      </c>
      <c r="Z328">
        <v>0</v>
      </c>
      <c r="AA328" t="s">
        <v>98</v>
      </c>
      <c r="AB328" t="s">
        <v>2270</v>
      </c>
      <c r="AC328">
        <v>1551108</v>
      </c>
      <c r="AD328" t="s">
        <v>1962</v>
      </c>
      <c r="AH328" t="s">
        <v>1428</v>
      </c>
      <c r="AI328">
        <v>944311897</v>
      </c>
      <c r="AL328" t="s">
        <v>2271</v>
      </c>
      <c r="AO328" t="s">
        <v>2272</v>
      </c>
      <c r="AP328" t="s">
        <v>688</v>
      </c>
      <c r="AQ328" t="s">
        <v>299</v>
      </c>
      <c r="AR328" t="s">
        <v>1050</v>
      </c>
      <c r="AS328" t="s">
        <v>556</v>
      </c>
      <c r="AT328" t="s">
        <v>122</v>
      </c>
      <c r="AU328" t="s">
        <v>96</v>
      </c>
      <c r="AZ328" t="s">
        <v>111</v>
      </c>
      <c r="BA328" t="s">
        <v>99</v>
      </c>
      <c r="BC328" t="s">
        <v>278</v>
      </c>
      <c r="BD328" t="s">
        <v>2273</v>
      </c>
      <c r="BE328">
        <v>2020</v>
      </c>
      <c r="BF328">
        <v>2020</v>
      </c>
    </row>
    <row r="329" spans="1:58">
      <c r="A329">
        <v>2820080</v>
      </c>
      <c r="B329">
        <v>45</v>
      </c>
      <c r="C329">
        <v>2</v>
      </c>
      <c r="D329">
        <v>3173278</v>
      </c>
      <c r="F329" t="s">
        <v>80</v>
      </c>
      <c r="G329" t="s">
        <v>81</v>
      </c>
      <c r="H329" t="s">
        <v>22</v>
      </c>
      <c r="I329" t="s">
        <v>19</v>
      </c>
      <c r="J329" t="s">
        <v>6</v>
      </c>
      <c r="K329" t="s">
        <v>83</v>
      </c>
      <c r="L329" s="3">
        <v>46029</v>
      </c>
      <c r="M329" t="s">
        <v>193</v>
      </c>
      <c r="N329">
        <v>14570180</v>
      </c>
      <c r="O329">
        <v>5</v>
      </c>
      <c r="P329" t="s">
        <v>2274</v>
      </c>
      <c r="Q329">
        <v>1</v>
      </c>
      <c r="R329">
        <v>360.517</v>
      </c>
      <c r="S329" s="3">
        <v>46148</v>
      </c>
      <c r="T329">
        <v>28</v>
      </c>
      <c r="U329">
        <v>26</v>
      </c>
      <c r="V329">
        <v>36</v>
      </c>
      <c r="W329" t="s">
        <v>1448</v>
      </c>
      <c r="X329" t="s">
        <v>87</v>
      </c>
      <c r="Y329">
        <v>19259</v>
      </c>
      <c r="Z329">
        <v>0</v>
      </c>
      <c r="AA329" t="s">
        <v>98</v>
      </c>
      <c r="AB329" t="s">
        <v>2264</v>
      </c>
      <c r="AC329">
        <v>740293</v>
      </c>
      <c r="AD329" t="s">
        <v>2076</v>
      </c>
      <c r="AH329" t="s">
        <v>1789</v>
      </c>
      <c r="AI329">
        <v>56994626794</v>
      </c>
      <c r="AL329" t="s">
        <v>2275</v>
      </c>
      <c r="AO329" t="s">
        <v>2276</v>
      </c>
      <c r="AP329" t="s">
        <v>517</v>
      </c>
      <c r="AQ329" t="s">
        <v>92</v>
      </c>
      <c r="AR329" t="s">
        <v>2277</v>
      </c>
      <c r="AS329" t="s">
        <v>767</v>
      </c>
      <c r="AT329" t="s">
        <v>122</v>
      </c>
      <c r="AU329" t="s">
        <v>96</v>
      </c>
      <c r="AZ329" t="s">
        <v>111</v>
      </c>
      <c r="BA329" t="s">
        <v>99</v>
      </c>
      <c r="BB329" t="s">
        <v>2278</v>
      </c>
      <c r="BC329" t="s">
        <v>287</v>
      </c>
      <c r="BD329" t="s">
        <v>2279</v>
      </c>
      <c r="BE329">
        <v>2024</v>
      </c>
      <c r="BF329">
        <v>2024</v>
      </c>
    </row>
    <row r="330" spans="1:58">
      <c r="A330">
        <v>2822126</v>
      </c>
      <c r="B330">
        <v>30</v>
      </c>
      <c r="C330">
        <v>2</v>
      </c>
      <c r="D330">
        <v>2494587</v>
      </c>
      <c r="F330" t="s">
        <v>80</v>
      </c>
      <c r="G330" t="s">
        <v>81</v>
      </c>
      <c r="H330" t="s">
        <v>22</v>
      </c>
      <c r="I330" s="527">
        <v>46052</v>
      </c>
      <c r="J330" t="s">
        <v>6</v>
      </c>
      <c r="K330" t="s">
        <v>83</v>
      </c>
      <c r="L330" s="3">
        <v>46029</v>
      </c>
      <c r="M330" t="s">
        <v>193</v>
      </c>
      <c r="N330">
        <v>17484621</v>
      </c>
      <c r="O330">
        <v>9</v>
      </c>
      <c r="P330" t="s">
        <v>2280</v>
      </c>
      <c r="Q330">
        <v>1</v>
      </c>
      <c r="R330">
        <v>170.887</v>
      </c>
      <c r="S330" t="s">
        <v>1909</v>
      </c>
      <c r="T330">
        <v>29</v>
      </c>
      <c r="U330">
        <v>27</v>
      </c>
      <c r="V330">
        <v>43</v>
      </c>
      <c r="W330" t="s">
        <v>156</v>
      </c>
      <c r="Y330">
        <v>5267</v>
      </c>
      <c r="Z330">
        <v>0</v>
      </c>
      <c r="AA330" t="s">
        <v>98</v>
      </c>
      <c r="AB330" t="s">
        <v>2281</v>
      </c>
      <c r="AC330">
        <v>347041</v>
      </c>
      <c r="AD330" t="s">
        <v>2282</v>
      </c>
      <c r="AH330" t="s">
        <v>1789</v>
      </c>
      <c r="AI330">
        <v>965591404</v>
      </c>
      <c r="AL330" t="s">
        <v>2283</v>
      </c>
      <c r="AO330" t="s">
        <v>2284</v>
      </c>
      <c r="AP330" t="s">
        <v>682</v>
      </c>
      <c r="AQ330" t="s">
        <v>92</v>
      </c>
      <c r="AR330" t="s">
        <v>2285</v>
      </c>
      <c r="AS330" t="s">
        <v>162</v>
      </c>
      <c r="AT330" t="s">
        <v>74</v>
      </c>
      <c r="AU330" t="s">
        <v>96</v>
      </c>
      <c r="AW330" t="s">
        <v>410</v>
      </c>
      <c r="AX330" t="s">
        <v>1527</v>
      </c>
      <c r="AY330" s="3">
        <v>46088</v>
      </c>
      <c r="AZ330" t="s">
        <v>111</v>
      </c>
      <c r="BA330" t="s">
        <v>285</v>
      </c>
      <c r="BC330" t="s">
        <v>164</v>
      </c>
      <c r="BD330" t="s">
        <v>2286</v>
      </c>
      <c r="BE330">
        <v>2021</v>
      </c>
      <c r="BF330">
        <v>2021</v>
      </c>
    </row>
    <row r="331" spans="1:58">
      <c r="A331">
        <v>2830526</v>
      </c>
      <c r="B331">
        <v>169</v>
      </c>
      <c r="C331">
        <v>6</v>
      </c>
      <c r="D331">
        <v>3540290</v>
      </c>
      <c r="F331" t="s">
        <v>80</v>
      </c>
      <c r="G331" t="s">
        <v>81</v>
      </c>
      <c r="H331" t="s">
        <v>12</v>
      </c>
      <c r="I331" t="s">
        <v>13</v>
      </c>
      <c r="J331" t="s">
        <v>6</v>
      </c>
      <c r="K331" t="s">
        <v>83</v>
      </c>
      <c r="L331" s="3">
        <v>46029</v>
      </c>
      <c r="M331" t="s">
        <v>193</v>
      </c>
      <c r="N331">
        <v>16581640</v>
      </c>
      <c r="O331">
        <v>4</v>
      </c>
      <c r="P331" t="s">
        <v>2287</v>
      </c>
      <c r="Q331">
        <v>1</v>
      </c>
      <c r="R331">
        <v>346.80700000000002</v>
      </c>
      <c r="S331" s="3">
        <v>46024</v>
      </c>
      <c r="T331">
        <v>24</v>
      </c>
      <c r="U331">
        <v>24</v>
      </c>
      <c r="V331">
        <v>36</v>
      </c>
      <c r="W331" t="s">
        <v>1425</v>
      </c>
      <c r="X331" t="s">
        <v>87</v>
      </c>
      <c r="Y331">
        <v>171527</v>
      </c>
      <c r="Z331">
        <v>0</v>
      </c>
      <c r="AA331" t="s">
        <v>98</v>
      </c>
      <c r="AB331" t="s">
        <v>2288</v>
      </c>
      <c r="AC331">
        <v>2252369</v>
      </c>
      <c r="AD331" t="s">
        <v>2289</v>
      </c>
      <c r="AH331" t="s">
        <v>1428</v>
      </c>
      <c r="AI331">
        <v>954977288</v>
      </c>
      <c r="AL331" t="s">
        <v>2290</v>
      </c>
      <c r="AO331" t="s">
        <v>2291</v>
      </c>
      <c r="AP331" t="s">
        <v>107</v>
      </c>
      <c r="AQ331" t="s">
        <v>92</v>
      </c>
      <c r="AR331" t="s">
        <v>2292</v>
      </c>
      <c r="AS331" t="s">
        <v>228</v>
      </c>
      <c r="AT331" t="s">
        <v>122</v>
      </c>
      <c r="AU331" t="s">
        <v>96</v>
      </c>
      <c r="AZ331" t="s">
        <v>111</v>
      </c>
      <c r="BA331" t="s">
        <v>99</v>
      </c>
      <c r="BB331" t="s">
        <v>2293</v>
      </c>
      <c r="BC331" t="s">
        <v>113</v>
      </c>
      <c r="BD331" t="s">
        <v>2294</v>
      </c>
      <c r="BE331">
        <v>2018</v>
      </c>
      <c r="BF331">
        <v>2018</v>
      </c>
    </row>
    <row r="332" spans="1:58">
      <c r="A332">
        <v>2842579</v>
      </c>
      <c r="B332">
        <v>0</v>
      </c>
      <c r="D332">
        <v>7335229</v>
      </c>
      <c r="F332" t="s">
        <v>80</v>
      </c>
      <c r="G332" t="s">
        <v>81</v>
      </c>
      <c r="H332" t="s">
        <v>20</v>
      </c>
      <c r="I332" t="s">
        <v>21</v>
      </c>
      <c r="J332" t="s">
        <v>6</v>
      </c>
      <c r="K332" t="s">
        <v>83</v>
      </c>
      <c r="L332" s="3">
        <v>46029</v>
      </c>
      <c r="M332" t="s">
        <v>193</v>
      </c>
      <c r="N332">
        <v>9276235</v>
      </c>
      <c r="O332">
        <v>1</v>
      </c>
      <c r="P332" t="s">
        <v>2295</v>
      </c>
      <c r="Q332">
        <v>1</v>
      </c>
      <c r="R332">
        <v>234.876</v>
      </c>
      <c r="U332">
        <v>16</v>
      </c>
      <c r="W332" t="s">
        <v>1391</v>
      </c>
      <c r="Y332">
        <v>0</v>
      </c>
      <c r="Z332">
        <v>0</v>
      </c>
      <c r="AA332" t="s">
        <v>98</v>
      </c>
      <c r="AB332" s="3">
        <v>45505</v>
      </c>
      <c r="AC332">
        <v>0</v>
      </c>
      <c r="AD332" t="s">
        <v>2296</v>
      </c>
      <c r="AH332" t="s">
        <v>5</v>
      </c>
      <c r="AI332">
        <v>958253101</v>
      </c>
      <c r="AL332" t="s">
        <v>2297</v>
      </c>
      <c r="AO332" t="s">
        <v>2298</v>
      </c>
      <c r="AP332" t="s">
        <v>800</v>
      </c>
      <c r="AQ332" t="s">
        <v>801</v>
      </c>
      <c r="AR332" t="s">
        <v>2299</v>
      </c>
      <c r="AS332" t="s">
        <v>396</v>
      </c>
      <c r="AT332" t="s">
        <v>141</v>
      </c>
      <c r="AU332" t="s">
        <v>96</v>
      </c>
      <c r="AV332" t="s">
        <v>1478</v>
      </c>
      <c r="AZ332" t="s">
        <v>98</v>
      </c>
      <c r="BA332" t="s">
        <v>99</v>
      </c>
      <c r="BC332" t="s">
        <v>191</v>
      </c>
      <c r="BD332" t="s">
        <v>1833</v>
      </c>
      <c r="BE332">
        <v>2016</v>
      </c>
      <c r="BF332">
        <v>2016</v>
      </c>
    </row>
    <row r="333" spans="1:58">
      <c r="A333">
        <v>2861527</v>
      </c>
      <c r="B333">
        <v>5</v>
      </c>
      <c r="C333">
        <v>1</v>
      </c>
      <c r="D333">
        <v>8608476</v>
      </c>
      <c r="F333" t="s">
        <v>80</v>
      </c>
      <c r="G333" t="s">
        <v>81</v>
      </c>
      <c r="H333" s="527">
        <v>46052</v>
      </c>
      <c r="I333" s="527">
        <v>46052</v>
      </c>
      <c r="J333" t="s">
        <v>6</v>
      </c>
      <c r="K333" t="s">
        <v>83</v>
      </c>
      <c r="L333" s="3">
        <v>46029</v>
      </c>
      <c r="M333" t="s">
        <v>193</v>
      </c>
      <c r="N333">
        <v>15770754</v>
      </c>
      <c r="O333" t="s">
        <v>266</v>
      </c>
      <c r="P333" t="s">
        <v>2300</v>
      </c>
      <c r="Q333">
        <v>1</v>
      </c>
      <c r="R333">
        <v>271.44799999999998</v>
      </c>
      <c r="S333" t="s">
        <v>2301</v>
      </c>
      <c r="T333">
        <v>28</v>
      </c>
      <c r="U333">
        <v>27</v>
      </c>
      <c r="V333">
        <v>72</v>
      </c>
      <c r="W333" t="s">
        <v>1391</v>
      </c>
      <c r="Y333">
        <v>1416</v>
      </c>
      <c r="Z333">
        <v>0</v>
      </c>
      <c r="AA333" t="s">
        <v>98</v>
      </c>
      <c r="AB333" t="s">
        <v>2302</v>
      </c>
      <c r="AC333">
        <v>272864</v>
      </c>
      <c r="AD333" t="s">
        <v>2296</v>
      </c>
      <c r="AG333" t="s">
        <v>1523</v>
      </c>
      <c r="AH333" t="s">
        <v>1439</v>
      </c>
      <c r="AI333">
        <v>965863601</v>
      </c>
      <c r="AL333" t="s">
        <v>2303</v>
      </c>
      <c r="AO333" t="s">
        <v>2304</v>
      </c>
      <c r="AP333" t="s">
        <v>107</v>
      </c>
      <c r="AQ333" t="s">
        <v>92</v>
      </c>
      <c r="AR333" t="s">
        <v>473</v>
      </c>
      <c r="AS333" t="s">
        <v>367</v>
      </c>
      <c r="AT333" t="s">
        <v>122</v>
      </c>
      <c r="AU333" t="s">
        <v>96</v>
      </c>
      <c r="AW333" t="s">
        <v>410</v>
      </c>
      <c r="AX333" t="s">
        <v>1443</v>
      </c>
      <c r="AY333" s="3">
        <v>46060</v>
      </c>
      <c r="AZ333" t="s">
        <v>111</v>
      </c>
      <c r="BA333" t="s">
        <v>285</v>
      </c>
      <c r="BC333" t="s">
        <v>278</v>
      </c>
      <c r="BD333" t="s">
        <v>2305</v>
      </c>
      <c r="BE333">
        <v>2021</v>
      </c>
      <c r="BF333">
        <v>2021</v>
      </c>
    </row>
    <row r="334" spans="1:58">
      <c r="A334">
        <v>2869439</v>
      </c>
      <c r="B334">
        <v>330</v>
      </c>
      <c r="C334">
        <v>11</v>
      </c>
      <c r="D334">
        <v>11635227</v>
      </c>
      <c r="F334" t="s">
        <v>80</v>
      </c>
      <c r="G334" t="s">
        <v>81</v>
      </c>
      <c r="H334" t="s">
        <v>18</v>
      </c>
      <c r="I334" t="s">
        <v>18</v>
      </c>
      <c r="J334" t="s">
        <v>6</v>
      </c>
      <c r="K334" t="s">
        <v>83</v>
      </c>
      <c r="L334" s="3">
        <v>46029</v>
      </c>
      <c r="M334" t="s">
        <v>193</v>
      </c>
      <c r="N334">
        <v>17250462</v>
      </c>
      <c r="O334">
        <v>0</v>
      </c>
      <c r="P334" t="s">
        <v>2306</v>
      </c>
      <c r="Q334">
        <v>1</v>
      </c>
      <c r="R334">
        <v>361.99</v>
      </c>
      <c r="S334" t="s">
        <v>2307</v>
      </c>
      <c r="T334">
        <v>17</v>
      </c>
      <c r="U334">
        <v>17</v>
      </c>
      <c r="V334">
        <v>60</v>
      </c>
      <c r="W334" t="s">
        <v>1391</v>
      </c>
      <c r="Y334">
        <v>619149</v>
      </c>
      <c r="Z334">
        <v>0</v>
      </c>
      <c r="AA334" t="s">
        <v>98</v>
      </c>
      <c r="AB334" t="s">
        <v>2308</v>
      </c>
      <c r="AC334">
        <v>4601039</v>
      </c>
      <c r="AD334" t="s">
        <v>2309</v>
      </c>
      <c r="AH334" t="s">
        <v>1428</v>
      </c>
      <c r="AI334">
        <v>959827161</v>
      </c>
      <c r="AL334" t="s">
        <v>2310</v>
      </c>
      <c r="AO334" t="s">
        <v>2311</v>
      </c>
      <c r="AP334" t="s">
        <v>107</v>
      </c>
      <c r="AQ334" t="s">
        <v>92</v>
      </c>
      <c r="AR334" t="s">
        <v>816</v>
      </c>
      <c r="AS334" t="s">
        <v>388</v>
      </c>
      <c r="AT334" t="s">
        <v>503</v>
      </c>
      <c r="AU334" t="s">
        <v>96</v>
      </c>
      <c r="AZ334" t="s">
        <v>111</v>
      </c>
      <c r="BA334" t="s">
        <v>99</v>
      </c>
      <c r="BC334" t="s">
        <v>133</v>
      </c>
      <c r="BD334" t="s">
        <v>2312</v>
      </c>
      <c r="BE334">
        <v>2022</v>
      </c>
      <c r="BF334">
        <v>2022</v>
      </c>
    </row>
    <row r="335" spans="1:58">
      <c r="A335">
        <v>2870165</v>
      </c>
      <c r="B335">
        <v>238</v>
      </c>
      <c r="C335">
        <v>8</v>
      </c>
      <c r="D335">
        <v>3605588</v>
      </c>
      <c r="F335" t="s">
        <v>80</v>
      </c>
      <c r="G335" t="s">
        <v>81</v>
      </c>
      <c r="H335" t="s">
        <v>15</v>
      </c>
      <c r="I335" t="s">
        <v>15</v>
      </c>
      <c r="J335" t="s">
        <v>6</v>
      </c>
      <c r="K335" t="s">
        <v>83</v>
      </c>
      <c r="L335" s="3">
        <v>46029</v>
      </c>
      <c r="M335" t="s">
        <v>193</v>
      </c>
      <c r="N335">
        <v>25636967</v>
      </c>
      <c r="O335">
        <v>2</v>
      </c>
      <c r="P335" t="s">
        <v>2313</v>
      </c>
      <c r="Q335">
        <v>1</v>
      </c>
      <c r="R335">
        <v>161.41300000000001</v>
      </c>
      <c r="S335" t="s">
        <v>2314</v>
      </c>
      <c r="T335">
        <v>20</v>
      </c>
      <c r="U335">
        <v>20</v>
      </c>
      <c r="V335">
        <v>48</v>
      </c>
      <c r="W335" t="s">
        <v>1391</v>
      </c>
      <c r="Y335">
        <v>166550</v>
      </c>
      <c r="Z335">
        <v>70402</v>
      </c>
      <c r="AA335" t="s">
        <v>98</v>
      </c>
      <c r="AB335" t="s">
        <v>2315</v>
      </c>
      <c r="AC335">
        <v>1528256</v>
      </c>
      <c r="AD335" t="s">
        <v>2296</v>
      </c>
      <c r="AH335" t="s">
        <v>1428</v>
      </c>
      <c r="AI335">
        <v>936276557</v>
      </c>
      <c r="AL335" t="s">
        <v>2316</v>
      </c>
      <c r="AO335" t="s">
        <v>2317</v>
      </c>
      <c r="AP335" t="s">
        <v>800</v>
      </c>
      <c r="AQ335" t="s">
        <v>801</v>
      </c>
      <c r="AR335" t="s">
        <v>2318</v>
      </c>
      <c r="AS335" t="s">
        <v>556</v>
      </c>
      <c r="AT335" t="s">
        <v>141</v>
      </c>
      <c r="AU335" t="s">
        <v>96</v>
      </c>
      <c r="AZ335" t="s">
        <v>98</v>
      </c>
      <c r="BA335" t="s">
        <v>99</v>
      </c>
      <c r="BC335" t="s">
        <v>1519</v>
      </c>
      <c r="BD335" t="s">
        <v>2319</v>
      </c>
      <c r="BE335">
        <v>2020</v>
      </c>
      <c r="BF335">
        <v>2020</v>
      </c>
    </row>
    <row r="336" spans="1:58">
      <c r="A336">
        <v>2870557</v>
      </c>
      <c r="B336">
        <v>76</v>
      </c>
      <c r="C336">
        <v>3</v>
      </c>
      <c r="D336">
        <v>2513192</v>
      </c>
      <c r="F336" t="s">
        <v>80</v>
      </c>
      <c r="G336" t="s">
        <v>81</v>
      </c>
      <c r="H336" t="s">
        <v>19</v>
      </c>
      <c r="I336" t="s">
        <v>22</v>
      </c>
      <c r="J336" t="s">
        <v>6</v>
      </c>
      <c r="K336" t="s">
        <v>83</v>
      </c>
      <c r="L336" s="3">
        <v>46029</v>
      </c>
      <c r="M336" t="s">
        <v>193</v>
      </c>
      <c r="N336">
        <v>16856352</v>
      </c>
      <c r="O336">
        <v>3</v>
      </c>
      <c r="P336" t="s">
        <v>2320</v>
      </c>
      <c r="Q336">
        <v>1</v>
      </c>
      <c r="R336">
        <v>274.39699999999999</v>
      </c>
      <c r="S336" s="3">
        <v>46147</v>
      </c>
      <c r="T336">
        <v>26</v>
      </c>
      <c r="U336">
        <v>26</v>
      </c>
      <c r="V336">
        <v>36</v>
      </c>
      <c r="W336" t="s">
        <v>1391</v>
      </c>
      <c r="Y336">
        <v>33181</v>
      </c>
      <c r="Z336">
        <v>0</v>
      </c>
      <c r="AA336" t="s">
        <v>98</v>
      </c>
      <c r="AB336" t="s">
        <v>2321</v>
      </c>
      <c r="AC336">
        <v>856372</v>
      </c>
      <c r="AD336" t="s">
        <v>2296</v>
      </c>
      <c r="AG336" t="s">
        <v>1523</v>
      </c>
      <c r="AH336" t="s">
        <v>1428</v>
      </c>
      <c r="AI336">
        <v>957731634</v>
      </c>
      <c r="AL336" t="s">
        <v>2322</v>
      </c>
      <c r="AO336" t="s">
        <v>2243</v>
      </c>
      <c r="AP336" t="s">
        <v>488</v>
      </c>
      <c r="AQ336" t="s">
        <v>92</v>
      </c>
      <c r="AR336" t="s">
        <v>2323</v>
      </c>
      <c r="AS336" t="s">
        <v>180</v>
      </c>
      <c r="AT336" t="s">
        <v>74</v>
      </c>
      <c r="AU336" t="s">
        <v>96</v>
      </c>
      <c r="AZ336" t="s">
        <v>111</v>
      </c>
      <c r="BA336" t="s">
        <v>99</v>
      </c>
      <c r="BC336" t="s">
        <v>133</v>
      </c>
      <c r="BD336" t="s">
        <v>2324</v>
      </c>
      <c r="BE336">
        <v>2021</v>
      </c>
      <c r="BF336">
        <v>2021</v>
      </c>
    </row>
    <row r="337" spans="1:58">
      <c r="A337">
        <v>2877820</v>
      </c>
      <c r="B337">
        <v>74</v>
      </c>
      <c r="C337">
        <v>3</v>
      </c>
      <c r="D337">
        <v>5841087</v>
      </c>
      <c r="F337" t="s">
        <v>80</v>
      </c>
      <c r="G337" t="s">
        <v>81</v>
      </c>
      <c r="H337" t="s">
        <v>22</v>
      </c>
      <c r="I337" t="s">
        <v>22</v>
      </c>
      <c r="J337" t="s">
        <v>6</v>
      </c>
      <c r="K337" t="s">
        <v>83</v>
      </c>
      <c r="L337" s="3">
        <v>46029</v>
      </c>
      <c r="M337" t="s">
        <v>193</v>
      </c>
      <c r="N337">
        <v>7896030</v>
      </c>
      <c r="O337">
        <v>2</v>
      </c>
      <c r="P337" t="s">
        <v>2325</v>
      </c>
      <c r="Q337">
        <v>1</v>
      </c>
      <c r="R337">
        <v>336.65100000000001</v>
      </c>
      <c r="S337" s="3">
        <v>46208</v>
      </c>
      <c r="T337">
        <v>26</v>
      </c>
      <c r="U337">
        <v>25</v>
      </c>
      <c r="V337">
        <v>48</v>
      </c>
      <c r="W337" t="s">
        <v>1435</v>
      </c>
      <c r="X337" t="s">
        <v>1532</v>
      </c>
      <c r="Y337">
        <v>38953</v>
      </c>
      <c r="Z337">
        <v>62655</v>
      </c>
      <c r="AA337" t="s">
        <v>98</v>
      </c>
      <c r="AB337" s="3">
        <v>45414</v>
      </c>
      <c r="AC337">
        <v>1111561</v>
      </c>
      <c r="AD337" t="s">
        <v>1705</v>
      </c>
      <c r="AH337" t="s">
        <v>1789</v>
      </c>
      <c r="AI337">
        <v>973029697</v>
      </c>
      <c r="AL337" t="s">
        <v>2326</v>
      </c>
      <c r="AO337" t="s">
        <v>2327</v>
      </c>
      <c r="AP337" t="s">
        <v>952</v>
      </c>
      <c r="AQ337" t="s">
        <v>92</v>
      </c>
      <c r="AR337" t="s">
        <v>2328</v>
      </c>
      <c r="AS337" t="s">
        <v>151</v>
      </c>
      <c r="AT337" t="s">
        <v>141</v>
      </c>
      <c r="AU337" t="s">
        <v>96</v>
      </c>
      <c r="AZ337" t="s">
        <v>98</v>
      </c>
      <c r="BA337" t="s">
        <v>99</v>
      </c>
      <c r="BB337" t="s">
        <v>2329</v>
      </c>
      <c r="BC337" t="s">
        <v>143</v>
      </c>
      <c r="BD337" t="s">
        <v>2330</v>
      </c>
      <c r="BE337">
        <v>2024</v>
      </c>
      <c r="BF337">
        <v>2024</v>
      </c>
    </row>
    <row r="338" spans="1:58">
      <c r="A338">
        <v>2881093</v>
      </c>
      <c r="B338">
        <v>61</v>
      </c>
      <c r="C338">
        <v>3</v>
      </c>
      <c r="D338">
        <v>4694818</v>
      </c>
      <c r="F338" t="s">
        <v>80</v>
      </c>
      <c r="G338" t="s">
        <v>81</v>
      </c>
      <c r="H338" t="s">
        <v>19</v>
      </c>
      <c r="I338" t="s">
        <v>22</v>
      </c>
      <c r="J338" t="s">
        <v>6</v>
      </c>
      <c r="K338" t="s">
        <v>83</v>
      </c>
      <c r="L338" s="3">
        <v>46029</v>
      </c>
      <c r="M338" t="s">
        <v>193</v>
      </c>
      <c r="N338">
        <v>13106136</v>
      </c>
      <c r="O338">
        <v>6</v>
      </c>
      <c r="P338" t="s">
        <v>2331</v>
      </c>
      <c r="Q338">
        <v>1</v>
      </c>
      <c r="R338">
        <v>223.83</v>
      </c>
      <c r="S338" t="s">
        <v>2174</v>
      </c>
      <c r="T338">
        <v>26</v>
      </c>
      <c r="U338">
        <v>26</v>
      </c>
      <c r="V338">
        <v>37</v>
      </c>
      <c r="W338" t="s">
        <v>1425</v>
      </c>
      <c r="X338" t="s">
        <v>1532</v>
      </c>
      <c r="Y338">
        <v>20383</v>
      </c>
      <c r="Z338">
        <v>0</v>
      </c>
      <c r="AA338" t="s">
        <v>98</v>
      </c>
      <c r="AB338" s="3">
        <v>45506</v>
      </c>
      <c r="AC338">
        <v>691873</v>
      </c>
      <c r="AD338" t="s">
        <v>2056</v>
      </c>
      <c r="AG338" t="s">
        <v>1523</v>
      </c>
      <c r="AH338" t="s">
        <v>1428</v>
      </c>
      <c r="AI338">
        <v>945011380</v>
      </c>
      <c r="AL338" t="s">
        <v>2332</v>
      </c>
      <c r="AO338" t="s">
        <v>2333</v>
      </c>
      <c r="AP338" t="s">
        <v>661</v>
      </c>
      <c r="AQ338" t="s">
        <v>149</v>
      </c>
      <c r="AR338" t="s">
        <v>2334</v>
      </c>
      <c r="AS338" t="s">
        <v>131</v>
      </c>
      <c r="AT338" t="s">
        <v>74</v>
      </c>
      <c r="AU338" t="s">
        <v>96</v>
      </c>
      <c r="AZ338" t="s">
        <v>111</v>
      </c>
      <c r="BA338" t="s">
        <v>99</v>
      </c>
      <c r="BB338" t="s">
        <v>2335</v>
      </c>
      <c r="BC338" t="s">
        <v>1422</v>
      </c>
      <c r="BD338" t="s">
        <v>2336</v>
      </c>
      <c r="BE338">
        <v>2024</v>
      </c>
      <c r="BF338">
        <v>2024</v>
      </c>
    </row>
    <row r="339" spans="1:58">
      <c r="A339">
        <v>2893403</v>
      </c>
      <c r="B339">
        <v>69</v>
      </c>
      <c r="C339">
        <v>3</v>
      </c>
      <c r="D339">
        <v>5770645</v>
      </c>
      <c r="F339" t="s">
        <v>80</v>
      </c>
      <c r="G339" t="s">
        <v>81</v>
      </c>
      <c r="H339" t="s">
        <v>23</v>
      </c>
      <c r="I339" t="s">
        <v>22</v>
      </c>
      <c r="J339" t="s">
        <v>6</v>
      </c>
      <c r="K339" t="s">
        <v>83</v>
      </c>
      <c r="L339" s="3">
        <v>46029</v>
      </c>
      <c r="M339" t="s">
        <v>193</v>
      </c>
      <c r="N339">
        <v>10357961</v>
      </c>
      <c r="O339">
        <v>9</v>
      </c>
      <c r="P339" t="s">
        <v>2337</v>
      </c>
      <c r="Q339">
        <v>1</v>
      </c>
      <c r="R339">
        <v>314.91800000000001</v>
      </c>
      <c r="S339" s="3">
        <v>46361</v>
      </c>
      <c r="T339">
        <v>25</v>
      </c>
      <c r="U339">
        <v>23</v>
      </c>
      <c r="V339">
        <v>45</v>
      </c>
      <c r="W339" t="s">
        <v>1391</v>
      </c>
      <c r="Y339">
        <v>31058</v>
      </c>
      <c r="Z339">
        <v>0</v>
      </c>
      <c r="AA339" t="s">
        <v>98</v>
      </c>
      <c r="AB339" t="s">
        <v>2338</v>
      </c>
      <c r="AC339">
        <v>975812</v>
      </c>
      <c r="AD339" t="s">
        <v>2083</v>
      </c>
      <c r="AH339" t="s">
        <v>1789</v>
      </c>
      <c r="AI339">
        <v>968024835</v>
      </c>
      <c r="AL339" t="s">
        <v>2339</v>
      </c>
      <c r="AO339" t="s">
        <v>2340</v>
      </c>
      <c r="AP339" t="s">
        <v>800</v>
      </c>
      <c r="AQ339" t="s">
        <v>801</v>
      </c>
      <c r="AR339" t="s">
        <v>2341</v>
      </c>
      <c r="AS339" t="s">
        <v>2342</v>
      </c>
      <c r="AT339" t="s">
        <v>122</v>
      </c>
      <c r="AU339" t="s">
        <v>96</v>
      </c>
      <c r="AZ339" t="s">
        <v>111</v>
      </c>
      <c r="BA339" t="s">
        <v>99</v>
      </c>
      <c r="BC339" t="s">
        <v>309</v>
      </c>
      <c r="BD339" t="s">
        <v>2343</v>
      </c>
      <c r="BE339">
        <v>2022</v>
      </c>
      <c r="BF339">
        <v>2022</v>
      </c>
    </row>
    <row r="340" spans="1:58">
      <c r="A340">
        <v>2894905</v>
      </c>
      <c r="B340">
        <v>240</v>
      </c>
      <c r="C340">
        <v>8</v>
      </c>
      <c r="D340">
        <v>4979032</v>
      </c>
      <c r="F340" t="s">
        <v>80</v>
      </c>
      <c r="G340" t="s">
        <v>81</v>
      </c>
      <c r="H340" t="s">
        <v>15</v>
      </c>
      <c r="I340" t="s">
        <v>15</v>
      </c>
      <c r="J340" t="s">
        <v>6</v>
      </c>
      <c r="K340" t="s">
        <v>83</v>
      </c>
      <c r="L340" s="3">
        <v>46029</v>
      </c>
      <c r="M340" t="s">
        <v>193</v>
      </c>
      <c r="N340">
        <v>8725171</v>
      </c>
      <c r="O340">
        <v>3</v>
      </c>
      <c r="P340" t="s">
        <v>2344</v>
      </c>
      <c r="Q340">
        <v>1</v>
      </c>
      <c r="R340">
        <v>258.90199999999999</v>
      </c>
      <c r="S340" t="s">
        <v>2345</v>
      </c>
      <c r="T340">
        <v>20</v>
      </c>
      <c r="U340">
        <v>20</v>
      </c>
      <c r="V340">
        <v>48</v>
      </c>
      <c r="W340" t="s">
        <v>1425</v>
      </c>
      <c r="X340" t="s">
        <v>1449</v>
      </c>
      <c r="Y340">
        <v>264784</v>
      </c>
      <c r="Z340">
        <v>98245</v>
      </c>
      <c r="AA340" t="s">
        <v>98</v>
      </c>
      <c r="AB340" t="s">
        <v>2346</v>
      </c>
      <c r="AC340">
        <v>2434245</v>
      </c>
      <c r="AD340" t="s">
        <v>2347</v>
      </c>
      <c r="AH340" t="s">
        <v>1428</v>
      </c>
      <c r="AI340">
        <v>956198777</v>
      </c>
      <c r="AL340" t="s">
        <v>2348</v>
      </c>
      <c r="AO340" t="s">
        <v>2349</v>
      </c>
      <c r="AP340" t="s">
        <v>723</v>
      </c>
      <c r="AQ340" t="s">
        <v>724</v>
      </c>
      <c r="AR340" t="s">
        <v>2350</v>
      </c>
      <c r="AS340" t="s">
        <v>560</v>
      </c>
      <c r="AT340" t="s">
        <v>141</v>
      </c>
      <c r="AU340" t="s">
        <v>96</v>
      </c>
      <c r="AZ340" t="s">
        <v>98</v>
      </c>
      <c r="BA340" t="s">
        <v>99</v>
      </c>
      <c r="BB340" t="s">
        <v>2351</v>
      </c>
      <c r="BC340" t="s">
        <v>421</v>
      </c>
      <c r="BD340" t="s">
        <v>2352</v>
      </c>
      <c r="BE340">
        <v>2024</v>
      </c>
      <c r="BF340">
        <v>2024</v>
      </c>
    </row>
    <row r="341" spans="1:58">
      <c r="A341">
        <v>2898387</v>
      </c>
      <c r="B341">
        <v>10</v>
      </c>
      <c r="C341">
        <v>1</v>
      </c>
      <c r="D341">
        <v>4963870</v>
      </c>
      <c r="F341" t="s">
        <v>80</v>
      </c>
      <c r="G341" t="s">
        <v>81</v>
      </c>
      <c r="H341" s="527">
        <v>46052</v>
      </c>
      <c r="I341" s="527">
        <v>46052</v>
      </c>
      <c r="J341" t="s">
        <v>6</v>
      </c>
      <c r="K341" t="s">
        <v>83</v>
      </c>
      <c r="L341" s="3">
        <v>46029</v>
      </c>
      <c r="M341" t="s">
        <v>1433</v>
      </c>
      <c r="N341">
        <v>16916491</v>
      </c>
      <c r="O341">
        <v>6</v>
      </c>
      <c r="P341" t="s">
        <v>2353</v>
      </c>
      <c r="Q341">
        <v>1</v>
      </c>
      <c r="R341">
        <v>270.89100000000002</v>
      </c>
      <c r="S341" s="3">
        <v>46302</v>
      </c>
      <c r="T341">
        <v>27</v>
      </c>
      <c r="U341">
        <v>26</v>
      </c>
      <c r="V341">
        <v>48</v>
      </c>
      <c r="W341" t="s">
        <v>1391</v>
      </c>
      <c r="Y341">
        <v>2490</v>
      </c>
      <c r="Z341">
        <v>0</v>
      </c>
      <c r="AA341" t="s">
        <v>98</v>
      </c>
      <c r="AB341" t="s">
        <v>2354</v>
      </c>
      <c r="AC341">
        <v>273381</v>
      </c>
      <c r="AD341" t="s">
        <v>2083</v>
      </c>
      <c r="AG341" t="s">
        <v>1523</v>
      </c>
      <c r="AH341" t="s">
        <v>1439</v>
      </c>
      <c r="AI341">
        <v>993893678</v>
      </c>
      <c r="AL341" t="s">
        <v>2355</v>
      </c>
      <c r="AO341" t="s">
        <v>2356</v>
      </c>
      <c r="AP341" t="s">
        <v>2357</v>
      </c>
      <c r="AQ341" t="s">
        <v>149</v>
      </c>
      <c r="AR341" t="s">
        <v>758</v>
      </c>
      <c r="AS341" t="s">
        <v>323</v>
      </c>
      <c r="AT341" t="s">
        <v>122</v>
      </c>
      <c r="AU341" t="s">
        <v>96</v>
      </c>
      <c r="AW341" t="s">
        <v>410</v>
      </c>
      <c r="AX341" t="s">
        <v>1443</v>
      </c>
      <c r="AY341" s="3">
        <v>46060</v>
      </c>
      <c r="AZ341" t="s">
        <v>111</v>
      </c>
      <c r="BA341" t="s">
        <v>285</v>
      </c>
      <c r="BB341" t="s">
        <v>2358</v>
      </c>
      <c r="BC341" t="s">
        <v>200</v>
      </c>
      <c r="BD341" t="s">
        <v>1168</v>
      </c>
      <c r="BE341">
        <v>2022</v>
      </c>
      <c r="BF341">
        <v>2022</v>
      </c>
    </row>
    <row r="342" spans="1:58">
      <c r="A342">
        <v>2901203</v>
      </c>
      <c r="B342">
        <v>45</v>
      </c>
      <c r="C342">
        <v>2</v>
      </c>
      <c r="D342">
        <v>5732485</v>
      </c>
      <c r="F342" t="s">
        <v>80</v>
      </c>
      <c r="G342" t="s">
        <v>81</v>
      </c>
      <c r="H342" t="s">
        <v>19</v>
      </c>
      <c r="I342" t="s">
        <v>19</v>
      </c>
      <c r="J342" t="s">
        <v>6</v>
      </c>
      <c r="K342" t="s">
        <v>83</v>
      </c>
      <c r="L342" s="3">
        <v>46029</v>
      </c>
      <c r="M342" t="s">
        <v>193</v>
      </c>
      <c r="N342">
        <v>19940769</v>
      </c>
      <c r="O342">
        <v>4</v>
      </c>
      <c r="P342" t="s">
        <v>2359</v>
      </c>
      <c r="Q342">
        <v>1</v>
      </c>
      <c r="R342">
        <v>325.48099999999999</v>
      </c>
      <c r="S342" s="3">
        <v>46148</v>
      </c>
      <c r="T342">
        <v>26</v>
      </c>
      <c r="U342">
        <v>25</v>
      </c>
      <c r="V342">
        <v>48</v>
      </c>
      <c r="W342" t="s">
        <v>1448</v>
      </c>
      <c r="X342" t="s">
        <v>87</v>
      </c>
      <c r="Y342">
        <v>16866</v>
      </c>
      <c r="Z342">
        <v>0</v>
      </c>
      <c r="AA342" t="s">
        <v>98</v>
      </c>
      <c r="AB342" t="s">
        <v>2360</v>
      </c>
      <c r="AC342">
        <v>667828</v>
      </c>
      <c r="AD342" t="s">
        <v>2008</v>
      </c>
      <c r="AG342" t="s">
        <v>1523</v>
      </c>
      <c r="AH342" t="s">
        <v>1439</v>
      </c>
      <c r="AI342">
        <v>56999226265</v>
      </c>
      <c r="AL342" t="s">
        <v>2361</v>
      </c>
      <c r="AO342" t="s">
        <v>2362</v>
      </c>
      <c r="AP342" t="s">
        <v>723</v>
      </c>
      <c r="AQ342" t="s">
        <v>724</v>
      </c>
      <c r="AR342" t="s">
        <v>2363</v>
      </c>
      <c r="AS342" t="s">
        <v>752</v>
      </c>
      <c r="AT342" t="s">
        <v>122</v>
      </c>
      <c r="AU342" t="s">
        <v>96</v>
      </c>
      <c r="AW342" t="s">
        <v>410</v>
      </c>
      <c r="AX342" t="s">
        <v>1527</v>
      </c>
      <c r="AY342" s="3">
        <v>46088</v>
      </c>
      <c r="AZ342" t="s">
        <v>111</v>
      </c>
      <c r="BA342" t="s">
        <v>285</v>
      </c>
      <c r="BB342" t="s">
        <v>2364</v>
      </c>
      <c r="BC342" t="s">
        <v>287</v>
      </c>
      <c r="BD342" t="s">
        <v>2279</v>
      </c>
      <c r="BE342">
        <v>2024</v>
      </c>
      <c r="BF342">
        <v>2024</v>
      </c>
    </row>
    <row r="343" spans="1:58">
      <c r="A343">
        <v>2901204</v>
      </c>
      <c r="B343">
        <v>45</v>
      </c>
      <c r="C343">
        <v>2</v>
      </c>
      <c r="D343">
        <v>6922351</v>
      </c>
      <c r="F343" t="s">
        <v>80</v>
      </c>
      <c r="G343" t="s">
        <v>81</v>
      </c>
      <c r="H343" t="s">
        <v>22</v>
      </c>
      <c r="I343" t="s">
        <v>19</v>
      </c>
      <c r="J343" t="s">
        <v>6</v>
      </c>
      <c r="K343" t="s">
        <v>83</v>
      </c>
      <c r="L343" s="3">
        <v>46029</v>
      </c>
      <c r="M343" t="s">
        <v>193</v>
      </c>
      <c r="N343">
        <v>14027161</v>
      </c>
      <c r="O343">
        <v>6</v>
      </c>
      <c r="P343" t="s">
        <v>2365</v>
      </c>
      <c r="Q343">
        <v>1</v>
      </c>
      <c r="R343">
        <v>263.53399999999999</v>
      </c>
      <c r="S343" s="3">
        <v>46148</v>
      </c>
      <c r="T343">
        <v>26</v>
      </c>
      <c r="U343">
        <v>24</v>
      </c>
      <c r="V343">
        <v>49</v>
      </c>
      <c r="W343" t="s">
        <v>1448</v>
      </c>
      <c r="X343" t="s">
        <v>1532</v>
      </c>
      <c r="Y343">
        <v>13656</v>
      </c>
      <c r="Z343">
        <v>28224</v>
      </c>
      <c r="AA343" t="s">
        <v>98</v>
      </c>
      <c r="AB343" t="s">
        <v>2366</v>
      </c>
      <c r="AC343">
        <v>568948</v>
      </c>
      <c r="AD343" t="s">
        <v>2143</v>
      </c>
      <c r="AH343" t="s">
        <v>1789</v>
      </c>
      <c r="AI343">
        <v>975549383</v>
      </c>
      <c r="AL343" t="s">
        <v>2367</v>
      </c>
      <c r="AO343" t="s">
        <v>2368</v>
      </c>
      <c r="AP343" t="s">
        <v>509</v>
      </c>
      <c r="AQ343" t="s">
        <v>338</v>
      </c>
      <c r="AR343" t="s">
        <v>2277</v>
      </c>
      <c r="AS343" t="s">
        <v>339</v>
      </c>
      <c r="AT343" t="s">
        <v>141</v>
      </c>
      <c r="AU343" t="s">
        <v>96</v>
      </c>
      <c r="AZ343" t="s">
        <v>98</v>
      </c>
      <c r="BA343" t="s">
        <v>99</v>
      </c>
      <c r="BB343" t="s">
        <v>2369</v>
      </c>
      <c r="BC343" t="s">
        <v>278</v>
      </c>
      <c r="BD343" t="s">
        <v>2370</v>
      </c>
      <c r="BE343">
        <v>2024</v>
      </c>
      <c r="BF343">
        <v>2024</v>
      </c>
    </row>
    <row r="344" spans="1:58">
      <c r="A344">
        <v>2914167</v>
      </c>
      <c r="B344">
        <v>66</v>
      </c>
      <c r="C344">
        <v>3</v>
      </c>
      <c r="D344">
        <v>2641698</v>
      </c>
      <c r="F344" t="s">
        <v>80</v>
      </c>
      <c r="G344" t="s">
        <v>81</v>
      </c>
      <c r="H344" t="s">
        <v>19</v>
      </c>
      <c r="I344" t="s">
        <v>22</v>
      </c>
      <c r="J344" t="s">
        <v>6</v>
      </c>
      <c r="K344" t="s">
        <v>83</v>
      </c>
      <c r="L344" s="3">
        <v>46029</v>
      </c>
      <c r="M344" t="s">
        <v>193</v>
      </c>
      <c r="N344">
        <v>10585244</v>
      </c>
      <c r="O344">
        <v>4</v>
      </c>
      <c r="P344" t="s">
        <v>2371</v>
      </c>
      <c r="Q344">
        <v>1</v>
      </c>
      <c r="R344">
        <v>173.18299999999999</v>
      </c>
      <c r="S344" t="s">
        <v>2372</v>
      </c>
      <c r="T344">
        <v>25</v>
      </c>
      <c r="U344">
        <v>25</v>
      </c>
      <c r="V344">
        <v>31</v>
      </c>
      <c r="W344" t="s">
        <v>1391</v>
      </c>
      <c r="Y344">
        <v>17858</v>
      </c>
      <c r="Z344">
        <v>0</v>
      </c>
      <c r="AA344" t="s">
        <v>98</v>
      </c>
      <c r="AB344" s="3">
        <v>45294</v>
      </c>
      <c r="AC344">
        <v>537407</v>
      </c>
      <c r="AD344" t="s">
        <v>2296</v>
      </c>
      <c r="AG344" t="s">
        <v>1523</v>
      </c>
      <c r="AH344" t="s">
        <v>1428</v>
      </c>
      <c r="AI344">
        <v>979543501</v>
      </c>
      <c r="AL344" t="s">
        <v>2373</v>
      </c>
      <c r="AO344" t="s">
        <v>2374</v>
      </c>
      <c r="AP344" t="s">
        <v>800</v>
      </c>
      <c r="AQ344" t="s">
        <v>801</v>
      </c>
      <c r="AR344" t="s">
        <v>2375</v>
      </c>
      <c r="AS344" t="s">
        <v>556</v>
      </c>
      <c r="AT344" t="s">
        <v>122</v>
      </c>
      <c r="AU344" t="s">
        <v>96</v>
      </c>
      <c r="AZ344" t="s">
        <v>111</v>
      </c>
      <c r="BA344" t="s">
        <v>99</v>
      </c>
      <c r="BC344" t="s">
        <v>287</v>
      </c>
      <c r="BD344" t="s">
        <v>2376</v>
      </c>
      <c r="BE344">
        <v>2021</v>
      </c>
      <c r="BF344">
        <v>2021</v>
      </c>
    </row>
    <row r="345" spans="1:58">
      <c r="A345">
        <v>2916362</v>
      </c>
      <c r="B345">
        <v>45</v>
      </c>
      <c r="C345">
        <v>2</v>
      </c>
      <c r="D345">
        <v>1484865</v>
      </c>
      <c r="F345" t="s">
        <v>80</v>
      </c>
      <c r="G345" t="s">
        <v>81</v>
      </c>
      <c r="H345" t="s">
        <v>19</v>
      </c>
      <c r="I345" t="s">
        <v>19</v>
      </c>
      <c r="J345" t="s">
        <v>6</v>
      </c>
      <c r="K345" t="s">
        <v>83</v>
      </c>
      <c r="L345" s="3">
        <v>46029</v>
      </c>
      <c r="M345" t="s">
        <v>1559</v>
      </c>
      <c r="N345">
        <v>17194972</v>
      </c>
      <c r="O345">
        <v>6</v>
      </c>
      <c r="P345" t="s">
        <v>2377</v>
      </c>
      <c r="Q345">
        <v>1</v>
      </c>
      <c r="R345">
        <v>137.238</v>
      </c>
      <c r="S345" s="3">
        <v>46148</v>
      </c>
      <c r="T345">
        <v>25</v>
      </c>
      <c r="U345">
        <v>24</v>
      </c>
      <c r="V345">
        <v>36</v>
      </c>
      <c r="W345" t="s">
        <v>1391</v>
      </c>
      <c r="Y345">
        <v>8049</v>
      </c>
      <c r="Z345">
        <v>0</v>
      </c>
      <c r="AA345" t="s">
        <v>98</v>
      </c>
      <c r="AB345" s="3">
        <v>45446</v>
      </c>
      <c r="AC345">
        <v>282525</v>
      </c>
      <c r="AD345" t="s">
        <v>2296</v>
      </c>
      <c r="AG345" t="s">
        <v>1523</v>
      </c>
      <c r="AH345" t="s">
        <v>1439</v>
      </c>
      <c r="AI345">
        <v>963913477</v>
      </c>
      <c r="AL345" t="s">
        <v>2378</v>
      </c>
      <c r="AO345" t="s">
        <v>2379</v>
      </c>
      <c r="AP345" t="s">
        <v>800</v>
      </c>
      <c r="AQ345" t="s">
        <v>801</v>
      </c>
      <c r="AR345" t="s">
        <v>2380</v>
      </c>
      <c r="AS345" t="s">
        <v>455</v>
      </c>
      <c r="AT345" t="s">
        <v>122</v>
      </c>
      <c r="AU345" t="s">
        <v>96</v>
      </c>
      <c r="AW345" t="s">
        <v>410</v>
      </c>
      <c r="AX345" t="s">
        <v>1527</v>
      </c>
      <c r="AY345" s="3">
        <v>46060</v>
      </c>
      <c r="AZ345" t="s">
        <v>111</v>
      </c>
      <c r="BA345" t="s">
        <v>285</v>
      </c>
      <c r="BC345" t="s">
        <v>309</v>
      </c>
      <c r="BD345" t="s">
        <v>2381</v>
      </c>
      <c r="BE345">
        <v>2021</v>
      </c>
      <c r="BF345">
        <v>2021</v>
      </c>
    </row>
    <row r="346" spans="1:58">
      <c r="A346">
        <v>2926586</v>
      </c>
      <c r="B346">
        <v>106</v>
      </c>
      <c r="C346">
        <v>4</v>
      </c>
      <c r="D346">
        <v>1743128</v>
      </c>
      <c r="F346" t="s">
        <v>80</v>
      </c>
      <c r="G346" t="s">
        <v>81</v>
      </c>
      <c r="H346" t="s">
        <v>12</v>
      </c>
      <c r="I346" t="s">
        <v>23</v>
      </c>
      <c r="J346" t="s">
        <v>6</v>
      </c>
      <c r="K346" t="s">
        <v>83</v>
      </c>
      <c r="L346" s="3">
        <v>46029</v>
      </c>
      <c r="M346" t="s">
        <v>193</v>
      </c>
      <c r="N346">
        <v>26071337</v>
      </c>
      <c r="O346" t="s">
        <v>266</v>
      </c>
      <c r="P346" t="s">
        <v>2382</v>
      </c>
      <c r="Q346">
        <v>1</v>
      </c>
      <c r="R346">
        <v>98.891999999999996</v>
      </c>
      <c r="S346" s="3">
        <v>46146</v>
      </c>
      <c r="T346">
        <v>23</v>
      </c>
      <c r="U346">
        <v>21</v>
      </c>
      <c r="V346">
        <v>42</v>
      </c>
      <c r="W346" t="s">
        <v>1391</v>
      </c>
      <c r="Y346">
        <v>23014</v>
      </c>
      <c r="Z346">
        <v>9721</v>
      </c>
      <c r="AA346" t="s">
        <v>98</v>
      </c>
      <c r="AB346" t="s">
        <v>2383</v>
      </c>
      <c r="AC346">
        <v>428303</v>
      </c>
      <c r="AD346" t="s">
        <v>2083</v>
      </c>
      <c r="AH346" t="s">
        <v>1439</v>
      </c>
      <c r="AI346">
        <v>979981042</v>
      </c>
      <c r="AL346" t="s">
        <v>2384</v>
      </c>
      <c r="AO346" t="s">
        <v>2385</v>
      </c>
      <c r="AP346" t="s">
        <v>800</v>
      </c>
      <c r="AQ346" t="s">
        <v>801</v>
      </c>
      <c r="AR346" t="s">
        <v>625</v>
      </c>
      <c r="AS346" t="s">
        <v>367</v>
      </c>
      <c r="AT346" t="s">
        <v>141</v>
      </c>
      <c r="AU346" t="s">
        <v>96</v>
      </c>
      <c r="AZ346" t="s">
        <v>98</v>
      </c>
      <c r="BA346" t="s">
        <v>99</v>
      </c>
      <c r="BC346" t="s">
        <v>278</v>
      </c>
      <c r="BD346" t="s">
        <v>2386</v>
      </c>
      <c r="BE346">
        <v>2017</v>
      </c>
      <c r="BF346">
        <v>2017</v>
      </c>
    </row>
    <row r="347" spans="1:58">
      <c r="A347">
        <v>2927210</v>
      </c>
      <c r="B347">
        <v>196</v>
      </c>
      <c r="C347">
        <v>7</v>
      </c>
      <c r="D347">
        <v>5841505</v>
      </c>
      <c r="F347" t="s">
        <v>80</v>
      </c>
      <c r="G347" t="s">
        <v>81</v>
      </c>
      <c r="H347" t="s">
        <v>13</v>
      </c>
      <c r="I347" t="s">
        <v>14</v>
      </c>
      <c r="J347" t="s">
        <v>6</v>
      </c>
      <c r="K347" t="s">
        <v>83</v>
      </c>
      <c r="L347" s="3">
        <v>46029</v>
      </c>
      <c r="M347" t="s">
        <v>193</v>
      </c>
      <c r="N347">
        <v>7943595</v>
      </c>
      <c r="O347">
        <v>3</v>
      </c>
      <c r="P347" t="s">
        <v>2387</v>
      </c>
      <c r="Q347">
        <v>1</v>
      </c>
      <c r="R347">
        <v>447.45299999999997</v>
      </c>
      <c r="S347" s="3">
        <v>46143</v>
      </c>
      <c r="T347">
        <v>20</v>
      </c>
      <c r="U347">
        <v>20</v>
      </c>
      <c r="V347">
        <v>36</v>
      </c>
      <c r="W347" t="s">
        <v>1448</v>
      </c>
      <c r="X347" t="s">
        <v>1532</v>
      </c>
      <c r="Y347">
        <v>279371</v>
      </c>
      <c r="Z347">
        <v>0</v>
      </c>
      <c r="AA347" t="s">
        <v>98</v>
      </c>
      <c r="AB347" t="s">
        <v>2388</v>
      </c>
      <c r="AC347">
        <v>3411542</v>
      </c>
      <c r="AD347" t="s">
        <v>2143</v>
      </c>
      <c r="AH347" t="s">
        <v>1428</v>
      </c>
      <c r="AI347">
        <v>56979122929</v>
      </c>
      <c r="AL347" t="s">
        <v>2389</v>
      </c>
      <c r="AO347" t="s">
        <v>2390</v>
      </c>
      <c r="AP347" t="s">
        <v>902</v>
      </c>
      <c r="AQ347" t="s">
        <v>92</v>
      </c>
      <c r="AR347" t="s">
        <v>2391</v>
      </c>
      <c r="AS347" t="s">
        <v>449</v>
      </c>
      <c r="AT347" t="s">
        <v>74</v>
      </c>
      <c r="AU347" t="s">
        <v>96</v>
      </c>
      <c r="AZ347" t="s">
        <v>111</v>
      </c>
      <c r="BA347" t="s">
        <v>99</v>
      </c>
      <c r="BB347" t="s">
        <v>2392</v>
      </c>
      <c r="BC347" t="s">
        <v>182</v>
      </c>
      <c r="BD347" t="s">
        <v>2393</v>
      </c>
      <c r="BE347">
        <v>2024</v>
      </c>
      <c r="BF347">
        <v>2024</v>
      </c>
    </row>
    <row r="348" spans="1:58">
      <c r="A348">
        <v>2936686</v>
      </c>
      <c r="B348">
        <v>35</v>
      </c>
      <c r="C348">
        <v>2</v>
      </c>
      <c r="D348">
        <v>6659468</v>
      </c>
      <c r="F348" t="s">
        <v>80</v>
      </c>
      <c r="G348" t="s">
        <v>81</v>
      </c>
      <c r="H348" t="s">
        <v>19</v>
      </c>
      <c r="I348" t="s">
        <v>19</v>
      </c>
      <c r="J348" t="s">
        <v>6</v>
      </c>
      <c r="K348" t="s">
        <v>83</v>
      </c>
      <c r="L348" s="3">
        <v>46029</v>
      </c>
      <c r="M348" t="s">
        <v>193</v>
      </c>
      <c r="N348">
        <v>13134455</v>
      </c>
      <c r="O348">
        <v>4</v>
      </c>
      <c r="P348" t="s">
        <v>2394</v>
      </c>
      <c r="Q348">
        <v>1</v>
      </c>
      <c r="R348">
        <v>257.48700000000002</v>
      </c>
      <c r="S348" t="s">
        <v>1942</v>
      </c>
      <c r="T348">
        <v>25</v>
      </c>
      <c r="U348">
        <v>24</v>
      </c>
      <c r="V348">
        <v>58</v>
      </c>
      <c r="W348" t="s">
        <v>1391</v>
      </c>
      <c r="Y348">
        <v>8894</v>
      </c>
      <c r="Z348">
        <v>0</v>
      </c>
      <c r="AA348" t="s">
        <v>98</v>
      </c>
      <c r="AB348" t="s">
        <v>2395</v>
      </c>
      <c r="AC348">
        <v>523868</v>
      </c>
      <c r="AD348" t="s">
        <v>2083</v>
      </c>
      <c r="AG348" t="s">
        <v>1523</v>
      </c>
      <c r="AH348" t="s">
        <v>1439</v>
      </c>
      <c r="AI348">
        <v>952334907</v>
      </c>
      <c r="AL348" t="s">
        <v>2396</v>
      </c>
      <c r="AO348" t="s">
        <v>2397</v>
      </c>
      <c r="AP348" t="s">
        <v>2398</v>
      </c>
      <c r="AQ348" t="s">
        <v>149</v>
      </c>
      <c r="AR348" t="s">
        <v>793</v>
      </c>
      <c r="AS348" t="s">
        <v>339</v>
      </c>
      <c r="AT348" t="s">
        <v>122</v>
      </c>
      <c r="AU348" t="s">
        <v>96</v>
      </c>
      <c r="AW348" t="s">
        <v>410</v>
      </c>
      <c r="AX348" t="s">
        <v>1527</v>
      </c>
      <c r="AY348" t="s">
        <v>519</v>
      </c>
      <c r="AZ348" t="s">
        <v>111</v>
      </c>
      <c r="BA348" t="s">
        <v>285</v>
      </c>
      <c r="BC348" t="s">
        <v>390</v>
      </c>
      <c r="BD348" t="s">
        <v>2399</v>
      </c>
      <c r="BE348">
        <v>2018</v>
      </c>
      <c r="BF348">
        <v>2018</v>
      </c>
    </row>
    <row r="349" spans="1:58">
      <c r="A349">
        <v>2936746</v>
      </c>
      <c r="B349">
        <v>148</v>
      </c>
      <c r="C349">
        <v>5</v>
      </c>
      <c r="D349">
        <v>5906960</v>
      </c>
      <c r="F349" t="s">
        <v>80</v>
      </c>
      <c r="G349" t="s">
        <v>81</v>
      </c>
      <c r="H349" t="s">
        <v>12</v>
      </c>
      <c r="I349" t="s">
        <v>12</v>
      </c>
      <c r="J349" t="s">
        <v>6</v>
      </c>
      <c r="K349" t="s">
        <v>83</v>
      </c>
      <c r="L349" s="3">
        <v>46302</v>
      </c>
      <c r="M349" t="s">
        <v>193</v>
      </c>
      <c r="N349">
        <v>13358826</v>
      </c>
      <c r="O349">
        <v>4</v>
      </c>
      <c r="P349" t="s">
        <v>2400</v>
      </c>
      <c r="Q349">
        <v>1</v>
      </c>
      <c r="R349">
        <v>500.72199999999998</v>
      </c>
      <c r="S349" t="s">
        <v>2401</v>
      </c>
      <c r="T349">
        <v>22</v>
      </c>
      <c r="U349">
        <v>22</v>
      </c>
      <c r="V349">
        <v>36</v>
      </c>
      <c r="W349" t="s">
        <v>1425</v>
      </c>
      <c r="X349" t="s">
        <v>1532</v>
      </c>
      <c r="Y349">
        <v>184915</v>
      </c>
      <c r="Z349">
        <v>176868</v>
      </c>
      <c r="AA349" t="s">
        <v>98</v>
      </c>
      <c r="AB349" t="s">
        <v>2402</v>
      </c>
      <c r="AC349">
        <v>2865393</v>
      </c>
      <c r="AD349" t="s">
        <v>2123</v>
      </c>
      <c r="AH349" t="s">
        <v>1428</v>
      </c>
      <c r="AI349">
        <v>995770976</v>
      </c>
      <c r="AL349" t="s">
        <v>2403</v>
      </c>
      <c r="AO349" t="s">
        <v>2404</v>
      </c>
      <c r="AP349" t="s">
        <v>2405</v>
      </c>
      <c r="AQ349" t="s">
        <v>322</v>
      </c>
      <c r="AT349" t="s">
        <v>95</v>
      </c>
      <c r="AU349" t="s">
        <v>1777</v>
      </c>
      <c r="AZ349" t="s">
        <v>98</v>
      </c>
      <c r="BA349" t="s">
        <v>99</v>
      </c>
      <c r="BB349" t="s">
        <v>2406</v>
      </c>
      <c r="BC349" t="s">
        <v>390</v>
      </c>
      <c r="BD349" t="s">
        <v>2407</v>
      </c>
      <c r="BE349">
        <v>2017</v>
      </c>
      <c r="BF349">
        <v>2017</v>
      </c>
    </row>
    <row r="350" spans="1:58">
      <c r="A350">
        <v>2938323</v>
      </c>
      <c r="B350">
        <v>247</v>
      </c>
      <c r="C350">
        <v>9</v>
      </c>
      <c r="D350">
        <v>7212124</v>
      </c>
      <c r="F350" t="s">
        <v>80</v>
      </c>
      <c r="G350" t="s">
        <v>81</v>
      </c>
      <c r="H350" t="s">
        <v>15</v>
      </c>
      <c r="I350" t="s">
        <v>16</v>
      </c>
      <c r="J350" t="s">
        <v>6</v>
      </c>
      <c r="K350" t="s">
        <v>83</v>
      </c>
      <c r="L350" s="3">
        <v>46029</v>
      </c>
      <c r="M350" t="s">
        <v>193</v>
      </c>
      <c r="N350">
        <v>9264972</v>
      </c>
      <c r="O350">
        <v>5</v>
      </c>
      <c r="P350" t="s">
        <v>2408</v>
      </c>
      <c r="Q350">
        <v>1</v>
      </c>
      <c r="R350">
        <v>342.74200000000002</v>
      </c>
      <c r="S350" t="s">
        <v>2409</v>
      </c>
      <c r="T350">
        <v>18</v>
      </c>
      <c r="U350">
        <v>18</v>
      </c>
      <c r="V350">
        <v>48</v>
      </c>
      <c r="W350" t="s">
        <v>1448</v>
      </c>
      <c r="X350" t="s">
        <v>1532</v>
      </c>
      <c r="Y350">
        <v>322213</v>
      </c>
      <c r="Z350">
        <v>122190</v>
      </c>
      <c r="AA350" t="s">
        <v>98</v>
      </c>
      <c r="AB350" t="s">
        <v>2410</v>
      </c>
      <c r="AC350">
        <v>3529081</v>
      </c>
      <c r="AD350" t="s">
        <v>2411</v>
      </c>
      <c r="AH350" t="s">
        <v>1428</v>
      </c>
      <c r="AI350">
        <v>951349679</v>
      </c>
      <c r="AL350" t="s">
        <v>2412</v>
      </c>
      <c r="AO350" t="s">
        <v>2413</v>
      </c>
      <c r="AP350" t="s">
        <v>2405</v>
      </c>
      <c r="AQ350" t="s">
        <v>322</v>
      </c>
      <c r="AR350" t="s">
        <v>2414</v>
      </c>
      <c r="AS350" t="s">
        <v>556</v>
      </c>
      <c r="AT350" t="s">
        <v>141</v>
      </c>
      <c r="AU350" t="s">
        <v>96</v>
      </c>
      <c r="AV350" t="s">
        <v>1478</v>
      </c>
      <c r="AZ350" t="s">
        <v>98</v>
      </c>
      <c r="BA350" t="s">
        <v>99</v>
      </c>
      <c r="BB350" t="s">
        <v>2415</v>
      </c>
      <c r="BC350" t="s">
        <v>182</v>
      </c>
      <c r="BD350" t="s">
        <v>2416</v>
      </c>
      <c r="BE350">
        <v>2024</v>
      </c>
      <c r="BF350">
        <v>2024</v>
      </c>
    </row>
    <row r="351" spans="1:58">
      <c r="A351">
        <v>2939712</v>
      </c>
      <c r="B351">
        <v>127</v>
      </c>
      <c r="C351">
        <v>5</v>
      </c>
      <c r="D351">
        <v>6325484</v>
      </c>
      <c r="F351" t="s">
        <v>80</v>
      </c>
      <c r="G351" t="s">
        <v>81</v>
      </c>
      <c r="H351" t="s">
        <v>23</v>
      </c>
      <c r="I351" t="s">
        <v>12</v>
      </c>
      <c r="J351" t="s">
        <v>6</v>
      </c>
      <c r="K351" t="s">
        <v>83</v>
      </c>
      <c r="L351" s="3">
        <v>46302</v>
      </c>
      <c r="M351" t="s">
        <v>2417</v>
      </c>
      <c r="N351">
        <v>19708612</v>
      </c>
      <c r="O351">
        <v>2</v>
      </c>
      <c r="P351" t="s">
        <v>2418</v>
      </c>
      <c r="Q351">
        <v>1</v>
      </c>
      <c r="R351">
        <v>321.28800000000001</v>
      </c>
      <c r="S351" t="s">
        <v>2419</v>
      </c>
      <c r="T351">
        <v>22</v>
      </c>
      <c r="U351">
        <v>22</v>
      </c>
      <c r="V351">
        <v>48</v>
      </c>
      <c r="W351" t="s">
        <v>1435</v>
      </c>
      <c r="X351" t="s">
        <v>1532</v>
      </c>
      <c r="Y351">
        <v>61824</v>
      </c>
      <c r="Z351">
        <v>106341</v>
      </c>
      <c r="AA351" t="s">
        <v>98</v>
      </c>
      <c r="AB351" t="s">
        <v>2420</v>
      </c>
      <c r="AC351">
        <v>1774605</v>
      </c>
      <c r="AD351" t="s">
        <v>2421</v>
      </c>
      <c r="AH351" t="s">
        <v>1428</v>
      </c>
      <c r="AI351">
        <v>982569666</v>
      </c>
      <c r="AK351">
        <v>56979286800</v>
      </c>
      <c r="AL351" t="s">
        <v>2422</v>
      </c>
      <c r="AO351" t="s">
        <v>2423</v>
      </c>
      <c r="AP351" t="s">
        <v>91</v>
      </c>
      <c r="AQ351" t="s">
        <v>92</v>
      </c>
      <c r="AT351" t="s">
        <v>95</v>
      </c>
      <c r="AU351" t="s">
        <v>1777</v>
      </c>
      <c r="AZ351" t="s">
        <v>98</v>
      </c>
      <c r="BA351" t="s">
        <v>99</v>
      </c>
      <c r="BB351" t="s">
        <v>2424</v>
      </c>
      <c r="BC351" t="s">
        <v>113</v>
      </c>
      <c r="BD351" t="s">
        <v>2425</v>
      </c>
      <c r="BE351">
        <v>2014</v>
      </c>
      <c r="BF351">
        <v>2014</v>
      </c>
    </row>
    <row r="352" spans="1:58">
      <c r="A352">
        <v>2944646</v>
      </c>
      <c r="B352">
        <v>238</v>
      </c>
      <c r="C352">
        <v>8</v>
      </c>
      <c r="D352">
        <v>10435299</v>
      </c>
      <c r="F352" t="s">
        <v>80</v>
      </c>
      <c r="G352" t="s">
        <v>81</v>
      </c>
      <c r="H352" t="s">
        <v>15</v>
      </c>
      <c r="I352" t="s">
        <v>15</v>
      </c>
      <c r="J352" t="s">
        <v>6</v>
      </c>
      <c r="K352" t="s">
        <v>83</v>
      </c>
      <c r="L352" s="3">
        <v>46029</v>
      </c>
      <c r="M352" t="s">
        <v>193</v>
      </c>
      <c r="N352">
        <v>8067163</v>
      </c>
      <c r="O352">
        <v>6</v>
      </c>
      <c r="P352" t="s">
        <v>2426</v>
      </c>
      <c r="Q352">
        <v>1</v>
      </c>
      <c r="R352">
        <v>443.81299999999999</v>
      </c>
      <c r="S352" t="s">
        <v>2314</v>
      </c>
      <c r="T352">
        <v>18</v>
      </c>
      <c r="U352">
        <v>18</v>
      </c>
      <c r="V352">
        <v>48</v>
      </c>
      <c r="W352" t="s">
        <v>1391</v>
      </c>
      <c r="Y352">
        <v>388760</v>
      </c>
      <c r="Z352">
        <v>0</v>
      </c>
      <c r="AA352" t="s">
        <v>98</v>
      </c>
      <c r="AB352" t="s">
        <v>2427</v>
      </c>
      <c r="AC352">
        <v>3939264</v>
      </c>
      <c r="AD352" t="s">
        <v>2083</v>
      </c>
      <c r="AH352" t="s">
        <v>1428</v>
      </c>
      <c r="AI352">
        <v>955624143</v>
      </c>
      <c r="AL352" t="s">
        <v>2428</v>
      </c>
      <c r="AO352" t="s">
        <v>2429</v>
      </c>
      <c r="AP352" t="s">
        <v>620</v>
      </c>
      <c r="AQ352" t="s">
        <v>92</v>
      </c>
      <c r="AR352" t="s">
        <v>752</v>
      </c>
      <c r="AS352" t="s">
        <v>561</v>
      </c>
      <c r="AT352" t="s">
        <v>110</v>
      </c>
      <c r="AU352" t="s">
        <v>96</v>
      </c>
      <c r="AZ352" t="s">
        <v>111</v>
      </c>
      <c r="BA352" t="s">
        <v>99</v>
      </c>
      <c r="BB352" t="s">
        <v>2430</v>
      </c>
      <c r="BC352" t="s">
        <v>375</v>
      </c>
      <c r="BD352" t="s">
        <v>2431</v>
      </c>
      <c r="BE352">
        <v>2018</v>
      </c>
      <c r="BF352">
        <v>2018</v>
      </c>
    </row>
    <row r="353" spans="1:58">
      <c r="A353">
        <v>2945198</v>
      </c>
      <c r="B353">
        <v>127</v>
      </c>
      <c r="C353">
        <v>5</v>
      </c>
      <c r="D353">
        <v>7618029</v>
      </c>
      <c r="F353" t="s">
        <v>80</v>
      </c>
      <c r="G353" t="s">
        <v>81</v>
      </c>
      <c r="H353" t="s">
        <v>23</v>
      </c>
      <c r="I353" t="s">
        <v>12</v>
      </c>
      <c r="J353" t="s">
        <v>6</v>
      </c>
      <c r="K353" t="s">
        <v>83</v>
      </c>
      <c r="L353" s="3">
        <v>46302</v>
      </c>
      <c r="M353" t="s">
        <v>1433</v>
      </c>
      <c r="N353">
        <v>12107486</v>
      </c>
      <c r="O353">
        <v>9</v>
      </c>
      <c r="P353" t="s">
        <v>2432</v>
      </c>
      <c r="Q353">
        <v>1</v>
      </c>
      <c r="R353">
        <v>328.245</v>
      </c>
      <c r="S353" t="s">
        <v>2419</v>
      </c>
      <c r="T353">
        <v>22</v>
      </c>
      <c r="U353">
        <v>22</v>
      </c>
      <c r="V353">
        <v>37</v>
      </c>
      <c r="W353" t="s">
        <v>1448</v>
      </c>
      <c r="X353" t="s">
        <v>1532</v>
      </c>
      <c r="Y353">
        <v>90171</v>
      </c>
      <c r="Z353">
        <v>108328</v>
      </c>
      <c r="AA353" t="s">
        <v>98</v>
      </c>
      <c r="AB353" t="s">
        <v>2427</v>
      </c>
      <c r="AC353">
        <v>1839724</v>
      </c>
      <c r="AD353" t="s">
        <v>2411</v>
      </c>
      <c r="AH353" t="s">
        <v>1428</v>
      </c>
      <c r="AI353">
        <v>968631768</v>
      </c>
      <c r="AL353" t="s">
        <v>2433</v>
      </c>
      <c r="AO353" t="s">
        <v>2434</v>
      </c>
      <c r="AP353" t="s">
        <v>177</v>
      </c>
      <c r="AQ353" t="s">
        <v>178</v>
      </c>
      <c r="AT353" t="s">
        <v>95</v>
      </c>
      <c r="AU353" t="s">
        <v>1777</v>
      </c>
      <c r="AZ353" t="s">
        <v>98</v>
      </c>
      <c r="BA353" t="s">
        <v>99</v>
      </c>
      <c r="BB353" t="s">
        <v>2435</v>
      </c>
      <c r="BC353" t="s">
        <v>182</v>
      </c>
      <c r="BD353" t="s">
        <v>2436</v>
      </c>
      <c r="BE353">
        <v>2024</v>
      </c>
      <c r="BF353">
        <v>2024</v>
      </c>
    </row>
    <row r="354" spans="1:58">
      <c r="A354">
        <v>2949060</v>
      </c>
      <c r="B354">
        <v>84</v>
      </c>
      <c r="C354">
        <v>3</v>
      </c>
      <c r="D354">
        <v>2648525</v>
      </c>
      <c r="F354" t="s">
        <v>80</v>
      </c>
      <c r="G354" t="s">
        <v>81</v>
      </c>
      <c r="H354" t="s">
        <v>22</v>
      </c>
      <c r="I354" t="s">
        <v>22</v>
      </c>
      <c r="J354" t="s">
        <v>6</v>
      </c>
      <c r="K354" t="s">
        <v>83</v>
      </c>
      <c r="L354" s="3">
        <v>46029</v>
      </c>
      <c r="M354" t="s">
        <v>193</v>
      </c>
      <c r="N354">
        <v>6756651</v>
      </c>
      <c r="O354">
        <v>3</v>
      </c>
      <c r="P354" t="s">
        <v>2437</v>
      </c>
      <c r="Q354">
        <v>1</v>
      </c>
      <c r="R354">
        <v>227.73099999999999</v>
      </c>
      <c r="S354" t="s">
        <v>2438</v>
      </c>
      <c r="T354">
        <v>23</v>
      </c>
      <c r="U354">
        <v>23</v>
      </c>
      <c r="V354">
        <v>36</v>
      </c>
      <c r="W354" t="s">
        <v>1425</v>
      </c>
      <c r="Y354">
        <v>35001</v>
      </c>
      <c r="Z354">
        <v>9721</v>
      </c>
      <c r="AA354" t="s">
        <v>98</v>
      </c>
      <c r="AB354" s="3">
        <v>45295</v>
      </c>
      <c r="AC354">
        <v>727915</v>
      </c>
      <c r="AD354" t="s">
        <v>2296</v>
      </c>
      <c r="AH354" t="s">
        <v>1428</v>
      </c>
      <c r="AI354">
        <v>997201902</v>
      </c>
      <c r="AL354" t="s">
        <v>2439</v>
      </c>
      <c r="AO354" t="s">
        <v>2440</v>
      </c>
      <c r="AQ354" t="s">
        <v>765</v>
      </c>
      <c r="AR354" t="s">
        <v>2441</v>
      </c>
      <c r="AS354" t="s">
        <v>560</v>
      </c>
      <c r="AT354" t="s">
        <v>141</v>
      </c>
      <c r="AU354" t="s">
        <v>96</v>
      </c>
      <c r="AZ354" t="s">
        <v>98</v>
      </c>
      <c r="BA354" t="s">
        <v>99</v>
      </c>
      <c r="BC354" t="s">
        <v>990</v>
      </c>
      <c r="BD354" t="s">
        <v>2442</v>
      </c>
      <c r="BE354">
        <v>2021</v>
      </c>
      <c r="BF354">
        <v>2021</v>
      </c>
    </row>
    <row r="355" spans="1:58">
      <c r="A355">
        <v>2949267</v>
      </c>
      <c r="B355">
        <v>25</v>
      </c>
      <c r="C355">
        <v>1</v>
      </c>
      <c r="D355">
        <v>5264849</v>
      </c>
      <c r="F355" t="s">
        <v>80</v>
      </c>
      <c r="G355" t="s">
        <v>81</v>
      </c>
      <c r="H355" t="s">
        <v>19</v>
      </c>
      <c r="I355" s="527">
        <v>46052</v>
      </c>
      <c r="J355" t="s">
        <v>6</v>
      </c>
      <c r="K355" t="s">
        <v>83</v>
      </c>
      <c r="L355" s="3">
        <v>46029</v>
      </c>
      <c r="M355" t="s">
        <v>193</v>
      </c>
      <c r="N355">
        <v>13531589</v>
      </c>
      <c r="O355">
        <v>3</v>
      </c>
      <c r="P355" t="s">
        <v>2443</v>
      </c>
      <c r="Q355">
        <v>1</v>
      </c>
      <c r="R355">
        <v>213.089</v>
      </c>
      <c r="S355" t="s">
        <v>2444</v>
      </c>
      <c r="T355">
        <v>25</v>
      </c>
      <c r="U355">
        <v>24</v>
      </c>
      <c r="V355">
        <v>56</v>
      </c>
      <c r="W355" t="s">
        <v>1391</v>
      </c>
      <c r="Y355">
        <v>4556</v>
      </c>
      <c r="Z355">
        <v>0</v>
      </c>
      <c r="AA355" t="s">
        <v>98</v>
      </c>
      <c r="AB355" s="3">
        <v>45295</v>
      </c>
      <c r="AC355">
        <v>217645</v>
      </c>
      <c r="AD355" t="s">
        <v>2083</v>
      </c>
      <c r="AG355" t="s">
        <v>1523</v>
      </c>
      <c r="AH355" t="s">
        <v>1439</v>
      </c>
      <c r="AI355">
        <v>987836130</v>
      </c>
      <c r="AL355" t="s">
        <v>2445</v>
      </c>
      <c r="AO355" t="s">
        <v>2446</v>
      </c>
      <c r="AP355" t="s">
        <v>2405</v>
      </c>
      <c r="AQ355" t="s">
        <v>322</v>
      </c>
      <c r="AR355" t="s">
        <v>2447</v>
      </c>
      <c r="AS355" t="s">
        <v>449</v>
      </c>
      <c r="AT355" t="s">
        <v>122</v>
      </c>
      <c r="AU355" t="s">
        <v>96</v>
      </c>
      <c r="AW355" t="s">
        <v>410</v>
      </c>
      <c r="AX355" t="s">
        <v>1527</v>
      </c>
      <c r="AY355" t="s">
        <v>519</v>
      </c>
      <c r="AZ355" t="s">
        <v>111</v>
      </c>
      <c r="BA355" t="s">
        <v>285</v>
      </c>
      <c r="BC355" t="s">
        <v>475</v>
      </c>
      <c r="BD355" t="s">
        <v>2448</v>
      </c>
      <c r="BE355">
        <v>2015</v>
      </c>
      <c r="BF355">
        <v>2015</v>
      </c>
    </row>
    <row r="356" spans="1:58">
      <c r="A356">
        <v>2949458</v>
      </c>
      <c r="B356">
        <v>91</v>
      </c>
      <c r="C356">
        <v>4</v>
      </c>
      <c r="D356">
        <v>2491616</v>
      </c>
      <c r="F356" t="s">
        <v>80</v>
      </c>
      <c r="G356" t="s">
        <v>81</v>
      </c>
      <c r="H356" t="s">
        <v>22</v>
      </c>
      <c r="I356" t="s">
        <v>23</v>
      </c>
      <c r="J356" t="s">
        <v>6</v>
      </c>
      <c r="K356" t="s">
        <v>83</v>
      </c>
      <c r="L356" s="3">
        <v>46029</v>
      </c>
      <c r="M356" t="s">
        <v>193</v>
      </c>
      <c r="N356">
        <v>12175985</v>
      </c>
      <c r="O356">
        <v>3</v>
      </c>
      <c r="P356" t="s">
        <v>2449</v>
      </c>
      <c r="Q356">
        <v>1</v>
      </c>
      <c r="R356">
        <v>300.18400000000003</v>
      </c>
      <c r="S356" t="s">
        <v>2199</v>
      </c>
      <c r="T356">
        <v>23</v>
      </c>
      <c r="U356">
        <v>23</v>
      </c>
      <c r="V356">
        <v>32</v>
      </c>
      <c r="W356" t="s">
        <v>1391</v>
      </c>
      <c r="Y356">
        <v>52326</v>
      </c>
      <c r="Z356">
        <v>0</v>
      </c>
      <c r="AA356" t="s">
        <v>98</v>
      </c>
      <c r="AB356" s="3">
        <v>45326</v>
      </c>
      <c r="AC356">
        <v>1253062</v>
      </c>
      <c r="AD356" t="s">
        <v>2083</v>
      </c>
      <c r="AH356" t="s">
        <v>1428</v>
      </c>
      <c r="AI356">
        <v>986885233</v>
      </c>
      <c r="AL356" t="s">
        <v>2450</v>
      </c>
      <c r="AO356" t="s">
        <v>2451</v>
      </c>
      <c r="AP356" t="s">
        <v>330</v>
      </c>
      <c r="AQ356" t="s">
        <v>92</v>
      </c>
      <c r="AR356" t="s">
        <v>2452</v>
      </c>
      <c r="AS356" t="s">
        <v>171</v>
      </c>
      <c r="AT356" t="s">
        <v>122</v>
      </c>
      <c r="AU356" t="s">
        <v>96</v>
      </c>
      <c r="AZ356" t="s">
        <v>111</v>
      </c>
      <c r="BA356" t="s">
        <v>99</v>
      </c>
      <c r="BC356" t="s">
        <v>164</v>
      </c>
      <c r="BD356" t="s">
        <v>1114</v>
      </c>
      <c r="BE356">
        <v>2021</v>
      </c>
      <c r="BF356">
        <v>2021</v>
      </c>
    </row>
    <row r="357" spans="1:58">
      <c r="A357">
        <v>2951103</v>
      </c>
      <c r="B357">
        <v>250</v>
      </c>
      <c r="C357">
        <v>9</v>
      </c>
      <c r="D357">
        <v>5700547</v>
      </c>
      <c r="F357" t="s">
        <v>80</v>
      </c>
      <c r="G357" t="s">
        <v>81</v>
      </c>
      <c r="H357" t="s">
        <v>15</v>
      </c>
      <c r="I357" t="s">
        <v>16</v>
      </c>
      <c r="J357" t="s">
        <v>6</v>
      </c>
      <c r="K357" t="s">
        <v>83</v>
      </c>
      <c r="L357" s="3">
        <v>46029</v>
      </c>
      <c r="M357" t="s">
        <v>193</v>
      </c>
      <c r="N357">
        <v>16374408</v>
      </c>
      <c r="O357">
        <v>2</v>
      </c>
      <c r="P357" t="s">
        <v>2453</v>
      </c>
      <c r="Q357">
        <v>1</v>
      </c>
      <c r="R357">
        <v>251.703</v>
      </c>
      <c r="S357" s="3">
        <v>46002</v>
      </c>
      <c r="T357">
        <v>18</v>
      </c>
      <c r="U357">
        <v>18</v>
      </c>
      <c r="V357">
        <v>45</v>
      </c>
      <c r="W357" t="s">
        <v>1465</v>
      </c>
      <c r="Y357">
        <v>242216</v>
      </c>
      <c r="Z357">
        <v>0</v>
      </c>
      <c r="AA357" t="s">
        <v>98</v>
      </c>
      <c r="AB357" t="s">
        <v>2420</v>
      </c>
      <c r="AC357">
        <v>2507543</v>
      </c>
      <c r="AD357" t="s">
        <v>2454</v>
      </c>
      <c r="AH357" t="s">
        <v>1428</v>
      </c>
      <c r="AI357">
        <v>956194118</v>
      </c>
      <c r="AL357" t="s">
        <v>2455</v>
      </c>
      <c r="AO357" t="s">
        <v>2456</v>
      </c>
      <c r="AP357" t="s">
        <v>800</v>
      </c>
      <c r="AQ357" t="s">
        <v>801</v>
      </c>
      <c r="AR357" t="s">
        <v>2457</v>
      </c>
      <c r="AS357" t="s">
        <v>367</v>
      </c>
      <c r="AT357" t="s">
        <v>122</v>
      </c>
      <c r="AU357" t="s">
        <v>96</v>
      </c>
      <c r="AZ357" t="s">
        <v>111</v>
      </c>
      <c r="BA357" t="s">
        <v>99</v>
      </c>
      <c r="BC357" t="s">
        <v>143</v>
      </c>
      <c r="BD357" t="s">
        <v>2458</v>
      </c>
      <c r="BE357">
        <v>2024</v>
      </c>
      <c r="BF357">
        <v>2024</v>
      </c>
    </row>
    <row r="358" spans="1:58">
      <c r="A358">
        <v>2957208</v>
      </c>
      <c r="B358">
        <v>322</v>
      </c>
      <c r="C358">
        <v>11</v>
      </c>
      <c r="D358">
        <v>8030596</v>
      </c>
      <c r="F358" t="s">
        <v>80</v>
      </c>
      <c r="G358" t="s">
        <v>81</v>
      </c>
      <c r="H358" t="s">
        <v>18</v>
      </c>
      <c r="I358" t="s">
        <v>18</v>
      </c>
      <c r="J358" t="s">
        <v>6</v>
      </c>
      <c r="K358" t="s">
        <v>83</v>
      </c>
      <c r="L358" s="3">
        <v>46029</v>
      </c>
      <c r="M358" t="s">
        <v>193</v>
      </c>
      <c r="N358">
        <v>19634659</v>
      </c>
      <c r="O358">
        <v>7</v>
      </c>
      <c r="P358" t="s">
        <v>2459</v>
      </c>
      <c r="Q358">
        <v>1</v>
      </c>
      <c r="R358">
        <v>351.31400000000002</v>
      </c>
      <c r="S358" s="3">
        <v>45666</v>
      </c>
      <c r="T358">
        <v>14</v>
      </c>
      <c r="U358">
        <v>14</v>
      </c>
      <c r="V358">
        <v>48</v>
      </c>
      <c r="W358" t="s">
        <v>1425</v>
      </c>
      <c r="X358" t="s">
        <v>87</v>
      </c>
      <c r="Y358">
        <v>544677</v>
      </c>
      <c r="Z358">
        <v>0</v>
      </c>
      <c r="AA358" t="s">
        <v>98</v>
      </c>
      <c r="AB358" s="3">
        <v>45539</v>
      </c>
      <c r="AC358">
        <v>4409131</v>
      </c>
      <c r="AD358" t="s">
        <v>2411</v>
      </c>
      <c r="AH358" t="s">
        <v>1428</v>
      </c>
      <c r="AI358">
        <v>946709261</v>
      </c>
      <c r="AL358" t="s">
        <v>2460</v>
      </c>
      <c r="AO358" t="s">
        <v>2461</v>
      </c>
      <c r="AP358" t="s">
        <v>433</v>
      </c>
      <c r="AQ358" t="s">
        <v>434</v>
      </c>
      <c r="AR358" t="s">
        <v>2462</v>
      </c>
      <c r="AS358" t="s">
        <v>121</v>
      </c>
      <c r="AT358" t="s">
        <v>122</v>
      </c>
      <c r="AU358" t="s">
        <v>96</v>
      </c>
      <c r="AZ358" t="s">
        <v>111</v>
      </c>
      <c r="BA358" t="s">
        <v>99</v>
      </c>
      <c r="BB358" t="s">
        <v>2463</v>
      </c>
      <c r="BC358" t="s">
        <v>1074</v>
      </c>
      <c r="BD358" t="s">
        <v>2464</v>
      </c>
      <c r="BE358">
        <v>2024</v>
      </c>
      <c r="BF358">
        <v>2024</v>
      </c>
    </row>
    <row r="359" spans="1:58">
      <c r="A359">
        <v>2958755</v>
      </c>
      <c r="B359">
        <v>288</v>
      </c>
      <c r="C359">
        <v>10</v>
      </c>
      <c r="D359">
        <v>8681348</v>
      </c>
      <c r="F359" t="s">
        <v>80</v>
      </c>
      <c r="G359" t="s">
        <v>81</v>
      </c>
      <c r="H359" t="s">
        <v>16</v>
      </c>
      <c r="I359" t="s">
        <v>17</v>
      </c>
      <c r="J359" t="s">
        <v>6</v>
      </c>
      <c r="K359" t="s">
        <v>83</v>
      </c>
      <c r="L359" s="3">
        <v>46029</v>
      </c>
      <c r="M359" t="s">
        <v>193</v>
      </c>
      <c r="N359">
        <v>16454072</v>
      </c>
      <c r="O359">
        <v>3</v>
      </c>
      <c r="P359" t="s">
        <v>2465</v>
      </c>
      <c r="Q359">
        <v>1</v>
      </c>
      <c r="R359">
        <v>326.96899999999999</v>
      </c>
      <c r="S359" s="3">
        <v>45787</v>
      </c>
      <c r="T359">
        <v>16</v>
      </c>
      <c r="U359">
        <v>16</v>
      </c>
      <c r="V359">
        <v>49</v>
      </c>
      <c r="W359" t="s">
        <v>1448</v>
      </c>
      <c r="X359" t="s">
        <v>87</v>
      </c>
      <c r="Y359">
        <v>409308</v>
      </c>
      <c r="Z359">
        <v>0</v>
      </c>
      <c r="AA359" t="s">
        <v>98</v>
      </c>
      <c r="AB359" s="3">
        <v>45539</v>
      </c>
      <c r="AC359">
        <v>3678998</v>
      </c>
      <c r="AD359" t="s">
        <v>2411</v>
      </c>
      <c r="AH359" t="s">
        <v>1428</v>
      </c>
      <c r="AI359">
        <v>56946729744</v>
      </c>
      <c r="AJ359">
        <v>946729744</v>
      </c>
      <c r="AL359" t="s">
        <v>2466</v>
      </c>
      <c r="AO359" t="s">
        <v>2467</v>
      </c>
      <c r="AP359" t="s">
        <v>688</v>
      </c>
      <c r="AQ359" t="s">
        <v>299</v>
      </c>
      <c r="AR359" t="s">
        <v>2468</v>
      </c>
      <c r="AS359" t="s">
        <v>323</v>
      </c>
      <c r="AT359" t="s">
        <v>122</v>
      </c>
      <c r="AU359" t="s">
        <v>96</v>
      </c>
      <c r="AZ359" t="s">
        <v>111</v>
      </c>
      <c r="BA359" t="s">
        <v>99</v>
      </c>
      <c r="BB359" t="s">
        <v>2469</v>
      </c>
      <c r="BC359" t="s">
        <v>200</v>
      </c>
      <c r="BD359" t="s">
        <v>2470</v>
      </c>
      <c r="BE359">
        <v>2024</v>
      </c>
      <c r="BF359">
        <v>2024</v>
      </c>
    </row>
    <row r="360" spans="1:58">
      <c r="A360">
        <v>2965293</v>
      </c>
      <c r="B360">
        <v>40</v>
      </c>
      <c r="C360">
        <v>2</v>
      </c>
      <c r="D360">
        <v>8234831</v>
      </c>
      <c r="F360" t="s">
        <v>80</v>
      </c>
      <c r="G360" t="s">
        <v>81</v>
      </c>
      <c r="H360" t="s">
        <v>19</v>
      </c>
      <c r="I360" t="s">
        <v>19</v>
      </c>
      <c r="J360" t="s">
        <v>6</v>
      </c>
      <c r="K360" t="s">
        <v>83</v>
      </c>
      <c r="L360" s="3">
        <v>46029</v>
      </c>
      <c r="M360" t="s">
        <v>193</v>
      </c>
      <c r="N360">
        <v>9721000</v>
      </c>
      <c r="O360">
        <v>4</v>
      </c>
      <c r="P360" t="s">
        <v>2471</v>
      </c>
      <c r="Q360">
        <v>1</v>
      </c>
      <c r="R360">
        <v>359.58800000000002</v>
      </c>
      <c r="S360" s="3">
        <v>46301</v>
      </c>
      <c r="T360">
        <v>24</v>
      </c>
      <c r="U360">
        <v>23</v>
      </c>
      <c r="V360">
        <v>52</v>
      </c>
      <c r="W360" t="s">
        <v>1391</v>
      </c>
      <c r="Y360">
        <v>14335</v>
      </c>
      <c r="Z360">
        <v>0</v>
      </c>
      <c r="AA360" t="s">
        <v>98</v>
      </c>
      <c r="AB360" t="s">
        <v>2472</v>
      </c>
      <c r="AC360">
        <v>733511</v>
      </c>
      <c r="AD360" t="s">
        <v>2083</v>
      </c>
      <c r="AG360" t="s">
        <v>1523</v>
      </c>
      <c r="AH360" t="s">
        <v>1439</v>
      </c>
      <c r="AI360">
        <v>930966391</v>
      </c>
      <c r="AL360" t="s">
        <v>2473</v>
      </c>
      <c r="AO360" t="s">
        <v>2474</v>
      </c>
      <c r="AP360" t="s">
        <v>800</v>
      </c>
      <c r="AQ360" t="s">
        <v>801</v>
      </c>
      <c r="AR360" t="s">
        <v>2475</v>
      </c>
      <c r="AS360" t="s">
        <v>217</v>
      </c>
      <c r="AT360" t="s">
        <v>122</v>
      </c>
      <c r="AU360" t="s">
        <v>96</v>
      </c>
      <c r="AW360" t="s">
        <v>410</v>
      </c>
      <c r="AX360" t="s">
        <v>1527</v>
      </c>
      <c r="AY360" s="3">
        <v>46210</v>
      </c>
      <c r="AZ360" t="s">
        <v>111</v>
      </c>
      <c r="BA360" t="s">
        <v>285</v>
      </c>
      <c r="BC360" t="s">
        <v>278</v>
      </c>
      <c r="BD360" t="s">
        <v>2476</v>
      </c>
      <c r="BE360">
        <v>2017</v>
      </c>
      <c r="BF360">
        <v>2017</v>
      </c>
    </row>
    <row r="361" spans="1:58">
      <c r="A361">
        <v>2965640</v>
      </c>
      <c r="B361">
        <v>161</v>
      </c>
      <c r="C361">
        <v>6</v>
      </c>
      <c r="D361">
        <v>2963341</v>
      </c>
      <c r="F361" t="s">
        <v>80</v>
      </c>
      <c r="G361" t="s">
        <v>81</v>
      </c>
      <c r="H361" t="s">
        <v>12</v>
      </c>
      <c r="I361" t="s">
        <v>13</v>
      </c>
      <c r="J361" t="s">
        <v>6</v>
      </c>
      <c r="K361" t="s">
        <v>83</v>
      </c>
      <c r="L361" s="3">
        <v>46029</v>
      </c>
      <c r="M361" t="s">
        <v>193</v>
      </c>
      <c r="N361">
        <v>18983693</v>
      </c>
      <c r="O361">
        <v>7</v>
      </c>
      <c r="P361" t="s">
        <v>2477</v>
      </c>
      <c r="Q361">
        <v>1</v>
      </c>
      <c r="R361">
        <v>144.404</v>
      </c>
      <c r="S361" s="3">
        <v>46267</v>
      </c>
      <c r="T361">
        <v>20</v>
      </c>
      <c r="U361">
        <v>20</v>
      </c>
      <c r="V361">
        <v>45</v>
      </c>
      <c r="W361" t="s">
        <v>1391</v>
      </c>
      <c r="Y361">
        <v>68359</v>
      </c>
      <c r="Z361">
        <v>0</v>
      </c>
      <c r="AA361" t="s">
        <v>98</v>
      </c>
      <c r="AB361" t="s">
        <v>2478</v>
      </c>
      <c r="AC361">
        <v>934783</v>
      </c>
      <c r="AD361" t="s">
        <v>2241</v>
      </c>
      <c r="AH361" t="s">
        <v>1428</v>
      </c>
      <c r="AI361">
        <v>931753617</v>
      </c>
      <c r="AL361" t="s">
        <v>2479</v>
      </c>
      <c r="AO361" t="s">
        <v>2480</v>
      </c>
      <c r="AP361" t="s">
        <v>800</v>
      </c>
      <c r="AQ361" t="s">
        <v>801</v>
      </c>
      <c r="AR361" t="s">
        <v>2481</v>
      </c>
      <c r="AS361" t="s">
        <v>217</v>
      </c>
      <c r="AT361" t="s">
        <v>74</v>
      </c>
      <c r="AU361" t="s">
        <v>96</v>
      </c>
      <c r="AZ361" t="s">
        <v>111</v>
      </c>
      <c r="BA361" t="s">
        <v>99</v>
      </c>
      <c r="BC361" t="s">
        <v>468</v>
      </c>
      <c r="BD361" t="s">
        <v>2482</v>
      </c>
      <c r="BE361">
        <v>2021</v>
      </c>
      <c r="BF361">
        <v>2021</v>
      </c>
    </row>
    <row r="362" spans="1:58">
      <c r="A362">
        <v>2966597</v>
      </c>
      <c r="B362">
        <v>101</v>
      </c>
      <c r="C362">
        <v>4</v>
      </c>
      <c r="D362">
        <v>2712385</v>
      </c>
      <c r="F362" t="s">
        <v>80</v>
      </c>
      <c r="G362" t="s">
        <v>81</v>
      </c>
      <c r="H362" t="s">
        <v>22</v>
      </c>
      <c r="I362" t="s">
        <v>23</v>
      </c>
      <c r="J362" t="s">
        <v>6</v>
      </c>
      <c r="K362" t="s">
        <v>83</v>
      </c>
      <c r="L362" s="3">
        <v>46029</v>
      </c>
      <c r="M362" t="s">
        <v>193</v>
      </c>
      <c r="N362">
        <v>17415873</v>
      </c>
      <c r="O362">
        <v>8</v>
      </c>
      <c r="P362" t="s">
        <v>2483</v>
      </c>
      <c r="Q362">
        <v>1</v>
      </c>
      <c r="R362">
        <v>130.74199999999999</v>
      </c>
      <c r="S362" s="3">
        <v>46299</v>
      </c>
      <c r="T362">
        <v>22</v>
      </c>
      <c r="U362">
        <v>22</v>
      </c>
      <c r="V362">
        <v>46</v>
      </c>
      <c r="W362" t="s">
        <v>1391</v>
      </c>
      <c r="Y362">
        <v>26592</v>
      </c>
      <c r="Z362">
        <v>0</v>
      </c>
      <c r="AA362" t="s">
        <v>98</v>
      </c>
      <c r="AB362" t="s">
        <v>2484</v>
      </c>
      <c r="AC362">
        <v>549560</v>
      </c>
      <c r="AD362" t="s">
        <v>1467</v>
      </c>
      <c r="AH362" t="s">
        <v>1428</v>
      </c>
      <c r="AI362">
        <v>932346178</v>
      </c>
      <c r="AL362" t="s">
        <v>2485</v>
      </c>
      <c r="AO362" t="s">
        <v>2486</v>
      </c>
      <c r="AP362" t="s">
        <v>1382</v>
      </c>
      <c r="AQ362" t="s">
        <v>92</v>
      </c>
      <c r="AR362" t="s">
        <v>2487</v>
      </c>
      <c r="AS362" t="s">
        <v>367</v>
      </c>
      <c r="AT362" t="s">
        <v>122</v>
      </c>
      <c r="AU362" t="s">
        <v>96</v>
      </c>
      <c r="AZ362" t="s">
        <v>111</v>
      </c>
      <c r="BA362" t="s">
        <v>99</v>
      </c>
      <c r="BC362" t="s">
        <v>278</v>
      </c>
      <c r="BD362" t="s">
        <v>966</v>
      </c>
      <c r="BE362">
        <v>2021</v>
      </c>
      <c r="BF362">
        <v>2021</v>
      </c>
    </row>
    <row r="363" spans="1:58">
      <c r="A363">
        <v>2982296</v>
      </c>
      <c r="B363">
        <v>351</v>
      </c>
      <c r="C363">
        <v>12</v>
      </c>
      <c r="D363">
        <v>11055466</v>
      </c>
      <c r="F363" t="s">
        <v>80</v>
      </c>
      <c r="G363" t="s">
        <v>81</v>
      </c>
      <c r="H363" t="s">
        <v>20</v>
      </c>
      <c r="I363" t="s">
        <v>20</v>
      </c>
      <c r="J363" t="s">
        <v>6</v>
      </c>
      <c r="K363" t="s">
        <v>83</v>
      </c>
      <c r="L363" s="3">
        <v>46029</v>
      </c>
      <c r="M363" t="s">
        <v>193</v>
      </c>
      <c r="N363">
        <v>7445898</v>
      </c>
      <c r="O363" t="s">
        <v>266</v>
      </c>
      <c r="P363" t="s">
        <v>2488</v>
      </c>
      <c r="Q363">
        <v>1</v>
      </c>
      <c r="R363">
        <v>397.75799999999998</v>
      </c>
      <c r="S363" s="3">
        <v>45724</v>
      </c>
      <c r="T363">
        <v>14</v>
      </c>
      <c r="U363">
        <v>14</v>
      </c>
      <c r="V363">
        <v>37</v>
      </c>
      <c r="W363" t="s">
        <v>1435</v>
      </c>
      <c r="X363" t="s">
        <v>87</v>
      </c>
      <c r="Y363">
        <v>675453</v>
      </c>
      <c r="Z363">
        <v>0</v>
      </c>
      <c r="AA363" t="s">
        <v>98</v>
      </c>
      <c r="AB363" t="s">
        <v>2489</v>
      </c>
      <c r="AC363">
        <v>5448549</v>
      </c>
      <c r="AD363" t="s">
        <v>1813</v>
      </c>
      <c r="AH363" t="s">
        <v>1428</v>
      </c>
      <c r="AI363">
        <v>56957515004</v>
      </c>
      <c r="AL363" t="s">
        <v>2490</v>
      </c>
      <c r="AO363" t="s">
        <v>2491</v>
      </c>
      <c r="AP363" t="s">
        <v>614</v>
      </c>
      <c r="AQ363" t="s">
        <v>92</v>
      </c>
      <c r="AR363" t="s">
        <v>2492</v>
      </c>
      <c r="AS363" t="s">
        <v>556</v>
      </c>
      <c r="AT363" t="s">
        <v>122</v>
      </c>
      <c r="AU363" t="s">
        <v>96</v>
      </c>
      <c r="AZ363" t="s">
        <v>111</v>
      </c>
      <c r="BA363" t="s">
        <v>99</v>
      </c>
      <c r="BB363" t="s">
        <v>2493</v>
      </c>
      <c r="BC363" t="s">
        <v>143</v>
      </c>
      <c r="BD363" t="s">
        <v>2494</v>
      </c>
      <c r="BE363">
        <v>2024</v>
      </c>
      <c r="BF363">
        <v>2024</v>
      </c>
    </row>
    <row r="364" spans="1:58">
      <c r="A364">
        <v>2991691</v>
      </c>
      <c r="B364">
        <v>45</v>
      </c>
      <c r="C364">
        <v>2</v>
      </c>
      <c r="D364">
        <v>5638520</v>
      </c>
      <c r="F364" t="s">
        <v>80</v>
      </c>
      <c r="G364" t="s">
        <v>81</v>
      </c>
      <c r="H364" t="s">
        <v>19</v>
      </c>
      <c r="I364" t="s">
        <v>19</v>
      </c>
      <c r="J364" t="s">
        <v>6</v>
      </c>
      <c r="K364" t="s">
        <v>83</v>
      </c>
      <c r="L364" s="3">
        <v>46029</v>
      </c>
      <c r="M364" t="s">
        <v>193</v>
      </c>
      <c r="N364">
        <v>11378876</v>
      </c>
      <c r="O364">
        <v>3</v>
      </c>
      <c r="P364" t="s">
        <v>2495</v>
      </c>
      <c r="Q364">
        <v>1</v>
      </c>
      <c r="R364">
        <v>290.54599999999999</v>
      </c>
      <c r="S364" s="3">
        <v>46148</v>
      </c>
      <c r="T364">
        <v>23</v>
      </c>
      <c r="U364">
        <v>22</v>
      </c>
      <c r="V364">
        <v>48</v>
      </c>
      <c r="W364" t="s">
        <v>1448</v>
      </c>
      <c r="X364" t="s">
        <v>1532</v>
      </c>
      <c r="Y364">
        <v>13810</v>
      </c>
      <c r="Z364">
        <v>0</v>
      </c>
      <c r="AA364" t="s">
        <v>98</v>
      </c>
      <c r="AB364" s="3">
        <v>45509</v>
      </c>
      <c r="AC364">
        <v>594902</v>
      </c>
      <c r="AD364" t="s">
        <v>1813</v>
      </c>
      <c r="AG364" t="s">
        <v>1523</v>
      </c>
      <c r="AH364" t="s">
        <v>1439</v>
      </c>
      <c r="AI364">
        <v>936390156</v>
      </c>
      <c r="AL364" t="s">
        <v>2496</v>
      </c>
      <c r="AO364" t="s">
        <v>2497</v>
      </c>
      <c r="AP364" t="s">
        <v>976</v>
      </c>
      <c r="AQ364" t="s">
        <v>215</v>
      </c>
      <c r="AR364" t="s">
        <v>676</v>
      </c>
      <c r="AS364" t="s">
        <v>346</v>
      </c>
      <c r="AT364" t="s">
        <v>74</v>
      </c>
      <c r="AU364" t="s">
        <v>96</v>
      </c>
      <c r="AZ364" t="s">
        <v>111</v>
      </c>
      <c r="BA364" t="s">
        <v>99</v>
      </c>
      <c r="BB364" t="s">
        <v>2498</v>
      </c>
      <c r="BC364" t="s">
        <v>182</v>
      </c>
      <c r="BD364" t="s">
        <v>1529</v>
      </c>
      <c r="BE364">
        <v>2024</v>
      </c>
      <c r="BF364">
        <v>2024</v>
      </c>
    </row>
    <row r="365" spans="1:58">
      <c r="A365">
        <v>2993173</v>
      </c>
      <c r="B365">
        <v>251</v>
      </c>
      <c r="C365">
        <v>9</v>
      </c>
      <c r="D365">
        <v>4482749</v>
      </c>
      <c r="F365" t="s">
        <v>80</v>
      </c>
      <c r="G365" t="s">
        <v>81</v>
      </c>
      <c r="H365" t="s">
        <v>15</v>
      </c>
      <c r="I365" t="s">
        <v>16</v>
      </c>
      <c r="J365" t="s">
        <v>6</v>
      </c>
      <c r="K365" t="s">
        <v>83</v>
      </c>
      <c r="L365" s="3">
        <v>46029</v>
      </c>
      <c r="M365" t="s">
        <v>193</v>
      </c>
      <c r="N365">
        <v>13217975</v>
      </c>
      <c r="O365">
        <v>1</v>
      </c>
      <c r="P365" t="s">
        <v>2499</v>
      </c>
      <c r="Q365">
        <v>1</v>
      </c>
      <c r="R365">
        <v>304.43299999999999</v>
      </c>
      <c r="S365" s="3">
        <v>45972</v>
      </c>
      <c r="T365">
        <v>17</v>
      </c>
      <c r="U365">
        <v>17</v>
      </c>
      <c r="V365">
        <v>36</v>
      </c>
      <c r="W365" t="s">
        <v>1435</v>
      </c>
      <c r="Y365">
        <v>323029</v>
      </c>
      <c r="Z365">
        <v>0</v>
      </c>
      <c r="AA365" t="s">
        <v>98</v>
      </c>
      <c r="AB365" s="3">
        <v>45570</v>
      </c>
      <c r="AC365">
        <v>3062926</v>
      </c>
      <c r="AD365" t="s">
        <v>2110</v>
      </c>
      <c r="AH365" t="s">
        <v>1428</v>
      </c>
      <c r="AI365">
        <v>930659170</v>
      </c>
      <c r="AL365" t="s">
        <v>2500</v>
      </c>
      <c r="AO365" t="s">
        <v>2501</v>
      </c>
      <c r="AP365" t="s">
        <v>433</v>
      </c>
      <c r="AQ365" t="s">
        <v>434</v>
      </c>
      <c r="AR365" t="s">
        <v>2158</v>
      </c>
      <c r="AS365" t="s">
        <v>284</v>
      </c>
      <c r="AT365" t="s">
        <v>122</v>
      </c>
      <c r="AU365" t="s">
        <v>96</v>
      </c>
      <c r="AZ365" t="s">
        <v>111</v>
      </c>
      <c r="BA365" t="s">
        <v>99</v>
      </c>
      <c r="BB365" t="s">
        <v>2502</v>
      </c>
      <c r="BC365" t="s">
        <v>412</v>
      </c>
      <c r="BD365" t="s">
        <v>2503</v>
      </c>
      <c r="BE365">
        <v>2024</v>
      </c>
      <c r="BF365">
        <v>2024</v>
      </c>
    </row>
    <row r="366" spans="1:58">
      <c r="A366">
        <v>3009851</v>
      </c>
      <c r="B366">
        <v>299</v>
      </c>
      <c r="C366">
        <v>10</v>
      </c>
      <c r="D366">
        <v>4540534</v>
      </c>
      <c r="F366" t="s">
        <v>80</v>
      </c>
      <c r="G366" t="s">
        <v>81</v>
      </c>
      <c r="H366" t="s">
        <v>17</v>
      </c>
      <c r="I366" t="s">
        <v>17</v>
      </c>
      <c r="J366" t="s">
        <v>6</v>
      </c>
      <c r="K366" t="s">
        <v>83</v>
      </c>
      <c r="L366" s="3">
        <v>46029</v>
      </c>
      <c r="M366" t="s">
        <v>193</v>
      </c>
      <c r="N366">
        <v>11551056</v>
      </c>
      <c r="O366">
        <v>8</v>
      </c>
      <c r="P366" t="s">
        <v>2504</v>
      </c>
      <c r="Q366">
        <v>1</v>
      </c>
      <c r="R366">
        <v>197.565</v>
      </c>
      <c r="S366" t="s">
        <v>2505</v>
      </c>
      <c r="T366">
        <v>15</v>
      </c>
      <c r="U366">
        <v>15</v>
      </c>
      <c r="V366">
        <v>48</v>
      </c>
      <c r="W366" t="s">
        <v>1425</v>
      </c>
      <c r="X366" t="s">
        <v>87</v>
      </c>
      <c r="Y366">
        <v>289990</v>
      </c>
      <c r="Z366">
        <v>0</v>
      </c>
      <c r="AA366" t="s">
        <v>98</v>
      </c>
      <c r="AB366" t="s">
        <v>2506</v>
      </c>
      <c r="AC366">
        <v>2265640</v>
      </c>
      <c r="AD366" t="s">
        <v>1821</v>
      </c>
      <c r="AH366" t="s">
        <v>1428</v>
      </c>
      <c r="AI366">
        <v>56983884033</v>
      </c>
      <c r="AL366" t="s">
        <v>2507</v>
      </c>
      <c r="AO366" t="s">
        <v>2508</v>
      </c>
      <c r="AP366" t="s">
        <v>107</v>
      </c>
      <c r="AQ366" t="s">
        <v>92</v>
      </c>
      <c r="AR366" t="s">
        <v>1545</v>
      </c>
      <c r="AS366" t="s">
        <v>198</v>
      </c>
      <c r="AT366" t="s">
        <v>122</v>
      </c>
      <c r="AU366" t="s">
        <v>96</v>
      </c>
      <c r="AZ366" t="s">
        <v>111</v>
      </c>
      <c r="BA366" t="s">
        <v>99</v>
      </c>
      <c r="BB366" t="s">
        <v>2509</v>
      </c>
      <c r="BC366" t="s">
        <v>309</v>
      </c>
      <c r="BD366" t="s">
        <v>2510</v>
      </c>
      <c r="BE366">
        <v>2018</v>
      </c>
      <c r="BF366">
        <v>2018</v>
      </c>
    </row>
    <row r="367" spans="1:58">
      <c r="A367">
        <v>3010592</v>
      </c>
      <c r="B367">
        <v>137</v>
      </c>
      <c r="C367">
        <v>5</v>
      </c>
      <c r="D367">
        <v>8615268</v>
      </c>
      <c r="F367" t="s">
        <v>80</v>
      </c>
      <c r="G367" t="s">
        <v>81</v>
      </c>
      <c r="H367" t="s">
        <v>23</v>
      </c>
      <c r="I367" t="s">
        <v>12</v>
      </c>
      <c r="J367" t="s">
        <v>6</v>
      </c>
      <c r="K367" t="s">
        <v>83</v>
      </c>
      <c r="L367" s="3">
        <v>46029</v>
      </c>
      <c r="M367" t="s">
        <v>193</v>
      </c>
      <c r="N367">
        <v>12827421</v>
      </c>
      <c r="O367">
        <v>9</v>
      </c>
      <c r="P367" t="s">
        <v>2511</v>
      </c>
      <c r="Q367">
        <v>1</v>
      </c>
      <c r="R367">
        <v>309.10599999999999</v>
      </c>
      <c r="S367" s="3">
        <v>46145</v>
      </c>
      <c r="T367">
        <v>20</v>
      </c>
      <c r="U367">
        <v>20</v>
      </c>
      <c r="V367">
        <v>49</v>
      </c>
      <c r="W367" t="s">
        <v>1448</v>
      </c>
      <c r="X367" t="s">
        <v>87</v>
      </c>
      <c r="Y367">
        <v>90603</v>
      </c>
      <c r="Z367">
        <v>0</v>
      </c>
      <c r="AA367" t="s">
        <v>98</v>
      </c>
      <c r="AB367" t="s">
        <v>2512</v>
      </c>
      <c r="AC367">
        <v>1636133</v>
      </c>
      <c r="AD367" t="s">
        <v>1752</v>
      </c>
      <c r="AH367" t="s">
        <v>1428</v>
      </c>
      <c r="AI367">
        <v>56955240266</v>
      </c>
      <c r="AL367" t="s">
        <v>2513</v>
      </c>
      <c r="AO367" t="s">
        <v>2514</v>
      </c>
      <c r="AP367" t="s">
        <v>488</v>
      </c>
      <c r="AQ367" t="s">
        <v>92</v>
      </c>
      <c r="AR367" t="s">
        <v>1708</v>
      </c>
      <c r="AS367" t="s">
        <v>752</v>
      </c>
      <c r="AT367" t="s">
        <v>122</v>
      </c>
      <c r="AU367" t="s">
        <v>96</v>
      </c>
      <c r="AZ367" t="s">
        <v>111</v>
      </c>
      <c r="BA367" t="s">
        <v>99</v>
      </c>
      <c r="BB367" t="s">
        <v>2515</v>
      </c>
      <c r="BC367" t="s">
        <v>182</v>
      </c>
      <c r="BD367" t="s">
        <v>2516</v>
      </c>
      <c r="BE367">
        <v>2024</v>
      </c>
      <c r="BF367">
        <v>2024</v>
      </c>
    </row>
    <row r="368" spans="1:58">
      <c r="A368">
        <v>3014034</v>
      </c>
      <c r="B368">
        <v>169</v>
      </c>
      <c r="C368">
        <v>6</v>
      </c>
      <c r="D368">
        <v>7961580</v>
      </c>
      <c r="F368" t="s">
        <v>80</v>
      </c>
      <c r="G368" t="s">
        <v>81</v>
      </c>
      <c r="H368" t="s">
        <v>12</v>
      </c>
      <c r="I368" t="s">
        <v>13</v>
      </c>
      <c r="J368" t="s">
        <v>6</v>
      </c>
      <c r="K368" t="s">
        <v>83</v>
      </c>
      <c r="L368" s="3">
        <v>46029</v>
      </c>
      <c r="M368" t="s">
        <v>193</v>
      </c>
      <c r="N368">
        <v>17539003</v>
      </c>
      <c r="O368">
        <v>0</v>
      </c>
      <c r="P368" t="s">
        <v>2517</v>
      </c>
      <c r="Q368">
        <v>1</v>
      </c>
      <c r="R368">
        <v>243.63800000000001</v>
      </c>
      <c r="S368" s="3">
        <v>46024</v>
      </c>
      <c r="T368">
        <v>19</v>
      </c>
      <c r="U368">
        <v>19</v>
      </c>
      <c r="V368">
        <v>49</v>
      </c>
      <c r="W368" t="s">
        <v>1448</v>
      </c>
      <c r="X368" t="s">
        <v>1532</v>
      </c>
      <c r="Y368">
        <v>106748</v>
      </c>
      <c r="Z368">
        <v>9721</v>
      </c>
      <c r="AA368" t="s">
        <v>98</v>
      </c>
      <c r="AB368" t="s">
        <v>2518</v>
      </c>
      <c r="AC368">
        <v>1578297</v>
      </c>
      <c r="AD368" t="s">
        <v>1983</v>
      </c>
      <c r="AH368" t="s">
        <v>1428</v>
      </c>
      <c r="AI368">
        <v>972696024</v>
      </c>
      <c r="AO368" t="s">
        <v>2519</v>
      </c>
      <c r="AP368" t="s">
        <v>2398</v>
      </c>
      <c r="AQ368" t="s">
        <v>149</v>
      </c>
      <c r="AR368" t="s">
        <v>2520</v>
      </c>
      <c r="AS368" t="s">
        <v>388</v>
      </c>
      <c r="AT368" t="s">
        <v>141</v>
      </c>
      <c r="AU368" t="s">
        <v>96</v>
      </c>
      <c r="AV368" t="s">
        <v>1478</v>
      </c>
      <c r="AZ368" t="s">
        <v>98</v>
      </c>
      <c r="BA368" t="s">
        <v>99</v>
      </c>
      <c r="BB368" t="s">
        <v>2521</v>
      </c>
      <c r="BC368" t="s">
        <v>287</v>
      </c>
      <c r="BD368" t="s">
        <v>2522</v>
      </c>
      <c r="BE368">
        <v>2024</v>
      </c>
      <c r="BF368">
        <v>2024</v>
      </c>
    </row>
    <row r="369" spans="1:58">
      <c r="A369">
        <v>3014523</v>
      </c>
      <c r="B369">
        <v>353</v>
      </c>
      <c r="C369">
        <v>12</v>
      </c>
      <c r="D369">
        <v>6447948</v>
      </c>
      <c r="F369" t="s">
        <v>80</v>
      </c>
      <c r="G369" t="s">
        <v>81</v>
      </c>
      <c r="H369" t="s">
        <v>20</v>
      </c>
      <c r="I369" t="s">
        <v>20</v>
      </c>
      <c r="J369" t="s">
        <v>6</v>
      </c>
      <c r="K369" t="s">
        <v>83</v>
      </c>
      <c r="L369" s="3">
        <v>46029</v>
      </c>
      <c r="M369" t="s">
        <v>193</v>
      </c>
      <c r="N369">
        <v>9880918</v>
      </c>
      <c r="O369" t="s">
        <v>266</v>
      </c>
      <c r="P369" t="s">
        <v>2523</v>
      </c>
      <c r="Q369">
        <v>1</v>
      </c>
      <c r="R369">
        <v>269.80799999999999</v>
      </c>
      <c r="S369" s="3">
        <v>45665</v>
      </c>
      <c r="T369">
        <v>13</v>
      </c>
      <c r="U369">
        <v>13</v>
      </c>
      <c r="V369">
        <v>48</v>
      </c>
      <c r="W369" t="s">
        <v>1425</v>
      </c>
      <c r="X369" t="s">
        <v>87</v>
      </c>
      <c r="Y369">
        <v>439480</v>
      </c>
      <c r="Z369">
        <v>0</v>
      </c>
      <c r="AA369" t="s">
        <v>98</v>
      </c>
      <c r="AB369" t="s">
        <v>2524</v>
      </c>
      <c r="AC369">
        <v>3677176</v>
      </c>
      <c r="AD369" t="s">
        <v>1821</v>
      </c>
      <c r="AH369" t="s">
        <v>1428</v>
      </c>
      <c r="AI369">
        <v>964130853</v>
      </c>
      <c r="AL369" t="s">
        <v>2525</v>
      </c>
      <c r="AO369" t="s">
        <v>2526</v>
      </c>
      <c r="AP369" t="s">
        <v>138</v>
      </c>
      <c r="AQ369" t="s">
        <v>92</v>
      </c>
      <c r="AR369" t="s">
        <v>2527</v>
      </c>
      <c r="AS369" t="s">
        <v>121</v>
      </c>
      <c r="AT369" t="s">
        <v>122</v>
      </c>
      <c r="AU369" t="s">
        <v>96</v>
      </c>
      <c r="AZ369" t="s">
        <v>111</v>
      </c>
      <c r="BA369" t="s">
        <v>99</v>
      </c>
      <c r="BB369" t="s">
        <v>2528</v>
      </c>
      <c r="BC369" t="s">
        <v>421</v>
      </c>
      <c r="BD369" t="s">
        <v>2529</v>
      </c>
      <c r="BE369">
        <v>2024</v>
      </c>
      <c r="BF369">
        <v>2024</v>
      </c>
    </row>
    <row r="370" spans="1:58">
      <c r="A370">
        <v>3018067</v>
      </c>
      <c r="B370">
        <v>110</v>
      </c>
      <c r="C370">
        <v>4</v>
      </c>
      <c r="D370">
        <v>7330135</v>
      </c>
      <c r="F370" t="s">
        <v>80</v>
      </c>
      <c r="G370" t="s">
        <v>81</v>
      </c>
      <c r="H370" t="s">
        <v>12</v>
      </c>
      <c r="I370" t="s">
        <v>23</v>
      </c>
      <c r="J370" t="s">
        <v>6</v>
      </c>
      <c r="K370" t="s">
        <v>83</v>
      </c>
      <c r="L370" s="3">
        <v>46029</v>
      </c>
      <c r="M370" t="s">
        <v>193</v>
      </c>
      <c r="N370">
        <v>7806553</v>
      </c>
      <c r="O370">
        <v>2</v>
      </c>
      <c r="P370" t="s">
        <v>2530</v>
      </c>
      <c r="Q370">
        <v>1</v>
      </c>
      <c r="R370">
        <v>357.51600000000002</v>
      </c>
      <c r="S370" s="3">
        <v>46026</v>
      </c>
      <c r="T370">
        <v>21</v>
      </c>
      <c r="U370">
        <v>20</v>
      </c>
      <c r="V370">
        <v>48</v>
      </c>
      <c r="W370" t="s">
        <v>1425</v>
      </c>
      <c r="X370" t="s">
        <v>87</v>
      </c>
      <c r="Y370">
        <v>68971</v>
      </c>
      <c r="Z370">
        <v>0</v>
      </c>
      <c r="AA370" t="s">
        <v>98</v>
      </c>
      <c r="AB370" t="s">
        <v>2531</v>
      </c>
      <c r="AC370">
        <v>1499035</v>
      </c>
      <c r="AD370" t="s">
        <v>1821</v>
      </c>
      <c r="AH370" t="s">
        <v>1439</v>
      </c>
      <c r="AI370">
        <v>991307898</v>
      </c>
      <c r="AL370" t="s">
        <v>2532</v>
      </c>
      <c r="AO370" t="s">
        <v>2533</v>
      </c>
      <c r="AP370" t="s">
        <v>855</v>
      </c>
      <c r="AQ370" t="s">
        <v>856</v>
      </c>
      <c r="AR370" t="s">
        <v>2534</v>
      </c>
      <c r="AS370" t="s">
        <v>217</v>
      </c>
      <c r="AT370" t="s">
        <v>122</v>
      </c>
      <c r="AU370" t="s">
        <v>96</v>
      </c>
      <c r="AZ370" t="s">
        <v>111</v>
      </c>
      <c r="BA370" t="s">
        <v>99</v>
      </c>
      <c r="BB370" t="s">
        <v>2535</v>
      </c>
      <c r="BC370" t="s">
        <v>825</v>
      </c>
      <c r="BD370" t="s">
        <v>2536</v>
      </c>
      <c r="BE370">
        <v>2018</v>
      </c>
      <c r="BF370">
        <v>2018</v>
      </c>
    </row>
    <row r="371" spans="1:58">
      <c r="A371">
        <v>3019194</v>
      </c>
      <c r="B371">
        <v>283</v>
      </c>
      <c r="C371">
        <v>9</v>
      </c>
      <c r="D371">
        <v>4340162</v>
      </c>
      <c r="F371" t="s">
        <v>80</v>
      </c>
      <c r="G371" t="s">
        <v>81</v>
      </c>
      <c r="H371" t="s">
        <v>16</v>
      </c>
      <c r="I371" t="s">
        <v>17</v>
      </c>
      <c r="J371" t="s">
        <v>6</v>
      </c>
      <c r="K371" t="s">
        <v>83</v>
      </c>
      <c r="L371" s="3">
        <v>46029</v>
      </c>
      <c r="M371" t="s">
        <v>193</v>
      </c>
      <c r="N371">
        <v>8261161</v>
      </c>
      <c r="O371">
        <v>4</v>
      </c>
      <c r="P371" t="s">
        <v>2537</v>
      </c>
      <c r="Q371">
        <v>1</v>
      </c>
      <c r="R371">
        <v>539.12099999999998</v>
      </c>
      <c r="S371" s="3">
        <v>45940</v>
      </c>
      <c r="T371">
        <v>15</v>
      </c>
      <c r="U371">
        <v>15</v>
      </c>
      <c r="V371">
        <v>24</v>
      </c>
      <c r="W371" t="s">
        <v>1448</v>
      </c>
      <c r="X371" t="s">
        <v>1532</v>
      </c>
      <c r="Y371">
        <v>601239</v>
      </c>
      <c r="Z371">
        <v>231937</v>
      </c>
      <c r="AA371" t="s">
        <v>98</v>
      </c>
      <c r="AB371" t="s">
        <v>2531</v>
      </c>
      <c r="AC371">
        <v>5685265</v>
      </c>
      <c r="AD371" t="s">
        <v>1821</v>
      </c>
      <c r="AH371" t="s">
        <v>1428</v>
      </c>
      <c r="AI371">
        <v>956539707</v>
      </c>
      <c r="AL371" t="s">
        <v>2538</v>
      </c>
      <c r="AO371" t="s">
        <v>2539</v>
      </c>
      <c r="AP371" t="s">
        <v>2540</v>
      </c>
      <c r="AQ371" t="s">
        <v>160</v>
      </c>
      <c r="AR371" t="s">
        <v>2012</v>
      </c>
      <c r="AS371" t="s">
        <v>208</v>
      </c>
      <c r="AT371" t="s">
        <v>141</v>
      </c>
      <c r="AU371" t="s">
        <v>96</v>
      </c>
      <c r="AZ371" t="s">
        <v>98</v>
      </c>
      <c r="BA371" t="s">
        <v>99</v>
      </c>
      <c r="BB371" t="s">
        <v>2541</v>
      </c>
      <c r="BC371" t="s">
        <v>200</v>
      </c>
      <c r="BD371" t="s">
        <v>2542</v>
      </c>
      <c r="BE371">
        <v>2024</v>
      </c>
      <c r="BF371">
        <v>2024</v>
      </c>
    </row>
    <row r="372" spans="1:58">
      <c r="A372">
        <v>3027244</v>
      </c>
      <c r="B372">
        <v>132</v>
      </c>
      <c r="C372">
        <v>5</v>
      </c>
      <c r="D372">
        <v>3892145</v>
      </c>
      <c r="F372" t="s">
        <v>80</v>
      </c>
      <c r="G372" t="s">
        <v>81</v>
      </c>
      <c r="H372" t="s">
        <v>23</v>
      </c>
      <c r="I372" t="s">
        <v>12</v>
      </c>
      <c r="J372" t="s">
        <v>6</v>
      </c>
      <c r="K372" t="s">
        <v>83</v>
      </c>
      <c r="L372" s="3">
        <v>46029</v>
      </c>
      <c r="M372" t="s">
        <v>1559</v>
      </c>
      <c r="N372">
        <v>14203528</v>
      </c>
      <c r="O372">
        <v>6</v>
      </c>
      <c r="P372" t="s">
        <v>2543</v>
      </c>
      <c r="Q372">
        <v>1</v>
      </c>
      <c r="R372">
        <v>178.17400000000001</v>
      </c>
      <c r="S372" s="3">
        <v>46298</v>
      </c>
      <c r="T372">
        <v>19</v>
      </c>
      <c r="U372">
        <v>19</v>
      </c>
      <c r="V372">
        <v>48</v>
      </c>
      <c r="W372" t="s">
        <v>1448</v>
      </c>
      <c r="X372" t="s">
        <v>1449</v>
      </c>
      <c r="Y372">
        <v>57423</v>
      </c>
      <c r="Z372">
        <v>65468</v>
      </c>
      <c r="AA372" t="s">
        <v>98</v>
      </c>
      <c r="AB372" s="3">
        <v>45479</v>
      </c>
      <c r="AC372">
        <v>1013761</v>
      </c>
      <c r="AD372">
        <v>2</v>
      </c>
      <c r="AH372" t="s">
        <v>1428</v>
      </c>
      <c r="AI372">
        <v>958955402</v>
      </c>
      <c r="AL372" t="s">
        <v>2544</v>
      </c>
      <c r="AO372" t="s">
        <v>2545</v>
      </c>
      <c r="AP372" t="s">
        <v>2546</v>
      </c>
      <c r="AQ372" t="s">
        <v>724</v>
      </c>
      <c r="AR372" t="s">
        <v>489</v>
      </c>
      <c r="AS372" t="s">
        <v>180</v>
      </c>
      <c r="AT372" t="s">
        <v>141</v>
      </c>
      <c r="AU372" t="s">
        <v>527</v>
      </c>
      <c r="AZ372" t="s">
        <v>98</v>
      </c>
      <c r="BA372" t="s">
        <v>99</v>
      </c>
      <c r="BC372" t="s">
        <v>182</v>
      </c>
      <c r="BD372" t="s">
        <v>2547</v>
      </c>
      <c r="BE372">
        <v>0</v>
      </c>
      <c r="BF372">
        <v>0</v>
      </c>
    </row>
    <row r="373" spans="1:58">
      <c r="A373">
        <v>3029432</v>
      </c>
      <c r="B373">
        <v>70</v>
      </c>
      <c r="C373">
        <v>3</v>
      </c>
      <c r="D373">
        <v>20122697</v>
      </c>
      <c r="F373" t="s">
        <v>80</v>
      </c>
      <c r="G373" t="s">
        <v>81</v>
      </c>
      <c r="H373" t="s">
        <v>19</v>
      </c>
      <c r="I373" t="s">
        <v>22</v>
      </c>
      <c r="J373" t="s">
        <v>6</v>
      </c>
      <c r="K373" t="s">
        <v>83</v>
      </c>
      <c r="L373" s="3">
        <v>46029</v>
      </c>
      <c r="M373" t="s">
        <v>193</v>
      </c>
      <c r="N373">
        <v>76966579</v>
      </c>
      <c r="O373" t="s">
        <v>266</v>
      </c>
      <c r="P373" t="s">
        <v>2548</v>
      </c>
      <c r="Q373">
        <v>0</v>
      </c>
      <c r="R373">
        <v>798.62900000000002</v>
      </c>
      <c r="S373" s="3">
        <v>46331</v>
      </c>
      <c r="T373">
        <v>22</v>
      </c>
      <c r="U373">
        <v>22</v>
      </c>
      <c r="V373">
        <v>60</v>
      </c>
      <c r="W373" t="s">
        <v>1435</v>
      </c>
      <c r="X373" t="s">
        <v>87</v>
      </c>
      <c r="Y373">
        <v>73763</v>
      </c>
      <c r="Z373">
        <v>0</v>
      </c>
      <c r="AA373" t="s">
        <v>98</v>
      </c>
      <c r="AB373" s="3">
        <v>45571</v>
      </c>
      <c r="AC373">
        <v>2469650</v>
      </c>
      <c r="AD373" t="s">
        <v>1821</v>
      </c>
      <c r="AG373" t="s">
        <v>1523</v>
      </c>
      <c r="AH373" t="s">
        <v>1428</v>
      </c>
      <c r="AI373">
        <v>944539100</v>
      </c>
      <c r="AL373" t="s">
        <v>2549</v>
      </c>
      <c r="AO373" t="s">
        <v>2550</v>
      </c>
      <c r="AP373" t="s">
        <v>2551</v>
      </c>
      <c r="AQ373" t="s">
        <v>724</v>
      </c>
      <c r="AR373" t="s">
        <v>2552</v>
      </c>
      <c r="AS373" t="s">
        <v>396</v>
      </c>
      <c r="AT373" t="s">
        <v>122</v>
      </c>
      <c r="AU373" t="s">
        <v>96</v>
      </c>
      <c r="AZ373" t="s">
        <v>111</v>
      </c>
      <c r="BA373" t="s">
        <v>99</v>
      </c>
      <c r="BB373" t="s">
        <v>2553</v>
      </c>
      <c r="BC373" t="s">
        <v>1445</v>
      </c>
      <c r="BD373" t="s">
        <v>2554</v>
      </c>
      <c r="BE373">
        <v>2024</v>
      </c>
      <c r="BF373">
        <v>2024</v>
      </c>
    </row>
    <row r="374" spans="1:58">
      <c r="A374">
        <v>3029842</v>
      </c>
      <c r="B374">
        <v>292</v>
      </c>
      <c r="C374">
        <v>10</v>
      </c>
      <c r="D374">
        <v>7971470</v>
      </c>
      <c r="F374" t="s">
        <v>80</v>
      </c>
      <c r="G374" t="s">
        <v>81</v>
      </c>
      <c r="H374" t="s">
        <v>17</v>
      </c>
      <c r="I374" t="s">
        <v>17</v>
      </c>
      <c r="J374" t="s">
        <v>6</v>
      </c>
      <c r="K374" t="s">
        <v>83</v>
      </c>
      <c r="L374" s="3">
        <v>46029</v>
      </c>
      <c r="M374" t="s">
        <v>193</v>
      </c>
      <c r="N374">
        <v>12343606</v>
      </c>
      <c r="O374">
        <v>7</v>
      </c>
      <c r="P374" t="s">
        <v>2555</v>
      </c>
      <c r="Q374">
        <v>1</v>
      </c>
      <c r="R374">
        <v>293.572</v>
      </c>
      <c r="S374" s="3">
        <v>45667</v>
      </c>
      <c r="T374">
        <v>14</v>
      </c>
      <c r="U374">
        <v>14</v>
      </c>
      <c r="V374">
        <v>37</v>
      </c>
      <c r="W374" t="s">
        <v>1448</v>
      </c>
      <c r="X374" t="s">
        <v>1449</v>
      </c>
      <c r="Y374">
        <v>350028</v>
      </c>
      <c r="Z374">
        <v>9721</v>
      </c>
      <c r="AA374" t="s">
        <v>98</v>
      </c>
      <c r="AB374" s="3">
        <v>45357</v>
      </c>
      <c r="AC374">
        <v>3295469</v>
      </c>
      <c r="AD374" t="s">
        <v>1752</v>
      </c>
      <c r="AH374" t="s">
        <v>1428</v>
      </c>
      <c r="AI374">
        <v>56935899879</v>
      </c>
      <c r="AL374" t="s">
        <v>2556</v>
      </c>
      <c r="AO374" t="s">
        <v>2557</v>
      </c>
      <c r="AP374" t="s">
        <v>206</v>
      </c>
      <c r="AQ374" t="s">
        <v>160</v>
      </c>
      <c r="AR374" t="s">
        <v>2558</v>
      </c>
      <c r="AS374" t="s">
        <v>189</v>
      </c>
      <c r="AT374" t="s">
        <v>141</v>
      </c>
      <c r="AU374" t="s">
        <v>96</v>
      </c>
      <c r="AV374" t="s">
        <v>1478</v>
      </c>
      <c r="AZ374" t="s">
        <v>98</v>
      </c>
      <c r="BA374" t="s">
        <v>99</v>
      </c>
      <c r="BC374" t="s">
        <v>2559</v>
      </c>
      <c r="BD374" t="s">
        <v>1786</v>
      </c>
      <c r="BE374">
        <v>0</v>
      </c>
      <c r="BF374">
        <v>0</v>
      </c>
    </row>
    <row r="375" spans="1:58">
      <c r="A375">
        <v>3031321</v>
      </c>
      <c r="B375">
        <v>195</v>
      </c>
      <c r="C375">
        <v>7</v>
      </c>
      <c r="D375">
        <v>10801272</v>
      </c>
      <c r="F375" t="s">
        <v>80</v>
      </c>
      <c r="G375" t="s">
        <v>81</v>
      </c>
      <c r="H375" t="s">
        <v>13</v>
      </c>
      <c r="I375" t="s">
        <v>14</v>
      </c>
      <c r="J375" t="s">
        <v>6</v>
      </c>
      <c r="K375" t="s">
        <v>83</v>
      </c>
      <c r="L375" s="3">
        <v>46029</v>
      </c>
      <c r="M375" t="s">
        <v>193</v>
      </c>
      <c r="N375">
        <v>15716409</v>
      </c>
      <c r="O375">
        <v>0</v>
      </c>
      <c r="P375" t="s">
        <v>2560</v>
      </c>
      <c r="Q375">
        <v>1</v>
      </c>
      <c r="R375">
        <v>330.072</v>
      </c>
      <c r="S375" s="3">
        <v>46174</v>
      </c>
      <c r="T375">
        <v>17</v>
      </c>
      <c r="U375">
        <v>17</v>
      </c>
      <c r="V375">
        <v>64</v>
      </c>
      <c r="W375" t="s">
        <v>1391</v>
      </c>
      <c r="Y375">
        <v>186443</v>
      </c>
      <c r="Z375">
        <v>0</v>
      </c>
      <c r="AA375" t="s">
        <v>98</v>
      </c>
      <c r="AB375" s="3">
        <v>45571</v>
      </c>
      <c r="AC375">
        <v>2496947</v>
      </c>
      <c r="AD375" t="s">
        <v>2561</v>
      </c>
      <c r="AH375" t="s">
        <v>1428</v>
      </c>
      <c r="AI375">
        <v>961710994</v>
      </c>
      <c r="AL375" t="s">
        <v>2562</v>
      </c>
      <c r="AO375" t="s">
        <v>2563</v>
      </c>
      <c r="AP375" t="s">
        <v>408</v>
      </c>
      <c r="AQ375" t="s">
        <v>92</v>
      </c>
      <c r="AR375" t="s">
        <v>2564</v>
      </c>
      <c r="AS375" t="s">
        <v>162</v>
      </c>
      <c r="AT375" t="s">
        <v>503</v>
      </c>
      <c r="AU375" t="s">
        <v>96</v>
      </c>
      <c r="AZ375" t="s">
        <v>111</v>
      </c>
      <c r="BA375" t="s">
        <v>99</v>
      </c>
      <c r="BC375" t="s">
        <v>182</v>
      </c>
      <c r="BD375" t="s">
        <v>2565</v>
      </c>
      <c r="BE375">
        <v>2023</v>
      </c>
      <c r="BF375">
        <v>2023</v>
      </c>
    </row>
    <row r="376" spans="1:58">
      <c r="A376">
        <v>3033889</v>
      </c>
      <c r="B376">
        <v>222</v>
      </c>
      <c r="C376">
        <v>8</v>
      </c>
      <c r="D376">
        <v>1884519</v>
      </c>
      <c r="F376" t="s">
        <v>80</v>
      </c>
      <c r="G376" t="s">
        <v>81</v>
      </c>
      <c r="H376" t="s">
        <v>14</v>
      </c>
      <c r="I376" t="s">
        <v>15</v>
      </c>
      <c r="J376" t="s">
        <v>6</v>
      </c>
      <c r="K376" t="s">
        <v>83</v>
      </c>
      <c r="L376" s="3">
        <v>46029</v>
      </c>
      <c r="M376" t="s">
        <v>193</v>
      </c>
      <c r="N376">
        <v>17440023</v>
      </c>
      <c r="O376">
        <v>7</v>
      </c>
      <c r="P376" t="s">
        <v>2566</v>
      </c>
      <c r="Q376">
        <v>1</v>
      </c>
      <c r="R376">
        <v>116.027</v>
      </c>
      <c r="S376" s="3">
        <v>45942</v>
      </c>
      <c r="T376">
        <v>17</v>
      </c>
      <c r="U376">
        <v>17</v>
      </c>
      <c r="V376">
        <v>36</v>
      </c>
      <c r="W376" t="s">
        <v>1391</v>
      </c>
      <c r="Y376">
        <v>97388</v>
      </c>
      <c r="Z376">
        <v>22148</v>
      </c>
      <c r="AA376" t="s">
        <v>98</v>
      </c>
      <c r="AB376" s="3">
        <v>45571</v>
      </c>
      <c r="AC376">
        <v>1047752</v>
      </c>
      <c r="AD376" t="s">
        <v>2561</v>
      </c>
      <c r="AH376" t="s">
        <v>1428</v>
      </c>
      <c r="AI376">
        <v>945903279</v>
      </c>
      <c r="AL376" t="s">
        <v>2567</v>
      </c>
      <c r="AO376" t="s">
        <v>2568</v>
      </c>
      <c r="AP376" t="s">
        <v>2569</v>
      </c>
      <c r="AQ376" t="s">
        <v>178</v>
      </c>
      <c r="AR376" t="s">
        <v>2564</v>
      </c>
      <c r="AS376" t="s">
        <v>346</v>
      </c>
      <c r="AT376" t="s">
        <v>141</v>
      </c>
      <c r="AU376" t="s">
        <v>96</v>
      </c>
      <c r="AZ376" t="s">
        <v>98</v>
      </c>
      <c r="BA376" t="s">
        <v>99</v>
      </c>
      <c r="BC376" t="s">
        <v>309</v>
      </c>
      <c r="BD376" t="s">
        <v>2381</v>
      </c>
      <c r="BE376">
        <v>2021</v>
      </c>
      <c r="BF376">
        <v>2021</v>
      </c>
    </row>
    <row r="377" spans="1:58">
      <c r="A377">
        <v>3057949</v>
      </c>
      <c r="B377">
        <v>71</v>
      </c>
      <c r="C377">
        <v>3</v>
      </c>
      <c r="D377">
        <v>7364541</v>
      </c>
      <c r="F377" t="s">
        <v>80</v>
      </c>
      <c r="G377" t="s">
        <v>81</v>
      </c>
      <c r="H377" t="s">
        <v>19</v>
      </c>
      <c r="I377" t="s">
        <v>22</v>
      </c>
      <c r="J377" t="s">
        <v>6</v>
      </c>
      <c r="K377" t="s">
        <v>83</v>
      </c>
      <c r="L377" s="3">
        <v>46029</v>
      </c>
      <c r="M377" t="s">
        <v>193</v>
      </c>
      <c r="N377">
        <v>21102950</v>
      </c>
      <c r="O377">
        <v>1</v>
      </c>
      <c r="P377" t="s">
        <v>2570</v>
      </c>
      <c r="Q377">
        <v>1</v>
      </c>
      <c r="R377">
        <v>256.20400000000001</v>
      </c>
      <c r="S377" s="3">
        <v>46300</v>
      </c>
      <c r="T377">
        <v>21</v>
      </c>
      <c r="U377">
        <v>21</v>
      </c>
      <c r="V377">
        <v>60</v>
      </c>
      <c r="W377" t="s">
        <v>1391</v>
      </c>
      <c r="Y377">
        <v>23932</v>
      </c>
      <c r="Z377">
        <v>0</v>
      </c>
      <c r="AA377" t="s">
        <v>98</v>
      </c>
      <c r="AB377" s="3">
        <v>45298</v>
      </c>
      <c r="AC377">
        <v>792544</v>
      </c>
      <c r="AD377" t="s">
        <v>2561</v>
      </c>
      <c r="AG377" t="s">
        <v>1523</v>
      </c>
      <c r="AH377" t="s">
        <v>1428</v>
      </c>
      <c r="AI377">
        <v>926252795</v>
      </c>
      <c r="AL377" t="s">
        <v>2571</v>
      </c>
      <c r="AO377" t="s">
        <v>2572</v>
      </c>
      <c r="AP377" t="s">
        <v>800</v>
      </c>
      <c r="AQ377" t="s">
        <v>801</v>
      </c>
      <c r="AR377" t="s">
        <v>1329</v>
      </c>
      <c r="AS377" t="s">
        <v>140</v>
      </c>
      <c r="AT377" t="s">
        <v>122</v>
      </c>
      <c r="AU377" t="s">
        <v>96</v>
      </c>
      <c r="AZ377" t="s">
        <v>111</v>
      </c>
      <c r="BA377" t="s">
        <v>99</v>
      </c>
      <c r="BC377" t="s">
        <v>287</v>
      </c>
      <c r="BD377" t="s">
        <v>2573</v>
      </c>
      <c r="BE377">
        <v>2023</v>
      </c>
      <c r="BF377">
        <v>2023</v>
      </c>
    </row>
    <row r="378" spans="1:58">
      <c r="A378">
        <v>3074092</v>
      </c>
      <c r="B378">
        <v>0</v>
      </c>
      <c r="D378">
        <v>3372805</v>
      </c>
      <c r="F378" t="s">
        <v>80</v>
      </c>
      <c r="G378" t="s">
        <v>81</v>
      </c>
      <c r="H378" t="s">
        <v>20</v>
      </c>
      <c r="I378" t="s">
        <v>21</v>
      </c>
      <c r="J378" t="s">
        <v>6</v>
      </c>
      <c r="K378" t="s">
        <v>83</v>
      </c>
      <c r="L378" s="3">
        <v>46029</v>
      </c>
      <c r="M378" t="s">
        <v>193</v>
      </c>
      <c r="N378">
        <v>16799426</v>
      </c>
      <c r="O378">
        <v>1</v>
      </c>
      <c r="P378" t="s">
        <v>2574</v>
      </c>
      <c r="Q378">
        <v>1</v>
      </c>
      <c r="R378">
        <v>123.10299999999999</v>
      </c>
      <c r="U378">
        <v>10</v>
      </c>
      <c r="W378" t="s">
        <v>1448</v>
      </c>
      <c r="Y378">
        <v>0</v>
      </c>
      <c r="Z378">
        <v>0</v>
      </c>
      <c r="AA378" t="s">
        <v>98</v>
      </c>
      <c r="AB378" t="s">
        <v>2575</v>
      </c>
      <c r="AC378">
        <v>0</v>
      </c>
      <c r="AD378" t="s">
        <v>1977</v>
      </c>
      <c r="AH378" t="s">
        <v>5</v>
      </c>
      <c r="AI378">
        <v>951037448</v>
      </c>
      <c r="AL378" t="s">
        <v>2576</v>
      </c>
      <c r="AO378" t="s">
        <v>2577</v>
      </c>
      <c r="AP378" t="s">
        <v>107</v>
      </c>
      <c r="AQ378" t="s">
        <v>92</v>
      </c>
      <c r="AR378" t="s">
        <v>2578</v>
      </c>
      <c r="AS378" t="s">
        <v>151</v>
      </c>
      <c r="AT378" t="s">
        <v>122</v>
      </c>
      <c r="AU378" t="s">
        <v>96</v>
      </c>
      <c r="AZ378" t="s">
        <v>111</v>
      </c>
      <c r="BA378" t="s">
        <v>99</v>
      </c>
      <c r="BC378" t="s">
        <v>468</v>
      </c>
      <c r="BD378" t="s">
        <v>2482</v>
      </c>
      <c r="BE378">
        <v>0</v>
      </c>
      <c r="BF378">
        <v>0</v>
      </c>
    </row>
    <row r="379" spans="1:58">
      <c r="A379">
        <v>3074632</v>
      </c>
      <c r="B379">
        <v>61</v>
      </c>
      <c r="C379">
        <v>3</v>
      </c>
      <c r="D379">
        <v>7845190</v>
      </c>
      <c r="F379" t="s">
        <v>80</v>
      </c>
      <c r="G379" t="s">
        <v>81</v>
      </c>
      <c r="H379" t="s">
        <v>19</v>
      </c>
      <c r="I379" t="s">
        <v>22</v>
      </c>
      <c r="J379" t="s">
        <v>6</v>
      </c>
      <c r="K379" t="s">
        <v>83</v>
      </c>
      <c r="L379" s="3">
        <v>46029</v>
      </c>
      <c r="M379" t="s">
        <v>193</v>
      </c>
      <c r="N379">
        <v>12652941</v>
      </c>
      <c r="O379">
        <v>4</v>
      </c>
      <c r="P379" t="s">
        <v>2579</v>
      </c>
      <c r="Q379">
        <v>1</v>
      </c>
      <c r="R379">
        <v>387.96499999999997</v>
      </c>
      <c r="S379" t="s">
        <v>2174</v>
      </c>
      <c r="T379">
        <v>21</v>
      </c>
      <c r="U379">
        <v>21</v>
      </c>
      <c r="V379">
        <v>48</v>
      </c>
      <c r="W379" t="s">
        <v>1425</v>
      </c>
      <c r="X379" t="s">
        <v>1532</v>
      </c>
      <c r="Y379">
        <v>26712</v>
      </c>
      <c r="Z379">
        <v>69983</v>
      </c>
      <c r="AA379" t="s">
        <v>98</v>
      </c>
      <c r="AB379" t="s">
        <v>2580</v>
      </c>
      <c r="AC379">
        <v>1260590</v>
      </c>
      <c r="AD379" t="s">
        <v>2581</v>
      </c>
      <c r="AG379" t="s">
        <v>1523</v>
      </c>
      <c r="AH379" t="s">
        <v>1428</v>
      </c>
      <c r="AI379">
        <v>971391340</v>
      </c>
      <c r="AL379" t="s">
        <v>2582</v>
      </c>
      <c r="AO379" t="s">
        <v>2583</v>
      </c>
      <c r="AP379" t="s">
        <v>353</v>
      </c>
      <c r="AQ379" t="s">
        <v>92</v>
      </c>
      <c r="AR379" t="s">
        <v>1986</v>
      </c>
      <c r="AS379" t="s">
        <v>556</v>
      </c>
      <c r="AT379" t="s">
        <v>141</v>
      </c>
      <c r="AU379" t="s">
        <v>96</v>
      </c>
      <c r="AZ379" t="s">
        <v>98</v>
      </c>
      <c r="BA379" t="s">
        <v>99</v>
      </c>
      <c r="BB379" t="s">
        <v>2584</v>
      </c>
      <c r="BC379" t="s">
        <v>421</v>
      </c>
      <c r="BD379" t="s">
        <v>2585</v>
      </c>
      <c r="BE379">
        <v>2024</v>
      </c>
      <c r="BF379">
        <v>2024</v>
      </c>
    </row>
    <row r="380" spans="1:58">
      <c r="A380">
        <v>3075097</v>
      </c>
      <c r="B380">
        <v>222</v>
      </c>
      <c r="C380">
        <v>8</v>
      </c>
      <c r="D380">
        <v>4812198</v>
      </c>
      <c r="F380" t="s">
        <v>80</v>
      </c>
      <c r="G380" t="s">
        <v>81</v>
      </c>
      <c r="H380" t="s">
        <v>14</v>
      </c>
      <c r="I380" t="s">
        <v>15</v>
      </c>
      <c r="J380" t="s">
        <v>6</v>
      </c>
      <c r="K380" t="s">
        <v>83</v>
      </c>
      <c r="L380" s="3">
        <v>46029</v>
      </c>
      <c r="M380" t="s">
        <v>193</v>
      </c>
      <c r="N380">
        <v>18738780</v>
      </c>
      <c r="O380">
        <v>9</v>
      </c>
      <c r="P380" t="s">
        <v>2586</v>
      </c>
      <c r="Q380">
        <v>1</v>
      </c>
      <c r="R380">
        <v>170.58099999999999</v>
      </c>
      <c r="S380" s="3">
        <v>45942</v>
      </c>
      <c r="T380">
        <v>15</v>
      </c>
      <c r="U380">
        <v>15</v>
      </c>
      <c r="V380">
        <v>53</v>
      </c>
      <c r="W380" t="s">
        <v>1391</v>
      </c>
      <c r="Y380">
        <v>139903</v>
      </c>
      <c r="Z380">
        <v>0</v>
      </c>
      <c r="AA380" t="s">
        <v>98</v>
      </c>
      <c r="AB380" t="s">
        <v>2587</v>
      </c>
      <c r="AC380">
        <v>1504551</v>
      </c>
      <c r="AD380" t="s">
        <v>2561</v>
      </c>
      <c r="AH380" t="s">
        <v>1428</v>
      </c>
      <c r="AI380">
        <v>950657038</v>
      </c>
      <c r="AL380" t="s">
        <v>2588</v>
      </c>
      <c r="AO380" t="s">
        <v>2589</v>
      </c>
      <c r="AP380" t="s">
        <v>800</v>
      </c>
      <c r="AQ380" t="s">
        <v>801</v>
      </c>
      <c r="AR380" t="s">
        <v>849</v>
      </c>
      <c r="AS380" t="s">
        <v>339</v>
      </c>
      <c r="AT380" t="s">
        <v>122</v>
      </c>
      <c r="AU380" t="s">
        <v>96</v>
      </c>
      <c r="AZ380" t="s">
        <v>111</v>
      </c>
      <c r="BA380" t="s">
        <v>99</v>
      </c>
      <c r="BC380" t="s">
        <v>475</v>
      </c>
      <c r="BD380" t="s">
        <v>2590</v>
      </c>
      <c r="BE380">
        <v>2017</v>
      </c>
      <c r="BF380">
        <v>2017</v>
      </c>
    </row>
    <row r="381" spans="1:58">
      <c r="A381">
        <v>3076729</v>
      </c>
      <c r="B381">
        <v>227</v>
      </c>
      <c r="C381">
        <v>8</v>
      </c>
      <c r="D381">
        <v>7426201</v>
      </c>
      <c r="F381" t="s">
        <v>80</v>
      </c>
      <c r="G381" t="s">
        <v>81</v>
      </c>
      <c r="H381" t="s">
        <v>14</v>
      </c>
      <c r="I381" t="s">
        <v>15</v>
      </c>
      <c r="J381" t="s">
        <v>6</v>
      </c>
      <c r="K381" t="s">
        <v>83</v>
      </c>
      <c r="L381" s="3">
        <v>46029</v>
      </c>
      <c r="M381" t="s">
        <v>193</v>
      </c>
      <c r="N381">
        <v>12676915</v>
      </c>
      <c r="O381">
        <v>6</v>
      </c>
      <c r="P381" t="s">
        <v>2591</v>
      </c>
      <c r="Q381">
        <v>1</v>
      </c>
      <c r="R381">
        <v>318.416</v>
      </c>
      <c r="S381" s="3">
        <v>45789</v>
      </c>
      <c r="T381">
        <v>15</v>
      </c>
      <c r="U381">
        <v>15</v>
      </c>
      <c r="V381">
        <v>48</v>
      </c>
      <c r="W381" t="s">
        <v>1425</v>
      </c>
      <c r="X381" t="s">
        <v>1532</v>
      </c>
      <c r="Y381">
        <v>227405</v>
      </c>
      <c r="Z381">
        <v>115242</v>
      </c>
      <c r="AA381" t="s">
        <v>98</v>
      </c>
      <c r="AB381" t="s">
        <v>2592</v>
      </c>
      <c r="AC381">
        <v>2889975</v>
      </c>
      <c r="AD381" t="s">
        <v>2581</v>
      </c>
      <c r="AH381" t="s">
        <v>1428</v>
      </c>
      <c r="AI381">
        <v>933448215</v>
      </c>
      <c r="AL381" t="s">
        <v>2593</v>
      </c>
      <c r="AO381" t="s">
        <v>2594</v>
      </c>
      <c r="AP381" t="s">
        <v>952</v>
      </c>
      <c r="AQ381" t="s">
        <v>92</v>
      </c>
      <c r="AR381" t="s">
        <v>2595</v>
      </c>
      <c r="AS381" t="s">
        <v>271</v>
      </c>
      <c r="AT381" t="s">
        <v>141</v>
      </c>
      <c r="AU381" t="s">
        <v>96</v>
      </c>
      <c r="AV381" t="s">
        <v>1478</v>
      </c>
      <c r="AZ381" t="s">
        <v>98</v>
      </c>
      <c r="BA381" t="s">
        <v>99</v>
      </c>
      <c r="BB381" t="s">
        <v>2596</v>
      </c>
      <c r="BC381" t="s">
        <v>1074</v>
      </c>
      <c r="BD381" t="s">
        <v>2597</v>
      </c>
      <c r="BE381">
        <v>2024</v>
      </c>
      <c r="BF381">
        <v>2024</v>
      </c>
    </row>
    <row r="382" spans="1:58">
      <c r="A382">
        <v>3089537</v>
      </c>
      <c r="B382">
        <v>66</v>
      </c>
      <c r="C382">
        <v>3</v>
      </c>
      <c r="D382">
        <v>7477518</v>
      </c>
      <c r="F382" t="s">
        <v>80</v>
      </c>
      <c r="G382" t="s">
        <v>81</v>
      </c>
      <c r="H382" t="s">
        <v>22</v>
      </c>
      <c r="I382" t="s">
        <v>22</v>
      </c>
      <c r="J382" t="s">
        <v>6</v>
      </c>
      <c r="K382" t="s">
        <v>83</v>
      </c>
      <c r="L382" s="3">
        <v>46029</v>
      </c>
      <c r="M382" t="s">
        <v>193</v>
      </c>
      <c r="N382">
        <v>14530681</v>
      </c>
      <c r="O382">
        <v>7</v>
      </c>
      <c r="P382" t="s">
        <v>2598</v>
      </c>
      <c r="Q382">
        <v>1</v>
      </c>
      <c r="R382">
        <v>322.279</v>
      </c>
      <c r="S382" t="s">
        <v>2372</v>
      </c>
      <c r="T382">
        <v>20</v>
      </c>
      <c r="U382">
        <v>19</v>
      </c>
      <c r="V382">
        <v>34</v>
      </c>
      <c r="W382" t="s">
        <v>1465</v>
      </c>
      <c r="X382" t="s">
        <v>1449</v>
      </c>
      <c r="Y382">
        <v>25730</v>
      </c>
      <c r="Z382">
        <v>0</v>
      </c>
      <c r="AA382" t="s">
        <v>98</v>
      </c>
      <c r="AB382" t="s">
        <v>2599</v>
      </c>
      <c r="AC382">
        <v>992567</v>
      </c>
      <c r="AD382" t="s">
        <v>2070</v>
      </c>
      <c r="AH382" t="s">
        <v>1789</v>
      </c>
      <c r="AI382">
        <v>971387834</v>
      </c>
      <c r="AL382" t="s">
        <v>2600</v>
      </c>
      <c r="AO382" t="s">
        <v>2601</v>
      </c>
      <c r="AP382" t="s">
        <v>408</v>
      </c>
      <c r="AQ382" t="s">
        <v>92</v>
      </c>
      <c r="AR382" t="s">
        <v>2602</v>
      </c>
      <c r="AS382" t="s">
        <v>228</v>
      </c>
      <c r="AT382" t="s">
        <v>74</v>
      </c>
      <c r="AU382" t="s">
        <v>96</v>
      </c>
      <c r="AZ382" t="s">
        <v>111</v>
      </c>
      <c r="BA382" t="s">
        <v>99</v>
      </c>
      <c r="BC382" t="s">
        <v>278</v>
      </c>
      <c r="BD382" t="s">
        <v>2603</v>
      </c>
      <c r="BE382">
        <v>2023</v>
      </c>
      <c r="BF382">
        <v>2023</v>
      </c>
    </row>
    <row r="383" spans="1:58">
      <c r="A383">
        <v>3102979</v>
      </c>
      <c r="B383">
        <v>169</v>
      </c>
      <c r="C383">
        <v>6</v>
      </c>
      <c r="D383">
        <v>7415152</v>
      </c>
      <c r="F383" t="s">
        <v>80</v>
      </c>
      <c r="G383" t="s">
        <v>81</v>
      </c>
      <c r="H383" t="s">
        <v>12</v>
      </c>
      <c r="I383" t="s">
        <v>13</v>
      </c>
      <c r="J383" t="s">
        <v>6</v>
      </c>
      <c r="K383" t="s">
        <v>83</v>
      </c>
      <c r="L383" s="3">
        <v>46029</v>
      </c>
      <c r="M383" t="s">
        <v>193</v>
      </c>
      <c r="N383">
        <v>25491462</v>
      </c>
      <c r="O383">
        <v>2</v>
      </c>
      <c r="P383" t="s">
        <v>2604</v>
      </c>
      <c r="Q383">
        <v>1</v>
      </c>
      <c r="R383">
        <v>324.755</v>
      </c>
      <c r="S383" s="3">
        <v>46024</v>
      </c>
      <c r="T383">
        <v>16</v>
      </c>
      <c r="U383">
        <v>16</v>
      </c>
      <c r="V383">
        <v>48</v>
      </c>
      <c r="W383" t="s">
        <v>1435</v>
      </c>
      <c r="X383" t="s">
        <v>87</v>
      </c>
      <c r="Y383">
        <v>136543</v>
      </c>
      <c r="Z383">
        <v>0</v>
      </c>
      <c r="AA383" t="s">
        <v>98</v>
      </c>
      <c r="AB383" s="3">
        <v>45573</v>
      </c>
      <c r="AC383">
        <v>2085073</v>
      </c>
      <c r="AD383" t="s">
        <v>2581</v>
      </c>
      <c r="AH383" t="s">
        <v>1428</v>
      </c>
      <c r="AI383">
        <v>998517025</v>
      </c>
      <c r="AL383" t="s">
        <v>2605</v>
      </c>
      <c r="AO383" t="s">
        <v>2606</v>
      </c>
      <c r="AP383" t="s">
        <v>715</v>
      </c>
      <c r="AQ383" t="s">
        <v>92</v>
      </c>
      <c r="AR383" t="s">
        <v>1350</v>
      </c>
      <c r="AS383" t="s">
        <v>752</v>
      </c>
      <c r="AT383" t="s">
        <v>122</v>
      </c>
      <c r="AU383" t="s">
        <v>96</v>
      </c>
      <c r="AZ383" t="s">
        <v>111</v>
      </c>
      <c r="BA383" t="s">
        <v>99</v>
      </c>
      <c r="BB383" t="s">
        <v>2607</v>
      </c>
      <c r="BC383" t="s">
        <v>412</v>
      </c>
      <c r="BD383" t="s">
        <v>2608</v>
      </c>
      <c r="BE383">
        <v>2024</v>
      </c>
      <c r="BF383">
        <v>2024</v>
      </c>
    </row>
    <row r="384" spans="1:58">
      <c r="A384">
        <v>3105588</v>
      </c>
      <c r="B384">
        <v>347</v>
      </c>
      <c r="C384">
        <v>12</v>
      </c>
      <c r="D384">
        <v>8346649</v>
      </c>
      <c r="F384" t="s">
        <v>80</v>
      </c>
      <c r="G384" t="s">
        <v>81</v>
      </c>
      <c r="H384" t="s">
        <v>18</v>
      </c>
      <c r="I384" t="s">
        <v>20</v>
      </c>
      <c r="J384" t="s">
        <v>6</v>
      </c>
      <c r="K384" t="s">
        <v>83</v>
      </c>
      <c r="L384" s="3">
        <v>46029</v>
      </c>
      <c r="M384" t="s">
        <v>193</v>
      </c>
      <c r="N384">
        <v>16709594</v>
      </c>
      <c r="O384">
        <v>1</v>
      </c>
      <c r="P384" t="s">
        <v>2609</v>
      </c>
      <c r="Q384">
        <v>1</v>
      </c>
      <c r="R384">
        <v>325.83999999999997</v>
      </c>
      <c r="S384" s="3">
        <v>45846</v>
      </c>
      <c r="T384">
        <v>10</v>
      </c>
      <c r="U384">
        <v>10</v>
      </c>
      <c r="V384">
        <v>48</v>
      </c>
      <c r="W384" t="s">
        <v>1448</v>
      </c>
      <c r="Y384">
        <v>517209</v>
      </c>
      <c r="Z384">
        <v>0</v>
      </c>
      <c r="AA384" t="s">
        <v>98</v>
      </c>
      <c r="AB384" s="3">
        <v>45481</v>
      </c>
      <c r="AC384">
        <v>4427289</v>
      </c>
      <c r="AD384" t="s">
        <v>2581</v>
      </c>
      <c r="AH384" t="s">
        <v>1428</v>
      </c>
      <c r="AI384">
        <v>954517916</v>
      </c>
      <c r="AL384" t="s">
        <v>2610</v>
      </c>
      <c r="AO384" t="s">
        <v>2611</v>
      </c>
      <c r="AP384" t="s">
        <v>1634</v>
      </c>
      <c r="AQ384" t="s">
        <v>92</v>
      </c>
      <c r="AR384" t="s">
        <v>2612</v>
      </c>
      <c r="AS384" t="s">
        <v>284</v>
      </c>
      <c r="AT384" t="s">
        <v>122</v>
      </c>
      <c r="AU384" t="s">
        <v>96</v>
      </c>
      <c r="AZ384" t="s">
        <v>111</v>
      </c>
      <c r="BA384" t="s">
        <v>99</v>
      </c>
      <c r="BC384" t="s">
        <v>153</v>
      </c>
      <c r="BD384" t="s">
        <v>2613</v>
      </c>
      <c r="BE384">
        <v>0</v>
      </c>
      <c r="BF384">
        <v>0</v>
      </c>
    </row>
    <row r="385" spans="1:58">
      <c r="A385">
        <v>3106371</v>
      </c>
      <c r="B385">
        <v>0</v>
      </c>
      <c r="D385">
        <v>12635401</v>
      </c>
      <c r="F385" t="s">
        <v>80</v>
      </c>
      <c r="G385" t="s">
        <v>81</v>
      </c>
      <c r="H385" t="s">
        <v>20</v>
      </c>
      <c r="I385" t="s">
        <v>21</v>
      </c>
      <c r="J385" t="s">
        <v>6</v>
      </c>
      <c r="K385" t="s">
        <v>83</v>
      </c>
      <c r="L385" s="3">
        <v>46029</v>
      </c>
      <c r="M385" t="s">
        <v>193</v>
      </c>
      <c r="N385">
        <v>13401628</v>
      </c>
      <c r="O385">
        <v>0</v>
      </c>
      <c r="P385" t="s">
        <v>2614</v>
      </c>
      <c r="Q385">
        <v>1</v>
      </c>
      <c r="R385">
        <v>493.26799999999997</v>
      </c>
      <c r="U385">
        <v>10</v>
      </c>
      <c r="W385" t="s">
        <v>1425</v>
      </c>
      <c r="X385" t="s">
        <v>87</v>
      </c>
      <c r="Y385">
        <v>0</v>
      </c>
      <c r="Z385">
        <v>0</v>
      </c>
      <c r="AA385" t="s">
        <v>98</v>
      </c>
      <c r="AB385" t="s">
        <v>2615</v>
      </c>
      <c r="AC385">
        <v>0</v>
      </c>
      <c r="AD385" t="s">
        <v>2581</v>
      </c>
      <c r="AH385" t="s">
        <v>5</v>
      </c>
      <c r="AI385">
        <v>993116680</v>
      </c>
      <c r="AL385" t="s">
        <v>2616</v>
      </c>
      <c r="AO385" t="s">
        <v>2617</v>
      </c>
      <c r="AP385" t="s">
        <v>2618</v>
      </c>
      <c r="AQ385" t="s">
        <v>765</v>
      </c>
      <c r="AR385" t="s">
        <v>2619</v>
      </c>
      <c r="AS385" t="s">
        <v>162</v>
      </c>
      <c r="AT385" t="s">
        <v>141</v>
      </c>
      <c r="AU385" t="s">
        <v>96</v>
      </c>
      <c r="AV385" t="s">
        <v>1478</v>
      </c>
      <c r="AZ385" t="s">
        <v>98</v>
      </c>
      <c r="BA385" t="s">
        <v>99</v>
      </c>
      <c r="BB385" t="s">
        <v>2620</v>
      </c>
      <c r="BC385" t="s">
        <v>421</v>
      </c>
      <c r="BD385" t="s">
        <v>2621</v>
      </c>
      <c r="BE385">
        <v>2024</v>
      </c>
      <c r="BF385">
        <v>2024</v>
      </c>
    </row>
    <row r="386" spans="1:58">
      <c r="A386">
        <v>3115585</v>
      </c>
      <c r="B386">
        <v>196</v>
      </c>
      <c r="C386">
        <v>7</v>
      </c>
      <c r="D386">
        <v>7560512</v>
      </c>
      <c r="F386" t="s">
        <v>80</v>
      </c>
      <c r="G386" t="s">
        <v>81</v>
      </c>
      <c r="H386" t="s">
        <v>13</v>
      </c>
      <c r="I386" t="s">
        <v>14</v>
      </c>
      <c r="J386" t="s">
        <v>6</v>
      </c>
      <c r="K386" t="s">
        <v>83</v>
      </c>
      <c r="L386" s="3">
        <v>46029</v>
      </c>
      <c r="M386" t="s">
        <v>193</v>
      </c>
      <c r="N386">
        <v>17108693</v>
      </c>
      <c r="O386">
        <v>0</v>
      </c>
      <c r="P386" t="s">
        <v>2622</v>
      </c>
      <c r="Q386">
        <v>1</v>
      </c>
      <c r="R386">
        <v>296.67399999999998</v>
      </c>
      <c r="S386" s="3">
        <v>46143</v>
      </c>
      <c r="T386">
        <v>15</v>
      </c>
      <c r="U386">
        <v>15</v>
      </c>
      <c r="V386">
        <v>48</v>
      </c>
      <c r="W386" t="s">
        <v>1448</v>
      </c>
      <c r="X386" t="s">
        <v>1449</v>
      </c>
      <c r="Y386">
        <v>162331</v>
      </c>
      <c r="Z386">
        <v>0</v>
      </c>
      <c r="AA386" t="s">
        <v>98</v>
      </c>
      <c r="AB386" t="s">
        <v>2623</v>
      </c>
      <c r="AC386">
        <v>2239049</v>
      </c>
      <c r="AD386" t="s">
        <v>1881</v>
      </c>
      <c r="AH386" t="s">
        <v>1428</v>
      </c>
      <c r="AI386">
        <v>56989299917</v>
      </c>
      <c r="AL386" t="s">
        <v>2624</v>
      </c>
      <c r="AO386" t="s">
        <v>2625</v>
      </c>
      <c r="AP386" t="s">
        <v>433</v>
      </c>
      <c r="AQ386" t="s">
        <v>434</v>
      </c>
      <c r="AR386" t="s">
        <v>2626</v>
      </c>
      <c r="AS386" t="s">
        <v>752</v>
      </c>
      <c r="AT386" t="s">
        <v>74</v>
      </c>
      <c r="AU386" t="s">
        <v>96</v>
      </c>
      <c r="AZ386" t="s">
        <v>111</v>
      </c>
      <c r="BA386" t="s">
        <v>99</v>
      </c>
      <c r="BC386" t="s">
        <v>2627</v>
      </c>
      <c r="BD386" t="s">
        <v>2628</v>
      </c>
      <c r="BE386">
        <v>0</v>
      </c>
      <c r="BF386">
        <v>0</v>
      </c>
    </row>
    <row r="387" spans="1:58">
      <c r="A387">
        <v>3128019</v>
      </c>
      <c r="B387">
        <v>24</v>
      </c>
      <c r="C387">
        <v>1</v>
      </c>
      <c r="D387">
        <v>7296344</v>
      </c>
      <c r="F387" t="s">
        <v>80</v>
      </c>
      <c r="G387" t="s">
        <v>81</v>
      </c>
      <c r="H387" t="s">
        <v>19</v>
      </c>
      <c r="I387" s="527">
        <v>46052</v>
      </c>
      <c r="J387" t="s">
        <v>6</v>
      </c>
      <c r="K387" t="s">
        <v>83</v>
      </c>
      <c r="L387" s="3">
        <v>46029</v>
      </c>
      <c r="M387" t="s">
        <v>1559</v>
      </c>
      <c r="N387">
        <v>17376853</v>
      </c>
      <c r="O387">
        <v>2</v>
      </c>
      <c r="P387" t="s">
        <v>2629</v>
      </c>
      <c r="Q387">
        <v>1</v>
      </c>
      <c r="R387">
        <v>371.06799999999998</v>
      </c>
      <c r="S387" t="s">
        <v>2630</v>
      </c>
      <c r="T387">
        <v>20</v>
      </c>
      <c r="U387">
        <v>19</v>
      </c>
      <c r="V387">
        <v>43</v>
      </c>
      <c r="W387" t="s">
        <v>1391</v>
      </c>
      <c r="Y387">
        <v>6795</v>
      </c>
      <c r="Z387">
        <v>0</v>
      </c>
      <c r="AA387" t="s">
        <v>98</v>
      </c>
      <c r="AB387" t="s">
        <v>2631</v>
      </c>
      <c r="AC387">
        <v>377863</v>
      </c>
      <c r="AD387" t="s">
        <v>2632</v>
      </c>
      <c r="AG387" t="s">
        <v>1523</v>
      </c>
      <c r="AH387" t="s">
        <v>1439</v>
      </c>
      <c r="AI387">
        <v>989664757</v>
      </c>
      <c r="AL387" t="s">
        <v>2633</v>
      </c>
      <c r="AO387" t="s">
        <v>2634</v>
      </c>
      <c r="AP387" t="s">
        <v>742</v>
      </c>
      <c r="AQ387" t="s">
        <v>92</v>
      </c>
      <c r="AR387" t="s">
        <v>857</v>
      </c>
      <c r="AS387" t="s">
        <v>198</v>
      </c>
      <c r="AT387" t="s">
        <v>122</v>
      </c>
      <c r="AU387" t="s">
        <v>96</v>
      </c>
      <c r="AW387" t="s">
        <v>410</v>
      </c>
      <c r="AX387" t="s">
        <v>1527</v>
      </c>
      <c r="AY387" s="3">
        <v>46210</v>
      </c>
      <c r="AZ387" t="s">
        <v>111</v>
      </c>
      <c r="BA387" t="s">
        <v>285</v>
      </c>
      <c r="BC387" t="s">
        <v>769</v>
      </c>
      <c r="BD387" t="s">
        <v>2635</v>
      </c>
      <c r="BE387">
        <v>2022</v>
      </c>
      <c r="BF387">
        <v>2022</v>
      </c>
    </row>
    <row r="388" spans="1:58">
      <c r="A388">
        <v>3129282</v>
      </c>
      <c r="B388">
        <v>348</v>
      </c>
      <c r="C388">
        <v>12</v>
      </c>
      <c r="D388">
        <v>8502503</v>
      </c>
      <c r="F388" t="s">
        <v>80</v>
      </c>
      <c r="G388" t="s">
        <v>81</v>
      </c>
      <c r="H388" t="s">
        <v>18</v>
      </c>
      <c r="I388" t="s">
        <v>20</v>
      </c>
      <c r="J388" t="s">
        <v>6</v>
      </c>
      <c r="K388" t="s">
        <v>83</v>
      </c>
      <c r="L388" s="3">
        <v>46029</v>
      </c>
      <c r="M388" t="s">
        <v>193</v>
      </c>
      <c r="N388">
        <v>18925863</v>
      </c>
      <c r="O388">
        <v>1</v>
      </c>
      <c r="P388" t="s">
        <v>2636</v>
      </c>
      <c r="Q388">
        <v>1</v>
      </c>
      <c r="R388">
        <v>307.83100000000002</v>
      </c>
      <c r="S388" s="3">
        <v>45816</v>
      </c>
      <c r="T388">
        <v>10</v>
      </c>
      <c r="U388">
        <v>10</v>
      </c>
      <c r="V388">
        <v>37</v>
      </c>
      <c r="W388" t="s">
        <v>1448</v>
      </c>
      <c r="Y388">
        <v>491328</v>
      </c>
      <c r="Z388">
        <v>0</v>
      </c>
      <c r="AA388" t="s">
        <v>98</v>
      </c>
      <c r="AB388" t="s">
        <v>2637</v>
      </c>
      <c r="AC388">
        <v>4185300</v>
      </c>
      <c r="AD388" t="s">
        <v>2581</v>
      </c>
      <c r="AH388" t="s">
        <v>1428</v>
      </c>
      <c r="AI388">
        <v>953672598</v>
      </c>
      <c r="AL388" t="s">
        <v>2638</v>
      </c>
      <c r="AO388" t="s">
        <v>2639</v>
      </c>
      <c r="AP388" t="s">
        <v>107</v>
      </c>
      <c r="AQ388" t="s">
        <v>92</v>
      </c>
      <c r="AR388" t="s">
        <v>2640</v>
      </c>
      <c r="AS388" t="s">
        <v>323</v>
      </c>
      <c r="AT388" t="s">
        <v>122</v>
      </c>
      <c r="AU388" t="s">
        <v>96</v>
      </c>
      <c r="AZ388" t="s">
        <v>111</v>
      </c>
      <c r="BA388" t="s">
        <v>99</v>
      </c>
      <c r="BC388" t="s">
        <v>287</v>
      </c>
      <c r="BD388" t="s">
        <v>2641</v>
      </c>
      <c r="BE388">
        <v>0</v>
      </c>
      <c r="BF388">
        <v>0</v>
      </c>
    </row>
    <row r="389" spans="1:58">
      <c r="A389">
        <v>3143768</v>
      </c>
      <c r="B389">
        <v>0</v>
      </c>
      <c r="C389">
        <v>0</v>
      </c>
      <c r="D389">
        <v>2845619</v>
      </c>
      <c r="F389" t="s">
        <v>80</v>
      </c>
      <c r="G389" t="s">
        <v>81</v>
      </c>
      <c r="H389" t="s">
        <v>19</v>
      </c>
      <c r="I389" t="s">
        <v>1862</v>
      </c>
      <c r="J389" t="s">
        <v>6</v>
      </c>
      <c r="K389" t="s">
        <v>83</v>
      </c>
      <c r="L389" s="3">
        <v>46029</v>
      </c>
      <c r="M389" t="s">
        <v>193</v>
      </c>
      <c r="N389">
        <v>15050847</v>
      </c>
      <c r="O389">
        <v>9</v>
      </c>
      <c r="P389" t="s">
        <v>2642</v>
      </c>
      <c r="Q389">
        <v>1</v>
      </c>
      <c r="R389">
        <v>186.32</v>
      </c>
      <c r="S389" s="3">
        <v>46150</v>
      </c>
      <c r="T389">
        <v>21</v>
      </c>
      <c r="U389">
        <v>18</v>
      </c>
      <c r="V389">
        <v>36</v>
      </c>
      <c r="W389" t="s">
        <v>1448</v>
      </c>
      <c r="X389" t="s">
        <v>1449</v>
      </c>
      <c r="Y389">
        <v>0</v>
      </c>
      <c r="Z389">
        <v>0</v>
      </c>
      <c r="AA389" t="s">
        <v>98</v>
      </c>
      <c r="AB389" s="3">
        <v>45574</v>
      </c>
      <c r="AC389">
        <v>0</v>
      </c>
      <c r="AD389" t="s">
        <v>1977</v>
      </c>
      <c r="AG389" t="s">
        <v>1523</v>
      </c>
      <c r="AH389" t="s">
        <v>2643</v>
      </c>
      <c r="AI389">
        <v>997773146</v>
      </c>
      <c r="AL389" t="s">
        <v>2644</v>
      </c>
      <c r="AO389" t="s">
        <v>2645</v>
      </c>
      <c r="AP389" t="s">
        <v>593</v>
      </c>
      <c r="AQ389" t="s">
        <v>215</v>
      </c>
      <c r="AR389" t="s">
        <v>1958</v>
      </c>
      <c r="AS389" t="s">
        <v>217</v>
      </c>
      <c r="AT389" t="s">
        <v>141</v>
      </c>
      <c r="AU389" t="s">
        <v>96</v>
      </c>
      <c r="AW389" t="s">
        <v>410</v>
      </c>
      <c r="AX389" t="s">
        <v>1862</v>
      </c>
      <c r="AY389" t="s">
        <v>519</v>
      </c>
      <c r="AZ389" t="s">
        <v>98</v>
      </c>
      <c r="BA389" t="s">
        <v>285</v>
      </c>
      <c r="BC389" t="s">
        <v>191</v>
      </c>
      <c r="BD389">
        <v>208</v>
      </c>
      <c r="BE389">
        <v>0</v>
      </c>
      <c r="BF389">
        <v>0</v>
      </c>
    </row>
    <row r="390" spans="1:58">
      <c r="A390">
        <v>3151163</v>
      </c>
      <c r="B390">
        <v>77</v>
      </c>
      <c r="C390">
        <v>3</v>
      </c>
      <c r="D390">
        <v>16118463</v>
      </c>
      <c r="F390" t="s">
        <v>80</v>
      </c>
      <c r="G390" t="s">
        <v>81</v>
      </c>
      <c r="H390" t="s">
        <v>19</v>
      </c>
      <c r="I390" t="s">
        <v>22</v>
      </c>
      <c r="J390" t="s">
        <v>6</v>
      </c>
      <c r="K390" t="s">
        <v>83</v>
      </c>
      <c r="L390" s="3">
        <v>46029</v>
      </c>
      <c r="M390" t="s">
        <v>193</v>
      </c>
      <c r="N390">
        <v>16434298</v>
      </c>
      <c r="O390">
        <v>0</v>
      </c>
      <c r="P390" t="s">
        <v>2646</v>
      </c>
      <c r="Q390">
        <v>1</v>
      </c>
      <c r="R390">
        <v>649.36599999999999</v>
      </c>
      <c r="S390" s="3">
        <v>46117</v>
      </c>
      <c r="T390">
        <v>18</v>
      </c>
      <c r="U390">
        <v>18</v>
      </c>
      <c r="V390">
        <v>25</v>
      </c>
      <c r="W390" t="s">
        <v>1448</v>
      </c>
      <c r="Y390">
        <v>65698</v>
      </c>
      <c r="Z390">
        <v>0</v>
      </c>
      <c r="AA390" t="s">
        <v>98</v>
      </c>
      <c r="AB390" t="s">
        <v>2647</v>
      </c>
      <c r="AC390">
        <v>2013796</v>
      </c>
      <c r="AD390" t="s">
        <v>2648</v>
      </c>
      <c r="AG390" t="s">
        <v>1523</v>
      </c>
      <c r="AH390" t="s">
        <v>1428</v>
      </c>
      <c r="AI390">
        <v>988152532</v>
      </c>
      <c r="AL390" t="s">
        <v>2649</v>
      </c>
      <c r="AO390" t="s">
        <v>2650</v>
      </c>
      <c r="AP390" t="s">
        <v>1212</v>
      </c>
      <c r="AQ390" t="s">
        <v>299</v>
      </c>
      <c r="AR390" t="s">
        <v>2651</v>
      </c>
      <c r="AS390" t="s">
        <v>449</v>
      </c>
      <c r="AT390" t="s">
        <v>122</v>
      </c>
      <c r="AU390" t="s">
        <v>96</v>
      </c>
      <c r="AZ390" t="s">
        <v>111</v>
      </c>
      <c r="BA390" t="s">
        <v>99</v>
      </c>
      <c r="BC390" t="s">
        <v>182</v>
      </c>
      <c r="BD390" t="s">
        <v>2652</v>
      </c>
      <c r="BE390">
        <v>0</v>
      </c>
      <c r="BF390">
        <v>0</v>
      </c>
    </row>
    <row r="391" spans="1:58">
      <c r="A391">
        <v>3152876</v>
      </c>
      <c r="B391">
        <v>361</v>
      </c>
      <c r="C391">
        <v>12</v>
      </c>
      <c r="D391">
        <v>7864849</v>
      </c>
      <c r="F391" t="s">
        <v>80</v>
      </c>
      <c r="G391" t="s">
        <v>81</v>
      </c>
      <c r="H391" t="s">
        <v>20</v>
      </c>
      <c r="I391" t="s">
        <v>21</v>
      </c>
      <c r="J391" t="s">
        <v>6</v>
      </c>
      <c r="K391" t="s">
        <v>83</v>
      </c>
      <c r="L391" s="3">
        <v>46029</v>
      </c>
      <c r="M391" t="s">
        <v>193</v>
      </c>
      <c r="N391">
        <v>16802599</v>
      </c>
      <c r="O391">
        <v>8</v>
      </c>
      <c r="P391" t="s">
        <v>2653</v>
      </c>
      <c r="Q391">
        <v>1</v>
      </c>
      <c r="R391">
        <v>386.52600000000001</v>
      </c>
      <c r="S391" t="s">
        <v>2654</v>
      </c>
      <c r="T391">
        <v>9</v>
      </c>
      <c r="U391">
        <v>9</v>
      </c>
      <c r="V391">
        <v>36</v>
      </c>
      <c r="W391" t="s">
        <v>1425</v>
      </c>
      <c r="X391" t="s">
        <v>1532</v>
      </c>
      <c r="Y391">
        <v>778829</v>
      </c>
      <c r="Z391">
        <v>180004</v>
      </c>
      <c r="AA391" t="s">
        <v>98</v>
      </c>
      <c r="AB391" t="s">
        <v>2655</v>
      </c>
      <c r="AC391">
        <v>5597145</v>
      </c>
      <c r="AD391" t="s">
        <v>2648</v>
      </c>
      <c r="AH391" t="s">
        <v>1428</v>
      </c>
      <c r="AI391">
        <v>981839900</v>
      </c>
      <c r="AL391" t="s">
        <v>2656</v>
      </c>
      <c r="AO391" t="s">
        <v>2657</v>
      </c>
      <c r="AP391" t="s">
        <v>501</v>
      </c>
      <c r="AQ391" t="s">
        <v>188</v>
      </c>
      <c r="AR391" t="s">
        <v>2658</v>
      </c>
      <c r="AS391" t="s">
        <v>171</v>
      </c>
      <c r="AT391" t="s">
        <v>141</v>
      </c>
      <c r="AU391" t="s">
        <v>96</v>
      </c>
      <c r="AV391" t="s">
        <v>1478</v>
      </c>
      <c r="AZ391" t="s">
        <v>98</v>
      </c>
      <c r="BA391" t="s">
        <v>99</v>
      </c>
      <c r="BB391" t="s">
        <v>2659</v>
      </c>
      <c r="BC391" t="s">
        <v>1074</v>
      </c>
      <c r="BD391" t="s">
        <v>2660</v>
      </c>
      <c r="BE391">
        <v>2025</v>
      </c>
      <c r="BF391">
        <v>2025</v>
      </c>
    </row>
    <row r="392" spans="1:58">
      <c r="A392">
        <v>3158483</v>
      </c>
      <c r="B392">
        <v>324</v>
      </c>
      <c r="C392">
        <v>11</v>
      </c>
      <c r="D392">
        <v>4130822</v>
      </c>
      <c r="F392" t="s">
        <v>80</v>
      </c>
      <c r="G392" t="s">
        <v>81</v>
      </c>
      <c r="H392" t="s">
        <v>18</v>
      </c>
      <c r="I392" t="s">
        <v>18</v>
      </c>
      <c r="J392" t="s">
        <v>6</v>
      </c>
      <c r="K392" t="s">
        <v>83</v>
      </c>
      <c r="L392" s="3">
        <v>46029</v>
      </c>
      <c r="M392" t="s">
        <v>193</v>
      </c>
      <c r="N392">
        <v>16757088</v>
      </c>
      <c r="O392">
        <v>7</v>
      </c>
      <c r="P392" t="s">
        <v>2661</v>
      </c>
      <c r="Q392">
        <v>1</v>
      </c>
      <c r="R392">
        <v>199.49</v>
      </c>
      <c r="S392" t="s">
        <v>2662</v>
      </c>
      <c r="T392">
        <v>9</v>
      </c>
      <c r="U392">
        <v>9</v>
      </c>
      <c r="V392">
        <v>36</v>
      </c>
      <c r="W392" t="s">
        <v>1448</v>
      </c>
      <c r="X392" t="s">
        <v>1449</v>
      </c>
      <c r="Y392">
        <v>270339</v>
      </c>
      <c r="Z392">
        <v>95521</v>
      </c>
      <c r="AA392" t="s">
        <v>98</v>
      </c>
      <c r="AB392" t="s">
        <v>2663</v>
      </c>
      <c r="AC392">
        <v>2560250</v>
      </c>
      <c r="AD392">
        <v>2</v>
      </c>
      <c r="AH392" t="s">
        <v>1428</v>
      </c>
      <c r="AI392">
        <v>56992871919</v>
      </c>
      <c r="AL392" t="s">
        <v>2664</v>
      </c>
      <c r="AO392" t="s">
        <v>2665</v>
      </c>
      <c r="AP392" t="s">
        <v>2666</v>
      </c>
      <c r="AQ392" t="s">
        <v>188</v>
      </c>
      <c r="AR392" t="s">
        <v>2667</v>
      </c>
      <c r="AS392" t="s">
        <v>388</v>
      </c>
      <c r="AT392" t="s">
        <v>141</v>
      </c>
      <c r="AU392" t="s">
        <v>96</v>
      </c>
      <c r="AZ392" t="s">
        <v>98</v>
      </c>
      <c r="BA392" t="s">
        <v>99</v>
      </c>
      <c r="BC392" t="s">
        <v>182</v>
      </c>
      <c r="BD392" t="s">
        <v>2547</v>
      </c>
      <c r="BE392">
        <v>0</v>
      </c>
      <c r="BF392">
        <v>0</v>
      </c>
    </row>
    <row r="393" spans="1:58">
      <c r="A393">
        <v>3158491</v>
      </c>
      <c r="B393">
        <v>45</v>
      </c>
      <c r="C393">
        <v>2</v>
      </c>
      <c r="D393">
        <v>3793517</v>
      </c>
      <c r="F393" t="s">
        <v>80</v>
      </c>
      <c r="G393" t="s">
        <v>81</v>
      </c>
      <c r="H393" t="s">
        <v>19</v>
      </c>
      <c r="I393" t="s">
        <v>19</v>
      </c>
      <c r="J393" t="s">
        <v>6</v>
      </c>
      <c r="K393" t="s">
        <v>83</v>
      </c>
      <c r="L393" s="3">
        <v>46029</v>
      </c>
      <c r="M393" t="s">
        <v>193</v>
      </c>
      <c r="N393">
        <v>12063228</v>
      </c>
      <c r="O393">
        <v>0</v>
      </c>
      <c r="P393" t="s">
        <v>2668</v>
      </c>
      <c r="Q393">
        <v>1</v>
      </c>
      <c r="R393">
        <v>132.65799999999999</v>
      </c>
      <c r="S393" s="3">
        <v>46148</v>
      </c>
      <c r="T393">
        <v>19</v>
      </c>
      <c r="U393">
        <v>18</v>
      </c>
      <c r="V393">
        <v>37</v>
      </c>
      <c r="W393" t="s">
        <v>1448</v>
      </c>
      <c r="X393" t="s">
        <v>1532</v>
      </c>
      <c r="Y393">
        <v>5859</v>
      </c>
      <c r="Z393">
        <v>14208</v>
      </c>
      <c r="AA393" t="s">
        <v>98</v>
      </c>
      <c r="AB393" t="s">
        <v>2669</v>
      </c>
      <c r="AC393">
        <v>285383</v>
      </c>
      <c r="AD393" t="s">
        <v>1977</v>
      </c>
      <c r="AG393" t="s">
        <v>1523</v>
      </c>
      <c r="AH393" t="s">
        <v>1439</v>
      </c>
      <c r="AI393">
        <v>998907237</v>
      </c>
      <c r="AL393" t="s">
        <v>2670</v>
      </c>
      <c r="AO393" t="s">
        <v>2671</v>
      </c>
      <c r="AP393" t="s">
        <v>2672</v>
      </c>
      <c r="AQ393" t="s">
        <v>149</v>
      </c>
      <c r="AR393" t="s">
        <v>2673</v>
      </c>
      <c r="AS393" t="s">
        <v>271</v>
      </c>
      <c r="AT393" t="s">
        <v>141</v>
      </c>
      <c r="AU393" t="s">
        <v>96</v>
      </c>
      <c r="AZ393" t="s">
        <v>98</v>
      </c>
      <c r="BA393" t="s">
        <v>99</v>
      </c>
      <c r="BB393" t="s">
        <v>2674</v>
      </c>
      <c r="BC393" t="s">
        <v>468</v>
      </c>
      <c r="BD393" t="s">
        <v>2675</v>
      </c>
      <c r="BE393">
        <v>2024</v>
      </c>
      <c r="BF393">
        <v>2024</v>
      </c>
    </row>
    <row r="394" spans="1:58">
      <c r="A394">
        <v>3159040</v>
      </c>
      <c r="B394">
        <v>34</v>
      </c>
      <c r="C394">
        <v>2</v>
      </c>
      <c r="D394">
        <v>15663717</v>
      </c>
      <c r="F394" t="s">
        <v>80</v>
      </c>
      <c r="G394" t="s">
        <v>81</v>
      </c>
      <c r="H394" t="s">
        <v>19</v>
      </c>
      <c r="I394" t="s">
        <v>19</v>
      </c>
      <c r="J394" t="s">
        <v>6</v>
      </c>
      <c r="K394" t="s">
        <v>83</v>
      </c>
      <c r="L394" s="3">
        <v>46029</v>
      </c>
      <c r="M394" t="s">
        <v>1559</v>
      </c>
      <c r="N394">
        <v>13872350</v>
      </c>
      <c r="O394" t="s">
        <v>266</v>
      </c>
      <c r="P394" t="s">
        <v>2676</v>
      </c>
      <c r="Q394">
        <v>1</v>
      </c>
      <c r="R394">
        <v>510.56700000000001</v>
      </c>
      <c r="S394" t="s">
        <v>2677</v>
      </c>
      <c r="T394">
        <v>20</v>
      </c>
      <c r="U394">
        <v>19</v>
      </c>
      <c r="V394">
        <v>49</v>
      </c>
      <c r="W394" t="s">
        <v>2678</v>
      </c>
      <c r="Y394">
        <v>17642</v>
      </c>
      <c r="Z394">
        <v>0</v>
      </c>
      <c r="AA394" t="s">
        <v>98</v>
      </c>
      <c r="AB394" s="3">
        <v>45421</v>
      </c>
      <c r="AC394">
        <v>1038776</v>
      </c>
      <c r="AD394" t="s">
        <v>1977</v>
      </c>
      <c r="AG394" t="s">
        <v>1523</v>
      </c>
      <c r="AH394" t="s">
        <v>1439</v>
      </c>
      <c r="AO394" t="s">
        <v>2679</v>
      </c>
      <c r="AP394" t="s">
        <v>715</v>
      </c>
      <c r="AQ394" t="s">
        <v>92</v>
      </c>
      <c r="AR394" t="s">
        <v>2680</v>
      </c>
      <c r="AS394" t="s">
        <v>346</v>
      </c>
      <c r="AT394" t="s">
        <v>122</v>
      </c>
      <c r="AU394" t="s">
        <v>96</v>
      </c>
      <c r="AW394" t="s">
        <v>410</v>
      </c>
      <c r="AX394" t="s">
        <v>1527</v>
      </c>
      <c r="AY394" s="3">
        <v>46180</v>
      </c>
      <c r="AZ394" t="s">
        <v>111</v>
      </c>
      <c r="BA394" t="s">
        <v>285</v>
      </c>
      <c r="BC394" t="s">
        <v>1045</v>
      </c>
      <c r="BD394" t="s">
        <v>2681</v>
      </c>
      <c r="BE394">
        <v>0</v>
      </c>
      <c r="BF394">
        <v>0</v>
      </c>
    </row>
    <row r="395" spans="1:58">
      <c r="A395">
        <v>3165842</v>
      </c>
      <c r="B395">
        <v>318</v>
      </c>
      <c r="C395">
        <v>11</v>
      </c>
      <c r="D395">
        <v>8817306</v>
      </c>
      <c r="F395" t="s">
        <v>80</v>
      </c>
      <c r="G395" t="s">
        <v>81</v>
      </c>
      <c r="H395" t="s">
        <v>17</v>
      </c>
      <c r="I395" t="s">
        <v>18</v>
      </c>
      <c r="J395" t="s">
        <v>6</v>
      </c>
      <c r="K395" t="s">
        <v>83</v>
      </c>
      <c r="L395" s="3">
        <v>46029</v>
      </c>
      <c r="M395" t="s">
        <v>193</v>
      </c>
      <c r="N395">
        <v>15137484</v>
      </c>
      <c r="O395">
        <v>0</v>
      </c>
      <c r="P395" t="s">
        <v>2682</v>
      </c>
      <c r="Q395">
        <v>1</v>
      </c>
      <c r="R395">
        <v>291.71100000000001</v>
      </c>
      <c r="S395" s="3">
        <v>45786</v>
      </c>
      <c r="T395">
        <v>10</v>
      </c>
      <c r="U395">
        <v>10</v>
      </c>
      <c r="V395">
        <v>37</v>
      </c>
      <c r="W395" t="s">
        <v>1448</v>
      </c>
      <c r="Y395">
        <v>383978</v>
      </c>
      <c r="Z395">
        <v>0</v>
      </c>
      <c r="AA395" t="s">
        <v>98</v>
      </c>
      <c r="AB395" s="3">
        <v>45301</v>
      </c>
      <c r="AC395">
        <v>3592799</v>
      </c>
      <c r="AD395" t="s">
        <v>2648</v>
      </c>
      <c r="AH395" t="s">
        <v>1428</v>
      </c>
      <c r="AI395">
        <v>56961881836</v>
      </c>
      <c r="AL395" t="s">
        <v>2683</v>
      </c>
      <c r="AO395" t="s">
        <v>2684</v>
      </c>
      <c r="AP395" t="s">
        <v>688</v>
      </c>
      <c r="AQ395" t="s">
        <v>299</v>
      </c>
      <c r="AR395" t="s">
        <v>2685</v>
      </c>
      <c r="AS395" t="s">
        <v>198</v>
      </c>
      <c r="AT395" t="s">
        <v>122</v>
      </c>
      <c r="AU395" t="s">
        <v>96</v>
      </c>
      <c r="AZ395" t="s">
        <v>111</v>
      </c>
      <c r="BA395" t="s">
        <v>99</v>
      </c>
      <c r="BC395" t="s">
        <v>153</v>
      </c>
      <c r="BD395" t="s">
        <v>2686</v>
      </c>
      <c r="BE395">
        <v>0</v>
      </c>
      <c r="BF395">
        <v>0</v>
      </c>
    </row>
    <row r="396" spans="1:58">
      <c r="A396">
        <v>3167343</v>
      </c>
      <c r="B396">
        <v>349</v>
      </c>
      <c r="C396">
        <v>12</v>
      </c>
      <c r="D396">
        <v>6511728</v>
      </c>
      <c r="F396" t="s">
        <v>80</v>
      </c>
      <c r="G396" t="s">
        <v>81</v>
      </c>
      <c r="H396" t="s">
        <v>18</v>
      </c>
      <c r="I396" t="s">
        <v>20</v>
      </c>
      <c r="J396" t="s">
        <v>6</v>
      </c>
      <c r="K396" t="s">
        <v>83</v>
      </c>
      <c r="L396" s="3">
        <v>46029</v>
      </c>
      <c r="M396" t="s">
        <v>193</v>
      </c>
      <c r="N396">
        <v>17376536</v>
      </c>
      <c r="O396">
        <v>3</v>
      </c>
      <c r="P396" t="s">
        <v>2687</v>
      </c>
      <c r="Q396">
        <v>1</v>
      </c>
      <c r="R396">
        <v>246.64400000000001</v>
      </c>
      <c r="S396" s="3">
        <v>45785</v>
      </c>
      <c r="T396">
        <v>9</v>
      </c>
      <c r="U396">
        <v>9</v>
      </c>
      <c r="V396">
        <v>48</v>
      </c>
      <c r="W396" t="s">
        <v>1425</v>
      </c>
      <c r="X396" t="s">
        <v>87</v>
      </c>
      <c r="Y396">
        <v>467727</v>
      </c>
      <c r="Z396">
        <v>0</v>
      </c>
      <c r="AA396" t="s">
        <v>98</v>
      </c>
      <c r="AB396" s="3">
        <v>45422</v>
      </c>
      <c r="AC396">
        <v>3427455</v>
      </c>
      <c r="AD396" t="s">
        <v>2688</v>
      </c>
      <c r="AH396" t="s">
        <v>1428</v>
      </c>
      <c r="AI396">
        <v>933882254</v>
      </c>
      <c r="AL396" t="s">
        <v>2689</v>
      </c>
      <c r="AO396" t="s">
        <v>2690</v>
      </c>
      <c r="AP396" t="s">
        <v>2691</v>
      </c>
      <c r="AQ396" t="s">
        <v>188</v>
      </c>
      <c r="AR396" t="s">
        <v>2612</v>
      </c>
      <c r="AS396" t="s">
        <v>767</v>
      </c>
      <c r="AT396" t="s">
        <v>122</v>
      </c>
      <c r="AU396" t="s">
        <v>96</v>
      </c>
      <c r="AZ396" t="s">
        <v>111</v>
      </c>
      <c r="BA396" t="s">
        <v>99</v>
      </c>
      <c r="BB396" t="s">
        <v>2692</v>
      </c>
      <c r="BC396" t="s">
        <v>550</v>
      </c>
      <c r="BD396" t="s">
        <v>2693</v>
      </c>
      <c r="BE396">
        <v>2022</v>
      </c>
      <c r="BF396">
        <v>2022</v>
      </c>
    </row>
    <row r="397" spans="1:58">
      <c r="A397">
        <v>3170180</v>
      </c>
      <c r="B397">
        <v>344</v>
      </c>
      <c r="C397">
        <v>12</v>
      </c>
      <c r="D397">
        <v>7998288</v>
      </c>
      <c r="F397" t="s">
        <v>80</v>
      </c>
      <c r="G397" t="s">
        <v>81</v>
      </c>
      <c r="H397" t="s">
        <v>18</v>
      </c>
      <c r="I397" t="s">
        <v>20</v>
      </c>
      <c r="J397" t="s">
        <v>6</v>
      </c>
      <c r="K397" t="s">
        <v>83</v>
      </c>
      <c r="L397" s="3">
        <v>46029</v>
      </c>
      <c r="M397" t="s">
        <v>193</v>
      </c>
      <c r="N397">
        <v>17502004</v>
      </c>
      <c r="O397">
        <v>7</v>
      </c>
      <c r="P397" t="s">
        <v>2694</v>
      </c>
      <c r="Q397">
        <v>1</v>
      </c>
      <c r="R397">
        <v>294.971</v>
      </c>
      <c r="S397" s="3">
        <v>45938</v>
      </c>
      <c r="T397">
        <v>7</v>
      </c>
      <c r="U397">
        <v>7</v>
      </c>
      <c r="V397">
        <v>48</v>
      </c>
      <c r="W397" t="s">
        <v>1448</v>
      </c>
      <c r="X397" t="s">
        <v>87</v>
      </c>
      <c r="Y397">
        <v>449430</v>
      </c>
      <c r="Z397">
        <v>0</v>
      </c>
      <c r="AA397" t="s">
        <v>98</v>
      </c>
      <c r="AB397" s="3">
        <v>45332</v>
      </c>
      <c r="AC397">
        <v>3989082</v>
      </c>
      <c r="AD397" t="s">
        <v>2648</v>
      </c>
      <c r="AH397" t="s">
        <v>1428</v>
      </c>
      <c r="AI397">
        <v>935812399</v>
      </c>
      <c r="AL397" t="s">
        <v>2695</v>
      </c>
      <c r="AO397" t="s">
        <v>2696</v>
      </c>
      <c r="AP397" t="s">
        <v>723</v>
      </c>
      <c r="AQ397" t="s">
        <v>724</v>
      </c>
      <c r="AR397" t="s">
        <v>676</v>
      </c>
      <c r="AS397" t="s">
        <v>140</v>
      </c>
      <c r="AT397" t="s">
        <v>122</v>
      </c>
      <c r="AU397" t="s">
        <v>96</v>
      </c>
      <c r="AZ397" t="s">
        <v>111</v>
      </c>
      <c r="BA397" t="s">
        <v>99</v>
      </c>
      <c r="BB397" t="s">
        <v>2697</v>
      </c>
      <c r="BC397" t="s">
        <v>278</v>
      </c>
      <c r="BD397" t="s">
        <v>2698</v>
      </c>
      <c r="BE397">
        <v>2024</v>
      </c>
      <c r="BF397">
        <v>2024</v>
      </c>
    </row>
    <row r="398" spans="1:58">
      <c r="A398">
        <v>3171859</v>
      </c>
      <c r="B398">
        <v>263</v>
      </c>
      <c r="C398">
        <v>9</v>
      </c>
      <c r="D398">
        <v>3524049</v>
      </c>
      <c r="F398" t="s">
        <v>80</v>
      </c>
      <c r="G398" t="s">
        <v>81</v>
      </c>
      <c r="H398" t="s">
        <v>16</v>
      </c>
      <c r="I398" t="s">
        <v>16</v>
      </c>
      <c r="J398" t="s">
        <v>6</v>
      </c>
      <c r="K398" t="s">
        <v>83</v>
      </c>
      <c r="L398" s="3">
        <v>46029</v>
      </c>
      <c r="M398" t="s">
        <v>193</v>
      </c>
      <c r="N398">
        <v>26477565</v>
      </c>
      <c r="O398">
        <v>5</v>
      </c>
      <c r="P398" t="s">
        <v>2699</v>
      </c>
      <c r="Q398">
        <v>1</v>
      </c>
      <c r="R398">
        <v>219.21199999999999</v>
      </c>
      <c r="S398" t="s">
        <v>2700</v>
      </c>
      <c r="T398">
        <v>11</v>
      </c>
      <c r="U398">
        <v>11</v>
      </c>
      <c r="V398">
        <v>30</v>
      </c>
      <c r="W398" t="s">
        <v>1391</v>
      </c>
      <c r="Y398">
        <v>243428</v>
      </c>
      <c r="Z398">
        <v>0</v>
      </c>
      <c r="AA398" t="s">
        <v>98</v>
      </c>
      <c r="AB398" s="3">
        <v>45514</v>
      </c>
      <c r="AC398">
        <v>2216336</v>
      </c>
      <c r="AD398" t="s">
        <v>1474</v>
      </c>
      <c r="AH398" t="s">
        <v>1428</v>
      </c>
      <c r="AI398">
        <v>976816789</v>
      </c>
      <c r="AL398" t="s">
        <v>2701</v>
      </c>
      <c r="AO398" t="s">
        <v>2702</v>
      </c>
      <c r="AP398" t="s">
        <v>800</v>
      </c>
      <c r="AQ398" t="s">
        <v>801</v>
      </c>
      <c r="AR398" t="s">
        <v>2703</v>
      </c>
      <c r="AS398" t="s">
        <v>449</v>
      </c>
      <c r="AT398" t="s">
        <v>122</v>
      </c>
      <c r="AU398" t="s">
        <v>96</v>
      </c>
      <c r="AZ398" t="s">
        <v>111</v>
      </c>
      <c r="BA398" t="s">
        <v>99</v>
      </c>
      <c r="BC398" t="s">
        <v>1519</v>
      </c>
      <c r="BD398" t="s">
        <v>1885</v>
      </c>
      <c r="BE398">
        <v>2022</v>
      </c>
      <c r="BF398">
        <v>2022</v>
      </c>
    </row>
    <row r="399" spans="1:58">
      <c r="A399">
        <v>3171875</v>
      </c>
      <c r="B399">
        <v>106</v>
      </c>
      <c r="C399">
        <v>4</v>
      </c>
      <c r="D399">
        <v>4209936</v>
      </c>
      <c r="F399" t="s">
        <v>80</v>
      </c>
      <c r="G399" t="s">
        <v>81</v>
      </c>
      <c r="H399" t="s">
        <v>22</v>
      </c>
      <c r="I399" t="s">
        <v>23</v>
      </c>
      <c r="J399" t="s">
        <v>6</v>
      </c>
      <c r="K399" t="s">
        <v>83</v>
      </c>
      <c r="L399" s="3">
        <v>46029</v>
      </c>
      <c r="M399" t="s">
        <v>193</v>
      </c>
      <c r="N399">
        <v>21003461</v>
      </c>
      <c r="O399">
        <v>7</v>
      </c>
      <c r="P399" t="s">
        <v>2704</v>
      </c>
      <c r="Q399">
        <v>1</v>
      </c>
      <c r="R399">
        <v>257.01799999999997</v>
      </c>
      <c r="S399" s="3">
        <v>46146</v>
      </c>
      <c r="T399">
        <v>17</v>
      </c>
      <c r="U399">
        <v>17</v>
      </c>
      <c r="V399">
        <v>36</v>
      </c>
      <c r="W399" t="s">
        <v>1465</v>
      </c>
      <c r="X399" t="s">
        <v>1449</v>
      </c>
      <c r="Y399">
        <v>54723</v>
      </c>
      <c r="Z399">
        <v>69635</v>
      </c>
      <c r="AA399" t="s">
        <v>98</v>
      </c>
      <c r="AB399" s="3">
        <v>45301</v>
      </c>
      <c r="AC399">
        <v>1152430</v>
      </c>
      <c r="AD399" t="s">
        <v>1949</v>
      </c>
      <c r="AH399" t="s">
        <v>1428</v>
      </c>
      <c r="AI399">
        <v>936170956</v>
      </c>
      <c r="AJ399">
        <v>936170956</v>
      </c>
      <c r="AL399" t="s">
        <v>2705</v>
      </c>
      <c r="AO399" t="s">
        <v>2706</v>
      </c>
      <c r="AP399" t="s">
        <v>800</v>
      </c>
      <c r="AQ399" t="s">
        <v>801</v>
      </c>
      <c r="AR399" t="s">
        <v>2707</v>
      </c>
      <c r="AS399" t="s">
        <v>217</v>
      </c>
      <c r="AT399" t="s">
        <v>141</v>
      </c>
      <c r="AU399" t="s">
        <v>96</v>
      </c>
      <c r="AZ399" t="s">
        <v>98</v>
      </c>
      <c r="BA399" t="s">
        <v>99</v>
      </c>
      <c r="BC399" t="s">
        <v>164</v>
      </c>
      <c r="BD399" t="s">
        <v>2708</v>
      </c>
      <c r="BE399">
        <v>2019</v>
      </c>
      <c r="BF399">
        <v>2019</v>
      </c>
    </row>
    <row r="400" spans="1:58">
      <c r="A400">
        <v>3172499</v>
      </c>
      <c r="B400">
        <v>61</v>
      </c>
      <c r="C400">
        <v>3</v>
      </c>
      <c r="D400">
        <v>3821549</v>
      </c>
      <c r="F400" t="s">
        <v>80</v>
      </c>
      <c r="G400" t="s">
        <v>81</v>
      </c>
      <c r="H400" t="s">
        <v>19</v>
      </c>
      <c r="I400" t="s">
        <v>22</v>
      </c>
      <c r="J400" t="s">
        <v>6</v>
      </c>
      <c r="K400" t="s">
        <v>83</v>
      </c>
      <c r="L400" s="3">
        <v>46029</v>
      </c>
      <c r="M400" t="s">
        <v>193</v>
      </c>
      <c r="N400">
        <v>18017458</v>
      </c>
      <c r="O400">
        <v>3</v>
      </c>
      <c r="P400" t="s">
        <v>2709</v>
      </c>
      <c r="Q400">
        <v>1</v>
      </c>
      <c r="R400">
        <v>174.95400000000001</v>
      </c>
      <c r="S400" t="s">
        <v>2174</v>
      </c>
      <c r="T400">
        <v>18</v>
      </c>
      <c r="U400">
        <v>18</v>
      </c>
      <c r="V400">
        <v>46</v>
      </c>
      <c r="W400" t="s">
        <v>1391</v>
      </c>
      <c r="Y400">
        <v>14233</v>
      </c>
      <c r="Z400">
        <v>0</v>
      </c>
      <c r="AA400" t="s">
        <v>98</v>
      </c>
      <c r="AB400" s="3">
        <v>45545</v>
      </c>
      <c r="AC400">
        <v>539095</v>
      </c>
      <c r="AD400" t="s">
        <v>2710</v>
      </c>
      <c r="AG400" t="s">
        <v>1523</v>
      </c>
      <c r="AH400" t="s">
        <v>1428</v>
      </c>
      <c r="AI400">
        <v>940926790</v>
      </c>
      <c r="AL400" t="s">
        <v>2711</v>
      </c>
      <c r="AO400" t="s">
        <v>2712</v>
      </c>
      <c r="AP400" t="s">
        <v>800</v>
      </c>
      <c r="AQ400" t="s">
        <v>801</v>
      </c>
      <c r="AR400" t="s">
        <v>2040</v>
      </c>
      <c r="AS400" t="s">
        <v>217</v>
      </c>
      <c r="AT400" t="s">
        <v>122</v>
      </c>
      <c r="AU400" t="s">
        <v>96</v>
      </c>
      <c r="AZ400" t="s">
        <v>111</v>
      </c>
      <c r="BA400" t="s">
        <v>99</v>
      </c>
      <c r="BC400" t="s">
        <v>164</v>
      </c>
      <c r="BD400" t="s">
        <v>2713</v>
      </c>
      <c r="BE400">
        <v>2017</v>
      </c>
      <c r="BF400">
        <v>2017</v>
      </c>
    </row>
    <row r="401" spans="1:58">
      <c r="A401">
        <v>3175369</v>
      </c>
      <c r="B401">
        <v>234</v>
      </c>
      <c r="C401">
        <v>8</v>
      </c>
      <c r="D401">
        <v>7009833</v>
      </c>
      <c r="F401" t="s">
        <v>80</v>
      </c>
      <c r="G401" t="s">
        <v>81</v>
      </c>
      <c r="H401" t="s">
        <v>15</v>
      </c>
      <c r="I401" t="s">
        <v>15</v>
      </c>
      <c r="J401" t="s">
        <v>6</v>
      </c>
      <c r="K401" t="s">
        <v>83</v>
      </c>
      <c r="L401" s="3">
        <v>46029</v>
      </c>
      <c r="M401" t="s">
        <v>193</v>
      </c>
      <c r="N401">
        <v>19203081</v>
      </c>
      <c r="O401">
        <v>1</v>
      </c>
      <c r="P401" t="s">
        <v>2714</v>
      </c>
      <c r="Q401">
        <v>1</v>
      </c>
      <c r="R401">
        <v>263.34300000000002</v>
      </c>
      <c r="S401" t="s">
        <v>2715</v>
      </c>
      <c r="T401">
        <v>12</v>
      </c>
      <c r="U401">
        <v>12</v>
      </c>
      <c r="V401">
        <v>25</v>
      </c>
      <c r="W401" t="s">
        <v>1448</v>
      </c>
      <c r="X401" t="s">
        <v>1532</v>
      </c>
      <c r="Y401">
        <v>194500</v>
      </c>
      <c r="Z401">
        <v>118316</v>
      </c>
      <c r="AA401" t="s">
        <v>98</v>
      </c>
      <c r="AB401" s="3">
        <v>45575</v>
      </c>
      <c r="AC401">
        <v>2419560</v>
      </c>
      <c r="AD401" t="s">
        <v>2648</v>
      </c>
      <c r="AH401" t="s">
        <v>1428</v>
      </c>
      <c r="AI401">
        <v>997284332</v>
      </c>
      <c r="AL401" t="s">
        <v>2716</v>
      </c>
      <c r="AO401" t="s">
        <v>2717</v>
      </c>
      <c r="AP401" t="s">
        <v>688</v>
      </c>
      <c r="AQ401" t="s">
        <v>299</v>
      </c>
      <c r="AR401" t="s">
        <v>2718</v>
      </c>
      <c r="AS401" t="s">
        <v>151</v>
      </c>
      <c r="AT401" t="s">
        <v>141</v>
      </c>
      <c r="AU401" t="s">
        <v>96</v>
      </c>
      <c r="AV401" t="s">
        <v>1478</v>
      </c>
      <c r="AZ401" t="s">
        <v>98</v>
      </c>
      <c r="BA401" t="s">
        <v>99</v>
      </c>
      <c r="BB401" t="s">
        <v>2719</v>
      </c>
      <c r="BC401" t="s">
        <v>200</v>
      </c>
      <c r="BD401" t="s">
        <v>2720</v>
      </c>
      <c r="BE401">
        <v>2023</v>
      </c>
      <c r="BF401">
        <v>2023</v>
      </c>
    </row>
    <row r="402" spans="1:58">
      <c r="A402">
        <v>3182276</v>
      </c>
      <c r="B402">
        <v>49</v>
      </c>
      <c r="C402">
        <v>2</v>
      </c>
      <c r="D402">
        <v>3204020</v>
      </c>
      <c r="F402" t="s">
        <v>80</v>
      </c>
      <c r="G402" t="s">
        <v>81</v>
      </c>
      <c r="H402" s="527">
        <v>46052</v>
      </c>
      <c r="I402" t="s">
        <v>19</v>
      </c>
      <c r="J402" t="s">
        <v>6</v>
      </c>
      <c r="K402" t="s">
        <v>83</v>
      </c>
      <c r="L402" s="3">
        <v>46029</v>
      </c>
      <c r="M402" t="s">
        <v>193</v>
      </c>
      <c r="N402">
        <v>15662579</v>
      </c>
      <c r="O402">
        <v>5</v>
      </c>
      <c r="P402" t="s">
        <v>2721</v>
      </c>
      <c r="Q402">
        <v>1</v>
      </c>
      <c r="R402">
        <v>206.82499999999999</v>
      </c>
      <c r="S402" s="3">
        <v>46028</v>
      </c>
      <c r="T402">
        <v>18</v>
      </c>
      <c r="U402">
        <v>18</v>
      </c>
      <c r="V402">
        <v>36</v>
      </c>
      <c r="W402" t="s">
        <v>1391</v>
      </c>
      <c r="Y402">
        <v>12506</v>
      </c>
      <c r="Z402">
        <v>0</v>
      </c>
      <c r="AA402" t="s">
        <v>98</v>
      </c>
      <c r="AB402" t="s">
        <v>2722</v>
      </c>
      <c r="AC402">
        <v>426156</v>
      </c>
      <c r="AD402" t="s">
        <v>2296</v>
      </c>
      <c r="AG402" t="s">
        <v>1523</v>
      </c>
      <c r="AH402" t="s">
        <v>1428</v>
      </c>
      <c r="AI402">
        <v>994992293</v>
      </c>
      <c r="AL402" t="s">
        <v>2723</v>
      </c>
      <c r="AO402" t="s">
        <v>2724</v>
      </c>
      <c r="AP402" t="s">
        <v>353</v>
      </c>
      <c r="AQ402" t="s">
        <v>92</v>
      </c>
      <c r="AR402" t="s">
        <v>2725</v>
      </c>
      <c r="AS402" t="s">
        <v>198</v>
      </c>
      <c r="AT402" t="s">
        <v>122</v>
      </c>
      <c r="AU402" t="s">
        <v>96</v>
      </c>
      <c r="AW402" t="s">
        <v>410</v>
      </c>
      <c r="AX402" t="s">
        <v>1443</v>
      </c>
      <c r="AY402" s="3">
        <v>46060</v>
      </c>
      <c r="AZ402" t="s">
        <v>111</v>
      </c>
      <c r="BA402" t="s">
        <v>285</v>
      </c>
      <c r="BC402" t="s">
        <v>164</v>
      </c>
      <c r="BD402" t="s">
        <v>2726</v>
      </c>
      <c r="BE402">
        <v>2021</v>
      </c>
      <c r="BF402">
        <v>2021</v>
      </c>
    </row>
    <row r="403" spans="1:58">
      <c r="A403">
        <v>3196584</v>
      </c>
      <c r="B403">
        <v>288</v>
      </c>
      <c r="C403">
        <v>10</v>
      </c>
      <c r="D403">
        <v>6241808</v>
      </c>
      <c r="F403" t="s">
        <v>80</v>
      </c>
      <c r="G403" t="s">
        <v>81</v>
      </c>
      <c r="H403" t="s">
        <v>16</v>
      </c>
      <c r="I403" t="s">
        <v>17</v>
      </c>
      <c r="J403" t="s">
        <v>6</v>
      </c>
      <c r="K403" t="s">
        <v>83</v>
      </c>
      <c r="L403" s="3">
        <v>46029</v>
      </c>
      <c r="M403" t="s">
        <v>193</v>
      </c>
      <c r="N403">
        <v>12506407</v>
      </c>
      <c r="O403">
        <v>8</v>
      </c>
      <c r="P403" t="s">
        <v>2727</v>
      </c>
      <c r="Q403">
        <v>1</v>
      </c>
      <c r="R403">
        <v>260.09500000000003</v>
      </c>
      <c r="S403" s="3">
        <v>45787</v>
      </c>
      <c r="T403">
        <v>10</v>
      </c>
      <c r="U403">
        <v>10</v>
      </c>
      <c r="V403">
        <v>48</v>
      </c>
      <c r="W403" t="s">
        <v>1448</v>
      </c>
      <c r="Y403">
        <v>341968</v>
      </c>
      <c r="Z403">
        <v>61444</v>
      </c>
      <c r="AA403" t="s">
        <v>98</v>
      </c>
      <c r="AB403" t="s">
        <v>2728</v>
      </c>
      <c r="AC403">
        <v>3004362</v>
      </c>
      <c r="AD403" t="s">
        <v>1671</v>
      </c>
      <c r="AH403" t="s">
        <v>1428</v>
      </c>
      <c r="AI403">
        <v>998756748</v>
      </c>
      <c r="AL403" t="s">
        <v>2729</v>
      </c>
      <c r="AO403" t="s">
        <v>2730</v>
      </c>
      <c r="AP403" t="s">
        <v>2731</v>
      </c>
      <c r="AQ403" t="s">
        <v>381</v>
      </c>
      <c r="AR403" t="s">
        <v>2732</v>
      </c>
      <c r="AS403" t="s">
        <v>189</v>
      </c>
      <c r="AT403" t="s">
        <v>141</v>
      </c>
      <c r="AU403" t="s">
        <v>96</v>
      </c>
      <c r="AV403" t="s">
        <v>1478</v>
      </c>
      <c r="AZ403" t="s">
        <v>98</v>
      </c>
      <c r="BA403" t="s">
        <v>99</v>
      </c>
      <c r="BC403" t="s">
        <v>182</v>
      </c>
      <c r="BD403" t="s">
        <v>2733</v>
      </c>
      <c r="BE403">
        <v>0</v>
      </c>
      <c r="BF403">
        <v>0</v>
      </c>
    </row>
    <row r="404" spans="1:58">
      <c r="A404">
        <v>3201695</v>
      </c>
      <c r="B404">
        <v>349</v>
      </c>
      <c r="C404">
        <v>12</v>
      </c>
      <c r="D404">
        <v>11220517</v>
      </c>
      <c r="F404" t="s">
        <v>80</v>
      </c>
      <c r="G404" t="s">
        <v>81</v>
      </c>
      <c r="H404" t="s">
        <v>18</v>
      </c>
      <c r="I404" t="s">
        <v>20</v>
      </c>
      <c r="J404" t="s">
        <v>6</v>
      </c>
      <c r="K404" t="s">
        <v>83</v>
      </c>
      <c r="L404" s="3">
        <v>46029</v>
      </c>
      <c r="M404" t="s">
        <v>193</v>
      </c>
      <c r="N404">
        <v>14337561</v>
      </c>
      <c r="O404">
        <v>7</v>
      </c>
      <c r="P404" t="s">
        <v>2734</v>
      </c>
      <c r="Q404">
        <v>1</v>
      </c>
      <c r="R404">
        <v>355.80700000000002</v>
      </c>
      <c r="S404" s="3">
        <v>45785</v>
      </c>
      <c r="T404">
        <v>8</v>
      </c>
      <c r="U404">
        <v>8</v>
      </c>
      <c r="V404">
        <v>49</v>
      </c>
      <c r="W404" t="s">
        <v>1448</v>
      </c>
      <c r="Y404">
        <v>555440</v>
      </c>
      <c r="Z404">
        <v>0</v>
      </c>
      <c r="AA404" t="s">
        <v>98</v>
      </c>
      <c r="AB404" t="s">
        <v>2728</v>
      </c>
      <c r="AC404">
        <v>4825124</v>
      </c>
      <c r="AD404" t="s">
        <v>2735</v>
      </c>
      <c r="AH404" t="s">
        <v>1428</v>
      </c>
      <c r="AI404">
        <v>940526077</v>
      </c>
      <c r="AL404" t="s">
        <v>2736</v>
      </c>
      <c r="AO404" t="s">
        <v>2737</v>
      </c>
      <c r="AP404" t="s">
        <v>517</v>
      </c>
      <c r="AQ404" t="s">
        <v>92</v>
      </c>
      <c r="AR404" t="s">
        <v>2738</v>
      </c>
      <c r="AS404" t="s">
        <v>243</v>
      </c>
      <c r="AT404" t="s">
        <v>122</v>
      </c>
      <c r="AU404" t="s">
        <v>96</v>
      </c>
      <c r="AZ404" t="s">
        <v>111</v>
      </c>
      <c r="BA404" t="s">
        <v>99</v>
      </c>
      <c r="BC404" t="s">
        <v>153</v>
      </c>
      <c r="BD404" t="s">
        <v>2686</v>
      </c>
      <c r="BE404">
        <v>0</v>
      </c>
      <c r="BF404">
        <v>0</v>
      </c>
    </row>
    <row r="405" spans="1:58">
      <c r="A405">
        <v>3204579</v>
      </c>
      <c r="B405">
        <v>344</v>
      </c>
      <c r="C405">
        <v>12</v>
      </c>
      <c r="D405">
        <v>9380969</v>
      </c>
      <c r="F405" t="s">
        <v>80</v>
      </c>
      <c r="G405" t="s">
        <v>81</v>
      </c>
      <c r="H405" t="s">
        <v>18</v>
      </c>
      <c r="I405" t="s">
        <v>20</v>
      </c>
      <c r="J405" t="s">
        <v>6</v>
      </c>
      <c r="K405" t="s">
        <v>83</v>
      </c>
      <c r="L405" s="3">
        <v>46029</v>
      </c>
      <c r="M405" t="s">
        <v>193</v>
      </c>
      <c r="N405">
        <v>15507340</v>
      </c>
      <c r="O405">
        <v>3</v>
      </c>
      <c r="P405" t="s">
        <v>2739</v>
      </c>
      <c r="Q405">
        <v>1</v>
      </c>
      <c r="R405">
        <v>290.80099999999999</v>
      </c>
      <c r="S405" s="3">
        <v>45938</v>
      </c>
      <c r="T405">
        <v>8</v>
      </c>
      <c r="U405">
        <v>8</v>
      </c>
      <c r="V405">
        <v>49</v>
      </c>
      <c r="W405" t="s">
        <v>1448</v>
      </c>
      <c r="Y405">
        <v>441529</v>
      </c>
      <c r="Z405">
        <v>0</v>
      </c>
      <c r="AA405" t="s">
        <v>98</v>
      </c>
      <c r="AB405" s="3">
        <v>45454</v>
      </c>
      <c r="AC405">
        <v>3931141</v>
      </c>
      <c r="AD405" t="s">
        <v>2735</v>
      </c>
      <c r="AH405" t="s">
        <v>1428</v>
      </c>
      <c r="AI405">
        <v>949204352</v>
      </c>
      <c r="AL405" t="s">
        <v>2740</v>
      </c>
      <c r="AO405" t="s">
        <v>2741</v>
      </c>
      <c r="AP405" t="s">
        <v>614</v>
      </c>
      <c r="AQ405" t="s">
        <v>92</v>
      </c>
      <c r="AR405" t="s">
        <v>1770</v>
      </c>
      <c r="AS405" t="s">
        <v>449</v>
      </c>
      <c r="AT405" t="s">
        <v>122</v>
      </c>
      <c r="AU405" t="s">
        <v>96</v>
      </c>
      <c r="AZ405" t="s">
        <v>111</v>
      </c>
      <c r="BA405" t="s">
        <v>99</v>
      </c>
      <c r="BC405" t="s">
        <v>1519</v>
      </c>
      <c r="BD405" t="s">
        <v>2742</v>
      </c>
      <c r="BE405">
        <v>0</v>
      </c>
      <c r="BF405">
        <v>0</v>
      </c>
    </row>
    <row r="406" spans="1:58">
      <c r="A406">
        <v>3207283</v>
      </c>
      <c r="B406">
        <v>73</v>
      </c>
      <c r="C406">
        <v>3</v>
      </c>
      <c r="D406">
        <v>10804472</v>
      </c>
      <c r="F406" t="s">
        <v>80</v>
      </c>
      <c r="G406" t="s">
        <v>81</v>
      </c>
      <c r="H406" t="s">
        <v>19</v>
      </c>
      <c r="I406" t="s">
        <v>22</v>
      </c>
      <c r="J406" t="s">
        <v>6</v>
      </c>
      <c r="K406" t="s">
        <v>83</v>
      </c>
      <c r="L406" s="3">
        <v>46029</v>
      </c>
      <c r="M406" t="s">
        <v>193</v>
      </c>
      <c r="N406">
        <v>18149142</v>
      </c>
      <c r="O406">
        <v>6</v>
      </c>
      <c r="P406" t="s">
        <v>2743</v>
      </c>
      <c r="Q406">
        <v>1</v>
      </c>
      <c r="R406">
        <v>663.34500000000003</v>
      </c>
      <c r="S406" s="3">
        <v>46239</v>
      </c>
      <c r="T406">
        <v>17</v>
      </c>
      <c r="U406">
        <v>17</v>
      </c>
      <c r="V406">
        <v>36</v>
      </c>
      <c r="W406" t="s">
        <v>1448</v>
      </c>
      <c r="X406" t="s">
        <v>1449</v>
      </c>
      <c r="Y406">
        <v>61441</v>
      </c>
      <c r="Z406">
        <v>109307</v>
      </c>
      <c r="AA406" t="s">
        <v>98</v>
      </c>
      <c r="AB406" s="3">
        <v>45484</v>
      </c>
      <c r="AC406">
        <v>2160783</v>
      </c>
      <c r="AD406" t="s">
        <v>1983</v>
      </c>
      <c r="AG406" t="s">
        <v>1523</v>
      </c>
      <c r="AH406" t="s">
        <v>1428</v>
      </c>
      <c r="AI406">
        <v>977905188</v>
      </c>
      <c r="AL406" t="s">
        <v>2744</v>
      </c>
      <c r="AO406" t="s">
        <v>2745</v>
      </c>
      <c r="AP406" t="s">
        <v>541</v>
      </c>
      <c r="AQ406" t="s">
        <v>188</v>
      </c>
      <c r="AR406" t="s">
        <v>2746</v>
      </c>
      <c r="AS406" t="s">
        <v>449</v>
      </c>
      <c r="AT406" t="s">
        <v>141</v>
      </c>
      <c r="AU406" t="s">
        <v>96</v>
      </c>
      <c r="AV406" t="s">
        <v>1478</v>
      </c>
      <c r="AZ406" t="s">
        <v>98</v>
      </c>
      <c r="BA406" t="s">
        <v>99</v>
      </c>
      <c r="BC406" t="s">
        <v>133</v>
      </c>
      <c r="BD406" t="s">
        <v>2747</v>
      </c>
      <c r="BE406">
        <v>0</v>
      </c>
      <c r="BF406">
        <v>0</v>
      </c>
    </row>
    <row r="407" spans="1:58">
      <c r="A407">
        <v>3217807</v>
      </c>
      <c r="B407">
        <v>92</v>
      </c>
      <c r="C407">
        <v>4</v>
      </c>
      <c r="D407">
        <v>10181670</v>
      </c>
      <c r="F407" t="s">
        <v>80</v>
      </c>
      <c r="G407" t="s">
        <v>81</v>
      </c>
      <c r="H407" t="s">
        <v>22</v>
      </c>
      <c r="I407" t="s">
        <v>23</v>
      </c>
      <c r="J407" t="s">
        <v>6</v>
      </c>
      <c r="K407" t="s">
        <v>83</v>
      </c>
      <c r="L407" s="3">
        <v>46029</v>
      </c>
      <c r="M407" t="s">
        <v>193</v>
      </c>
      <c r="N407">
        <v>13014709</v>
      </c>
      <c r="O407">
        <v>7</v>
      </c>
      <c r="P407" t="s">
        <v>2748</v>
      </c>
      <c r="Q407">
        <v>1</v>
      </c>
      <c r="R407">
        <v>443.36099999999999</v>
      </c>
      <c r="S407" t="s">
        <v>2749</v>
      </c>
      <c r="T407">
        <v>16</v>
      </c>
      <c r="U407">
        <v>16</v>
      </c>
      <c r="V407">
        <v>48</v>
      </c>
      <c r="W407" t="s">
        <v>1425</v>
      </c>
      <c r="X407" t="s">
        <v>1532</v>
      </c>
      <c r="Y407">
        <v>58396</v>
      </c>
      <c r="Z407">
        <v>9721</v>
      </c>
      <c r="AA407" t="s">
        <v>98</v>
      </c>
      <c r="AB407" t="s">
        <v>2750</v>
      </c>
      <c r="AC407">
        <v>1841561</v>
      </c>
      <c r="AD407" t="s">
        <v>2751</v>
      </c>
      <c r="AH407" t="s">
        <v>1428</v>
      </c>
      <c r="AI407">
        <v>949895345</v>
      </c>
      <c r="AL407" t="s">
        <v>2752</v>
      </c>
      <c r="AO407" t="s">
        <v>2753</v>
      </c>
      <c r="AP407" t="s">
        <v>1849</v>
      </c>
      <c r="AQ407" t="s">
        <v>188</v>
      </c>
      <c r="AR407" t="s">
        <v>2754</v>
      </c>
      <c r="AS407" t="s">
        <v>217</v>
      </c>
      <c r="AT407" t="s">
        <v>141</v>
      </c>
      <c r="AU407" t="s">
        <v>96</v>
      </c>
      <c r="AZ407" t="s">
        <v>98</v>
      </c>
      <c r="BA407" t="s">
        <v>99</v>
      </c>
      <c r="BB407" t="s">
        <v>2755</v>
      </c>
      <c r="BC407" t="s">
        <v>1074</v>
      </c>
      <c r="BD407" t="s">
        <v>2756</v>
      </c>
      <c r="BE407">
        <v>2025</v>
      </c>
      <c r="BF407">
        <v>2025</v>
      </c>
    </row>
    <row r="408" spans="1:58">
      <c r="A408">
        <v>3227495</v>
      </c>
      <c r="B408">
        <v>353</v>
      </c>
      <c r="C408">
        <v>12</v>
      </c>
      <c r="D408">
        <v>14028698</v>
      </c>
      <c r="F408" t="s">
        <v>80</v>
      </c>
      <c r="G408" t="s">
        <v>81</v>
      </c>
      <c r="H408" t="s">
        <v>20</v>
      </c>
      <c r="I408" t="s">
        <v>20</v>
      </c>
      <c r="J408" t="s">
        <v>6</v>
      </c>
      <c r="K408" t="s">
        <v>83</v>
      </c>
      <c r="L408" s="3">
        <v>46029</v>
      </c>
      <c r="M408" t="s">
        <v>193</v>
      </c>
      <c r="N408">
        <v>25029668</v>
      </c>
      <c r="O408">
        <v>1</v>
      </c>
      <c r="P408" t="s">
        <v>2757</v>
      </c>
      <c r="Q408">
        <v>1</v>
      </c>
      <c r="R408">
        <v>655.14700000000005</v>
      </c>
      <c r="S408" s="3">
        <v>45665</v>
      </c>
      <c r="T408">
        <v>7</v>
      </c>
      <c r="U408">
        <v>7</v>
      </c>
      <c r="V408">
        <v>36</v>
      </c>
      <c r="W408" t="s">
        <v>1425</v>
      </c>
      <c r="X408" t="s">
        <v>87</v>
      </c>
      <c r="Y408">
        <v>1051253</v>
      </c>
      <c r="Z408">
        <v>0</v>
      </c>
      <c r="AA408" t="s">
        <v>98</v>
      </c>
      <c r="AB408" t="s">
        <v>2758</v>
      </c>
      <c r="AC408">
        <v>8913017</v>
      </c>
      <c r="AD408" t="s">
        <v>2751</v>
      </c>
      <c r="AH408" t="s">
        <v>1428</v>
      </c>
      <c r="AI408">
        <v>933965207</v>
      </c>
      <c r="AL408" t="s">
        <v>2759</v>
      </c>
      <c r="AO408" t="s">
        <v>2760</v>
      </c>
      <c r="AP408" t="s">
        <v>608</v>
      </c>
      <c r="AQ408" t="s">
        <v>92</v>
      </c>
      <c r="AR408" t="s">
        <v>2761</v>
      </c>
      <c r="AS408" t="s">
        <v>162</v>
      </c>
      <c r="AT408" t="s">
        <v>122</v>
      </c>
      <c r="AU408" t="s">
        <v>96</v>
      </c>
      <c r="AZ408" t="s">
        <v>111</v>
      </c>
      <c r="BA408" t="s">
        <v>99</v>
      </c>
      <c r="BB408" t="s">
        <v>2762</v>
      </c>
      <c r="BC408" t="s">
        <v>1074</v>
      </c>
      <c r="BD408" t="s">
        <v>1362</v>
      </c>
      <c r="BE408">
        <v>2025</v>
      </c>
      <c r="BF408">
        <v>2025</v>
      </c>
    </row>
    <row r="409" spans="1:58">
      <c r="A409">
        <v>3228711</v>
      </c>
      <c r="B409">
        <v>196</v>
      </c>
      <c r="C409">
        <v>7</v>
      </c>
      <c r="D409">
        <v>2750818</v>
      </c>
      <c r="F409" t="s">
        <v>80</v>
      </c>
      <c r="G409" t="s">
        <v>81</v>
      </c>
      <c r="H409" t="s">
        <v>13</v>
      </c>
      <c r="I409" t="s">
        <v>14</v>
      </c>
      <c r="J409" t="s">
        <v>6</v>
      </c>
      <c r="K409" t="s">
        <v>83</v>
      </c>
      <c r="L409" s="3">
        <v>46029</v>
      </c>
      <c r="M409" t="s">
        <v>193</v>
      </c>
      <c r="N409">
        <v>10062748</v>
      </c>
      <c r="O409">
        <v>5</v>
      </c>
      <c r="P409" t="s">
        <v>2763</v>
      </c>
      <c r="Q409">
        <v>1</v>
      </c>
      <c r="R409">
        <v>139.41499999999999</v>
      </c>
      <c r="S409" s="3">
        <v>46143</v>
      </c>
      <c r="T409">
        <v>12</v>
      </c>
      <c r="U409">
        <v>12</v>
      </c>
      <c r="V409">
        <v>36</v>
      </c>
      <c r="W409" t="s">
        <v>1391</v>
      </c>
      <c r="Y409">
        <v>90255</v>
      </c>
      <c r="Z409">
        <v>74074</v>
      </c>
      <c r="AA409" t="s">
        <v>98</v>
      </c>
      <c r="AB409" t="s">
        <v>2764</v>
      </c>
      <c r="AC409">
        <v>1140234</v>
      </c>
      <c r="AD409" t="s">
        <v>2296</v>
      </c>
      <c r="AH409" t="s">
        <v>1428</v>
      </c>
      <c r="AI409">
        <v>948446488</v>
      </c>
      <c r="AL409" t="s">
        <v>2765</v>
      </c>
      <c r="AO409" t="s">
        <v>2766</v>
      </c>
      <c r="AP409" t="s">
        <v>800</v>
      </c>
      <c r="AQ409" t="s">
        <v>801</v>
      </c>
      <c r="AR409" t="s">
        <v>2767</v>
      </c>
      <c r="AS409" t="s">
        <v>162</v>
      </c>
      <c r="AT409" t="s">
        <v>141</v>
      </c>
      <c r="AU409" t="s">
        <v>96</v>
      </c>
      <c r="AZ409" t="s">
        <v>98</v>
      </c>
      <c r="BA409" t="s">
        <v>99</v>
      </c>
      <c r="BC409" t="s">
        <v>769</v>
      </c>
      <c r="BD409" t="s">
        <v>2768</v>
      </c>
      <c r="BE409">
        <v>2015</v>
      </c>
      <c r="BF409">
        <v>2015</v>
      </c>
    </row>
    <row r="410" spans="1:58">
      <c r="A410">
        <v>3248956</v>
      </c>
      <c r="B410">
        <v>196</v>
      </c>
      <c r="C410">
        <v>7</v>
      </c>
      <c r="D410">
        <v>6371861</v>
      </c>
      <c r="F410" t="s">
        <v>80</v>
      </c>
      <c r="G410" t="s">
        <v>81</v>
      </c>
      <c r="H410" t="s">
        <v>13</v>
      </c>
      <c r="I410" t="s">
        <v>14</v>
      </c>
      <c r="J410" t="s">
        <v>6</v>
      </c>
      <c r="K410" t="s">
        <v>83</v>
      </c>
      <c r="L410" s="3">
        <v>46029</v>
      </c>
      <c r="M410" t="s">
        <v>193</v>
      </c>
      <c r="N410">
        <v>15744477</v>
      </c>
      <c r="O410">
        <v>8</v>
      </c>
      <c r="P410" t="s">
        <v>2769</v>
      </c>
      <c r="Q410">
        <v>1</v>
      </c>
      <c r="R410">
        <v>568.53300000000002</v>
      </c>
      <c r="S410" s="3">
        <v>46143</v>
      </c>
      <c r="T410">
        <v>11</v>
      </c>
      <c r="U410">
        <v>11</v>
      </c>
      <c r="V410">
        <v>24</v>
      </c>
      <c r="W410" t="s">
        <v>1425</v>
      </c>
      <c r="X410" t="s">
        <v>1532</v>
      </c>
      <c r="Y410">
        <v>310731</v>
      </c>
      <c r="Z410">
        <v>178397</v>
      </c>
      <c r="AA410" t="s">
        <v>98</v>
      </c>
      <c r="AB410" t="s">
        <v>2770</v>
      </c>
      <c r="AC410">
        <v>4468859</v>
      </c>
      <c r="AD410" t="s">
        <v>2581</v>
      </c>
      <c r="AH410" t="s">
        <v>1428</v>
      </c>
      <c r="AI410">
        <v>987467881</v>
      </c>
      <c r="AL410" t="s">
        <v>2771</v>
      </c>
      <c r="AO410" t="s">
        <v>2772</v>
      </c>
      <c r="AP410" t="s">
        <v>107</v>
      </c>
      <c r="AQ410" t="s">
        <v>92</v>
      </c>
      <c r="AR410" t="s">
        <v>2773</v>
      </c>
      <c r="AS410" t="s">
        <v>560</v>
      </c>
      <c r="AT410" t="s">
        <v>141</v>
      </c>
      <c r="AU410" t="s">
        <v>96</v>
      </c>
      <c r="AV410" t="s">
        <v>1478</v>
      </c>
      <c r="AZ410" t="s">
        <v>98</v>
      </c>
      <c r="BA410" t="s">
        <v>99</v>
      </c>
      <c r="BB410" t="s">
        <v>2774</v>
      </c>
      <c r="BC410" t="s">
        <v>421</v>
      </c>
      <c r="BD410" t="s">
        <v>2775</v>
      </c>
      <c r="BE410">
        <v>2025</v>
      </c>
      <c r="BF410">
        <v>2025</v>
      </c>
    </row>
    <row r="411" spans="1:58">
      <c r="A411">
        <v>3251019</v>
      </c>
      <c r="B411">
        <v>71</v>
      </c>
      <c r="C411">
        <v>3</v>
      </c>
      <c r="D411">
        <v>9744091</v>
      </c>
      <c r="F411" t="s">
        <v>80</v>
      </c>
      <c r="G411" t="s">
        <v>81</v>
      </c>
      <c r="H411" t="s">
        <v>22</v>
      </c>
      <c r="I411" t="s">
        <v>22</v>
      </c>
      <c r="J411" t="s">
        <v>6</v>
      </c>
      <c r="K411" t="s">
        <v>83</v>
      </c>
      <c r="L411" s="3">
        <v>46029</v>
      </c>
      <c r="M411" t="s">
        <v>193</v>
      </c>
      <c r="N411">
        <v>25890131</v>
      </c>
      <c r="O411">
        <v>2</v>
      </c>
      <c r="P411" t="s">
        <v>2776</v>
      </c>
      <c r="Q411">
        <v>1</v>
      </c>
      <c r="R411">
        <v>373.22</v>
      </c>
      <c r="S411" s="3">
        <v>46300</v>
      </c>
      <c r="T411">
        <v>15</v>
      </c>
      <c r="U411">
        <v>14</v>
      </c>
      <c r="V411">
        <v>48</v>
      </c>
      <c r="W411" t="s">
        <v>1391</v>
      </c>
      <c r="Y411">
        <v>33859</v>
      </c>
      <c r="Z411">
        <v>0</v>
      </c>
      <c r="AA411" t="s">
        <v>98</v>
      </c>
      <c r="AB411" t="s">
        <v>2770</v>
      </c>
      <c r="AC411">
        <v>1153519</v>
      </c>
      <c r="AD411" t="s">
        <v>1983</v>
      </c>
      <c r="AH411" t="s">
        <v>1789</v>
      </c>
      <c r="AI411">
        <v>978372199</v>
      </c>
      <c r="AL411" t="s">
        <v>2777</v>
      </c>
      <c r="AO411" t="s">
        <v>2778</v>
      </c>
      <c r="AP411" t="s">
        <v>800</v>
      </c>
      <c r="AQ411" t="s">
        <v>801</v>
      </c>
      <c r="AR411" t="s">
        <v>1665</v>
      </c>
      <c r="AS411" t="s">
        <v>140</v>
      </c>
      <c r="AT411" t="s">
        <v>74</v>
      </c>
      <c r="AU411" t="s">
        <v>96</v>
      </c>
      <c r="AZ411" t="s">
        <v>111</v>
      </c>
      <c r="BA411" t="s">
        <v>99</v>
      </c>
      <c r="BC411" t="s">
        <v>982</v>
      </c>
      <c r="BD411" t="s">
        <v>2779</v>
      </c>
      <c r="BE411">
        <v>2024</v>
      </c>
      <c r="BF411">
        <v>2024</v>
      </c>
    </row>
    <row r="412" spans="1:58">
      <c r="A412">
        <v>3251456</v>
      </c>
      <c r="B412">
        <v>0</v>
      </c>
      <c r="D412">
        <v>7291990</v>
      </c>
      <c r="F412" t="s">
        <v>80</v>
      </c>
      <c r="G412" t="s">
        <v>81</v>
      </c>
      <c r="H412" t="s">
        <v>20</v>
      </c>
      <c r="I412" t="s">
        <v>21</v>
      </c>
      <c r="J412" t="s">
        <v>6</v>
      </c>
      <c r="K412" t="s">
        <v>83</v>
      </c>
      <c r="L412" s="3">
        <v>46029</v>
      </c>
      <c r="M412" t="s">
        <v>193</v>
      </c>
      <c r="N412">
        <v>15633225</v>
      </c>
      <c r="O412">
        <v>9</v>
      </c>
      <c r="P412" t="s">
        <v>2780</v>
      </c>
      <c r="Q412">
        <v>1</v>
      </c>
      <c r="R412">
        <v>223.29499999999999</v>
      </c>
      <c r="U412">
        <v>5</v>
      </c>
      <c r="W412" t="s">
        <v>1391</v>
      </c>
      <c r="Y412">
        <v>0</v>
      </c>
      <c r="Z412">
        <v>0</v>
      </c>
      <c r="AA412" t="s">
        <v>98</v>
      </c>
      <c r="AB412" t="s">
        <v>2781</v>
      </c>
      <c r="AC412">
        <v>0</v>
      </c>
      <c r="AD412" t="s">
        <v>2296</v>
      </c>
      <c r="AH412" t="s">
        <v>5</v>
      </c>
      <c r="AI412">
        <v>950020184</v>
      </c>
      <c r="AL412" t="s">
        <v>2782</v>
      </c>
      <c r="AO412" t="s">
        <v>2783</v>
      </c>
      <c r="AP412" t="s">
        <v>593</v>
      </c>
      <c r="AQ412" t="s">
        <v>215</v>
      </c>
      <c r="AR412" t="s">
        <v>2784</v>
      </c>
      <c r="AS412" t="s">
        <v>293</v>
      </c>
      <c r="AT412" t="s">
        <v>141</v>
      </c>
      <c r="AU412" t="s">
        <v>96</v>
      </c>
      <c r="AZ412" t="s">
        <v>98</v>
      </c>
      <c r="BA412" t="s">
        <v>99</v>
      </c>
      <c r="BC412" t="s">
        <v>1045</v>
      </c>
      <c r="BD412" t="s">
        <v>2785</v>
      </c>
      <c r="BE412">
        <v>2021</v>
      </c>
      <c r="BF412">
        <v>2021</v>
      </c>
    </row>
    <row r="413" spans="1:58">
      <c r="A413">
        <v>3253109</v>
      </c>
      <c r="B413">
        <v>196</v>
      </c>
      <c r="C413">
        <v>7</v>
      </c>
      <c r="D413">
        <v>10350477</v>
      </c>
      <c r="F413" t="s">
        <v>80</v>
      </c>
      <c r="G413" t="s">
        <v>81</v>
      </c>
      <c r="H413" t="s">
        <v>13</v>
      </c>
      <c r="I413" t="s">
        <v>14</v>
      </c>
      <c r="J413" t="s">
        <v>6</v>
      </c>
      <c r="K413" t="s">
        <v>83</v>
      </c>
      <c r="L413" s="3">
        <v>46029</v>
      </c>
      <c r="M413" t="s">
        <v>193</v>
      </c>
      <c r="N413">
        <v>14242600</v>
      </c>
      <c r="O413">
        <v>5</v>
      </c>
      <c r="P413" t="s">
        <v>2786</v>
      </c>
      <c r="Q413">
        <v>1</v>
      </c>
      <c r="R413">
        <v>397.005</v>
      </c>
      <c r="S413" s="3">
        <v>46143</v>
      </c>
      <c r="T413">
        <v>12</v>
      </c>
      <c r="U413">
        <v>12</v>
      </c>
      <c r="V413">
        <v>48</v>
      </c>
      <c r="W413" t="s">
        <v>1465</v>
      </c>
      <c r="X413" t="s">
        <v>1449</v>
      </c>
      <c r="Y413">
        <v>212533</v>
      </c>
      <c r="Z413">
        <v>52240</v>
      </c>
      <c r="AA413" t="s">
        <v>98</v>
      </c>
      <c r="AB413" s="3">
        <v>45638</v>
      </c>
      <c r="AC413">
        <v>3043808</v>
      </c>
      <c r="AD413" t="s">
        <v>2787</v>
      </c>
      <c r="AH413" t="s">
        <v>1428</v>
      </c>
      <c r="AI413">
        <v>963939653</v>
      </c>
      <c r="AL413" t="s">
        <v>2788</v>
      </c>
      <c r="AO413" t="s">
        <v>2789</v>
      </c>
      <c r="AP413" t="s">
        <v>800</v>
      </c>
      <c r="AQ413" t="s">
        <v>801</v>
      </c>
      <c r="AR413" t="s">
        <v>2790</v>
      </c>
      <c r="AS413" t="s">
        <v>189</v>
      </c>
      <c r="AT413" t="s">
        <v>141</v>
      </c>
      <c r="AU413" t="s">
        <v>96</v>
      </c>
      <c r="AV413" t="s">
        <v>1478</v>
      </c>
      <c r="AZ413" t="s">
        <v>98</v>
      </c>
      <c r="BA413" t="s">
        <v>99</v>
      </c>
      <c r="BC413" t="s">
        <v>348</v>
      </c>
      <c r="BD413" t="s">
        <v>2791</v>
      </c>
      <c r="BE413">
        <v>2020</v>
      </c>
      <c r="BF413">
        <v>2020</v>
      </c>
    </row>
    <row r="414" spans="1:58">
      <c r="A414">
        <v>3256612</v>
      </c>
      <c r="B414">
        <v>0</v>
      </c>
      <c r="D414">
        <v>8114217</v>
      </c>
      <c r="F414" t="s">
        <v>80</v>
      </c>
      <c r="G414" t="s">
        <v>81</v>
      </c>
      <c r="H414" t="s">
        <v>20</v>
      </c>
      <c r="I414" t="s">
        <v>21</v>
      </c>
      <c r="J414" t="s">
        <v>6</v>
      </c>
      <c r="K414" t="s">
        <v>83</v>
      </c>
      <c r="L414" s="3">
        <v>46029</v>
      </c>
      <c r="M414" t="s">
        <v>193</v>
      </c>
      <c r="N414">
        <v>76687174</v>
      </c>
      <c r="O414">
        <v>7</v>
      </c>
      <c r="P414" t="s">
        <v>2792</v>
      </c>
      <c r="Q414">
        <v>0</v>
      </c>
      <c r="R414">
        <v>373.89600000000002</v>
      </c>
      <c r="U414">
        <v>5</v>
      </c>
      <c r="W414" t="s">
        <v>1391</v>
      </c>
      <c r="Y414">
        <v>0</v>
      </c>
      <c r="Z414">
        <v>0</v>
      </c>
      <c r="AA414" t="s">
        <v>98</v>
      </c>
      <c r="AB414" t="s">
        <v>2793</v>
      </c>
      <c r="AC414">
        <v>0</v>
      </c>
      <c r="AD414" t="s">
        <v>2296</v>
      </c>
      <c r="AH414" t="s">
        <v>5</v>
      </c>
      <c r="AI414">
        <v>930229869</v>
      </c>
      <c r="AL414" t="s">
        <v>2794</v>
      </c>
      <c r="AO414" t="s">
        <v>2795</v>
      </c>
      <c r="AP414" t="s">
        <v>177</v>
      </c>
      <c r="AQ414" t="s">
        <v>178</v>
      </c>
      <c r="AR414" t="s">
        <v>2796</v>
      </c>
      <c r="AS414" t="s">
        <v>767</v>
      </c>
      <c r="AT414" t="s">
        <v>141</v>
      </c>
      <c r="AU414" t="s">
        <v>96</v>
      </c>
      <c r="AV414" t="s">
        <v>1478</v>
      </c>
      <c r="AZ414" t="s">
        <v>98</v>
      </c>
      <c r="BA414" t="s">
        <v>99</v>
      </c>
      <c r="BC414" t="s">
        <v>804</v>
      </c>
      <c r="BD414" t="s">
        <v>2797</v>
      </c>
      <c r="BE414">
        <v>2022</v>
      </c>
      <c r="BF414">
        <v>2022</v>
      </c>
    </row>
    <row r="415" spans="1:58">
      <c r="A415">
        <v>3260998</v>
      </c>
      <c r="B415">
        <v>139</v>
      </c>
      <c r="C415">
        <v>5</v>
      </c>
      <c r="D415">
        <v>8868841</v>
      </c>
      <c r="F415" t="s">
        <v>80</v>
      </c>
      <c r="G415" t="s">
        <v>81</v>
      </c>
      <c r="H415" t="s">
        <v>23</v>
      </c>
      <c r="I415" t="s">
        <v>12</v>
      </c>
      <c r="J415" t="s">
        <v>6</v>
      </c>
      <c r="K415" t="s">
        <v>83</v>
      </c>
      <c r="L415" s="3">
        <v>46302</v>
      </c>
      <c r="M415" t="s">
        <v>1559</v>
      </c>
      <c r="N415">
        <v>11226583</v>
      </c>
      <c r="O415" t="s">
        <v>266</v>
      </c>
      <c r="P415" t="s">
        <v>2798</v>
      </c>
      <c r="Q415">
        <v>1</v>
      </c>
      <c r="R415">
        <v>363.73700000000002</v>
      </c>
      <c r="S415" s="3">
        <v>46084</v>
      </c>
      <c r="T415">
        <v>13</v>
      </c>
      <c r="U415">
        <v>13</v>
      </c>
      <c r="V415">
        <v>48</v>
      </c>
      <c r="W415" t="s">
        <v>1425</v>
      </c>
      <c r="X415" t="s">
        <v>1532</v>
      </c>
      <c r="Y415">
        <v>101201</v>
      </c>
      <c r="Z415">
        <v>118465</v>
      </c>
      <c r="AA415" t="s">
        <v>98</v>
      </c>
      <c r="AB415" t="s">
        <v>2799</v>
      </c>
      <c r="AC415">
        <v>2038351</v>
      </c>
      <c r="AD415" t="s">
        <v>2800</v>
      </c>
      <c r="AH415" t="s">
        <v>1428</v>
      </c>
      <c r="AI415">
        <v>936786602</v>
      </c>
      <c r="AL415" t="s">
        <v>2801</v>
      </c>
      <c r="AO415" t="s">
        <v>2802</v>
      </c>
      <c r="AP415" t="s">
        <v>608</v>
      </c>
      <c r="AQ415" t="s">
        <v>92</v>
      </c>
      <c r="AT415" t="s">
        <v>95</v>
      </c>
      <c r="AU415" t="s">
        <v>1777</v>
      </c>
      <c r="AZ415" t="s">
        <v>98</v>
      </c>
      <c r="BA415" t="s">
        <v>99</v>
      </c>
      <c r="BB415" t="s">
        <v>2803</v>
      </c>
      <c r="BC415" t="s">
        <v>1074</v>
      </c>
      <c r="BD415" t="s">
        <v>2181</v>
      </c>
      <c r="BE415">
        <v>2025</v>
      </c>
      <c r="BF415">
        <v>2025</v>
      </c>
    </row>
    <row r="416" spans="1:58">
      <c r="A416">
        <v>3274975</v>
      </c>
      <c r="B416">
        <v>257</v>
      </c>
      <c r="C416">
        <v>9</v>
      </c>
      <c r="D416">
        <v>3383071</v>
      </c>
      <c r="F416" t="s">
        <v>80</v>
      </c>
      <c r="G416" t="s">
        <v>81</v>
      </c>
      <c r="H416" t="s">
        <v>15</v>
      </c>
      <c r="I416" t="s">
        <v>16</v>
      </c>
      <c r="J416" t="s">
        <v>6</v>
      </c>
      <c r="K416" t="s">
        <v>83</v>
      </c>
      <c r="L416" s="3">
        <v>46029</v>
      </c>
      <c r="M416" t="s">
        <v>193</v>
      </c>
      <c r="N416">
        <v>15603246</v>
      </c>
      <c r="O416">
        <v>8</v>
      </c>
      <c r="P416" t="s">
        <v>2804</v>
      </c>
      <c r="Q416">
        <v>1</v>
      </c>
      <c r="R416">
        <v>158.96899999999999</v>
      </c>
      <c r="S416" s="3">
        <v>45788</v>
      </c>
      <c r="T416">
        <v>8</v>
      </c>
      <c r="U416">
        <v>8</v>
      </c>
      <c r="V416">
        <v>36</v>
      </c>
      <c r="W416" t="s">
        <v>1448</v>
      </c>
      <c r="Y416">
        <v>171829</v>
      </c>
      <c r="Z416">
        <v>69704</v>
      </c>
      <c r="AA416" t="s">
        <v>98</v>
      </c>
      <c r="AB416" s="3">
        <v>45931</v>
      </c>
      <c r="AC416">
        <v>1672254</v>
      </c>
      <c r="AD416">
        <v>2</v>
      </c>
      <c r="AH416" t="s">
        <v>1428</v>
      </c>
      <c r="AI416">
        <v>928554840</v>
      </c>
      <c r="AL416" t="s">
        <v>2805</v>
      </c>
      <c r="AO416" t="s">
        <v>2806</v>
      </c>
      <c r="AP416" t="s">
        <v>1306</v>
      </c>
      <c r="AQ416" t="s">
        <v>92</v>
      </c>
      <c r="AR416" t="s">
        <v>2807</v>
      </c>
      <c r="AS416" t="s">
        <v>131</v>
      </c>
      <c r="AT416" t="s">
        <v>141</v>
      </c>
      <c r="AU416" t="s">
        <v>96</v>
      </c>
      <c r="AZ416" t="s">
        <v>98</v>
      </c>
      <c r="BA416" t="s">
        <v>99</v>
      </c>
      <c r="BC416" t="s">
        <v>278</v>
      </c>
      <c r="BD416" t="s">
        <v>2808</v>
      </c>
      <c r="BE416">
        <v>0</v>
      </c>
      <c r="BF416">
        <v>0</v>
      </c>
    </row>
    <row r="417" spans="1:58">
      <c r="A417">
        <v>3277070</v>
      </c>
      <c r="B417">
        <v>87</v>
      </c>
      <c r="C417">
        <v>3</v>
      </c>
      <c r="D417">
        <v>6778589</v>
      </c>
      <c r="F417" t="s">
        <v>80</v>
      </c>
      <c r="G417" t="s">
        <v>81</v>
      </c>
      <c r="H417" t="s">
        <v>22</v>
      </c>
      <c r="I417" t="s">
        <v>22</v>
      </c>
      <c r="J417" t="s">
        <v>6</v>
      </c>
      <c r="K417" t="s">
        <v>83</v>
      </c>
      <c r="L417" s="3">
        <v>46029</v>
      </c>
      <c r="M417" t="s">
        <v>193</v>
      </c>
      <c r="N417">
        <v>13662389</v>
      </c>
      <c r="O417">
        <v>3</v>
      </c>
      <c r="P417" t="s">
        <v>2809</v>
      </c>
      <c r="Q417">
        <v>1</v>
      </c>
      <c r="R417">
        <v>235.32300000000001</v>
      </c>
      <c r="S417" t="s">
        <v>2810</v>
      </c>
      <c r="T417">
        <v>14</v>
      </c>
      <c r="U417">
        <v>14</v>
      </c>
      <c r="V417">
        <v>60</v>
      </c>
      <c r="W417" t="s">
        <v>1425</v>
      </c>
      <c r="X417" t="s">
        <v>87</v>
      </c>
      <c r="Y417">
        <v>35689</v>
      </c>
      <c r="Z417">
        <v>0</v>
      </c>
      <c r="AA417" t="s">
        <v>98</v>
      </c>
      <c r="AB417" t="s">
        <v>2811</v>
      </c>
      <c r="AC417">
        <v>741658</v>
      </c>
      <c r="AD417" t="s">
        <v>2581</v>
      </c>
      <c r="AH417" t="s">
        <v>1428</v>
      </c>
      <c r="AI417">
        <v>948553764</v>
      </c>
      <c r="AL417" t="s">
        <v>2812</v>
      </c>
      <c r="AO417" t="s">
        <v>2813</v>
      </c>
      <c r="AP417" t="s">
        <v>915</v>
      </c>
      <c r="AQ417" t="s">
        <v>92</v>
      </c>
      <c r="AR417" t="s">
        <v>2814</v>
      </c>
      <c r="AS417" t="s">
        <v>752</v>
      </c>
      <c r="AT417" t="s">
        <v>122</v>
      </c>
      <c r="AU417" t="s">
        <v>96</v>
      </c>
      <c r="AZ417" t="s">
        <v>111</v>
      </c>
      <c r="BA417" t="s">
        <v>99</v>
      </c>
      <c r="BB417" t="s">
        <v>2815</v>
      </c>
      <c r="BC417" t="s">
        <v>421</v>
      </c>
      <c r="BD417" t="s">
        <v>2816</v>
      </c>
      <c r="BE417">
        <v>2025</v>
      </c>
      <c r="BF417">
        <v>2025</v>
      </c>
    </row>
    <row r="418" spans="1:58">
      <c r="A418">
        <v>3288242</v>
      </c>
      <c r="B418">
        <v>53</v>
      </c>
      <c r="C418">
        <v>2</v>
      </c>
      <c r="D418">
        <v>13963215</v>
      </c>
      <c r="F418" t="s">
        <v>80</v>
      </c>
      <c r="G418" t="s">
        <v>81</v>
      </c>
      <c r="H418" t="s">
        <v>19</v>
      </c>
      <c r="I418" t="s">
        <v>19</v>
      </c>
      <c r="J418" t="s">
        <v>6</v>
      </c>
      <c r="K418" t="s">
        <v>83</v>
      </c>
      <c r="L418" s="3">
        <v>46029</v>
      </c>
      <c r="M418" t="s">
        <v>193</v>
      </c>
      <c r="N418">
        <v>76839537</v>
      </c>
      <c r="O418">
        <v>3</v>
      </c>
      <c r="P418" t="s">
        <v>2817</v>
      </c>
      <c r="Q418">
        <v>0</v>
      </c>
      <c r="R418">
        <v>481.75700000000001</v>
      </c>
      <c r="S418" t="s">
        <v>2818</v>
      </c>
      <c r="T418">
        <v>15</v>
      </c>
      <c r="U418">
        <v>15</v>
      </c>
      <c r="V418">
        <v>60</v>
      </c>
      <c r="W418" t="s">
        <v>1391</v>
      </c>
      <c r="Y418">
        <v>27944</v>
      </c>
      <c r="Z418">
        <v>9721</v>
      </c>
      <c r="AA418" t="s">
        <v>98</v>
      </c>
      <c r="AB418" t="s">
        <v>2819</v>
      </c>
      <c r="AC418">
        <v>1001179</v>
      </c>
      <c r="AD418" t="s">
        <v>1752</v>
      </c>
      <c r="AG418" t="s">
        <v>1523</v>
      </c>
      <c r="AH418" t="s">
        <v>1428</v>
      </c>
      <c r="AI418">
        <v>971999432</v>
      </c>
      <c r="AL418" t="s">
        <v>2820</v>
      </c>
      <c r="AO418" t="s">
        <v>2821</v>
      </c>
      <c r="AP418" t="s">
        <v>855</v>
      </c>
      <c r="AQ418" t="s">
        <v>856</v>
      </c>
      <c r="AR418" t="s">
        <v>2822</v>
      </c>
      <c r="AS418" t="s">
        <v>367</v>
      </c>
      <c r="AT418" t="s">
        <v>141</v>
      </c>
      <c r="AU418" t="s">
        <v>96</v>
      </c>
      <c r="AZ418" t="s">
        <v>98</v>
      </c>
      <c r="BA418" t="s">
        <v>99</v>
      </c>
      <c r="BC418" t="s">
        <v>278</v>
      </c>
      <c r="BD418" t="s">
        <v>2823</v>
      </c>
      <c r="BE418">
        <v>2023</v>
      </c>
      <c r="BF418">
        <v>2023</v>
      </c>
    </row>
    <row r="419" spans="1:58">
      <c r="A419">
        <v>3290027</v>
      </c>
      <c r="B419">
        <v>349</v>
      </c>
      <c r="C419">
        <v>12</v>
      </c>
      <c r="D419">
        <v>5151920</v>
      </c>
      <c r="F419" t="s">
        <v>80</v>
      </c>
      <c r="G419" t="s">
        <v>81</v>
      </c>
      <c r="H419" t="s">
        <v>18</v>
      </c>
      <c r="I419" t="s">
        <v>20</v>
      </c>
      <c r="J419" t="s">
        <v>6</v>
      </c>
      <c r="K419" t="s">
        <v>83</v>
      </c>
      <c r="L419" s="3">
        <v>46029</v>
      </c>
      <c r="M419" t="s">
        <v>193</v>
      </c>
      <c r="N419">
        <v>19332731</v>
      </c>
      <c r="O419">
        <v>1</v>
      </c>
      <c r="P419" t="s">
        <v>2824</v>
      </c>
      <c r="Q419">
        <v>1</v>
      </c>
      <c r="R419">
        <v>316.30399999999997</v>
      </c>
      <c r="S419" s="3">
        <v>45785</v>
      </c>
      <c r="T419">
        <v>5</v>
      </c>
      <c r="U419">
        <v>5</v>
      </c>
      <c r="V419">
        <v>24</v>
      </c>
      <c r="W419" t="s">
        <v>1448</v>
      </c>
      <c r="Y419">
        <v>599830</v>
      </c>
      <c r="Z419">
        <v>9721</v>
      </c>
      <c r="AA419" t="s">
        <v>98</v>
      </c>
      <c r="AB419" t="s">
        <v>2825</v>
      </c>
      <c r="AC419">
        <v>4405199</v>
      </c>
      <c r="AD419" t="s">
        <v>1983</v>
      </c>
      <c r="AH419" t="s">
        <v>1428</v>
      </c>
      <c r="AI419">
        <v>954177384</v>
      </c>
      <c r="AL419" t="s">
        <v>2826</v>
      </c>
      <c r="AO419" t="s">
        <v>2827</v>
      </c>
      <c r="AP419" t="s">
        <v>2828</v>
      </c>
      <c r="AQ419" t="s">
        <v>188</v>
      </c>
      <c r="AR419" t="s">
        <v>2829</v>
      </c>
      <c r="AS419" t="s">
        <v>339</v>
      </c>
      <c r="AT419" t="s">
        <v>141</v>
      </c>
      <c r="AU419" t="s">
        <v>96</v>
      </c>
      <c r="AV419" t="s">
        <v>1478</v>
      </c>
      <c r="AZ419" t="s">
        <v>98</v>
      </c>
      <c r="BA419" t="s">
        <v>99</v>
      </c>
      <c r="BC419" t="s">
        <v>287</v>
      </c>
      <c r="BD419" t="s">
        <v>2830</v>
      </c>
      <c r="BE419">
        <v>0</v>
      </c>
      <c r="BF419">
        <v>0</v>
      </c>
    </row>
    <row r="420" spans="1:58">
      <c r="A420">
        <v>3291352</v>
      </c>
      <c r="B420">
        <v>53</v>
      </c>
      <c r="C420">
        <v>2</v>
      </c>
      <c r="D420">
        <v>4680147</v>
      </c>
      <c r="F420" t="s">
        <v>80</v>
      </c>
      <c r="G420" t="s">
        <v>81</v>
      </c>
      <c r="H420" t="s">
        <v>13</v>
      </c>
      <c r="I420" t="s">
        <v>19</v>
      </c>
      <c r="J420" t="s">
        <v>6</v>
      </c>
      <c r="K420" t="s">
        <v>83</v>
      </c>
      <c r="L420" s="3">
        <v>46029</v>
      </c>
      <c r="M420" t="s">
        <v>193</v>
      </c>
      <c r="N420">
        <v>11378450</v>
      </c>
      <c r="O420">
        <v>4</v>
      </c>
      <c r="P420" t="s">
        <v>2831</v>
      </c>
      <c r="Q420">
        <v>1</v>
      </c>
      <c r="R420">
        <v>147.577</v>
      </c>
      <c r="S420" t="s">
        <v>2818</v>
      </c>
      <c r="T420">
        <v>15</v>
      </c>
      <c r="U420">
        <v>11</v>
      </c>
      <c r="V420">
        <v>56</v>
      </c>
      <c r="W420" t="s">
        <v>1391</v>
      </c>
      <c r="Y420">
        <v>10125</v>
      </c>
      <c r="Z420">
        <v>25527</v>
      </c>
      <c r="AA420" t="s">
        <v>98</v>
      </c>
      <c r="AB420" t="s">
        <v>2832</v>
      </c>
      <c r="AC420">
        <v>330806</v>
      </c>
      <c r="AD420" t="s">
        <v>2296</v>
      </c>
      <c r="AH420" t="s">
        <v>1789</v>
      </c>
      <c r="AI420">
        <v>997506829</v>
      </c>
      <c r="AL420" t="s">
        <v>2833</v>
      </c>
      <c r="AO420" t="s">
        <v>2834</v>
      </c>
      <c r="AP420" t="s">
        <v>433</v>
      </c>
      <c r="AQ420" t="s">
        <v>434</v>
      </c>
      <c r="AR420" t="s">
        <v>2835</v>
      </c>
      <c r="AS420" t="s">
        <v>271</v>
      </c>
      <c r="AT420" t="s">
        <v>141</v>
      </c>
      <c r="AU420" t="s">
        <v>96</v>
      </c>
      <c r="AZ420" t="s">
        <v>98</v>
      </c>
      <c r="BA420" t="s">
        <v>99</v>
      </c>
      <c r="BC420" t="s">
        <v>182</v>
      </c>
      <c r="BD420" t="s">
        <v>2836</v>
      </c>
      <c r="BE420">
        <v>2021</v>
      </c>
      <c r="BF420">
        <v>2021</v>
      </c>
    </row>
    <row r="421" spans="1:58">
      <c r="A421">
        <v>3300453</v>
      </c>
      <c r="B421">
        <v>349</v>
      </c>
      <c r="C421">
        <v>12</v>
      </c>
      <c r="D421">
        <v>7686140</v>
      </c>
      <c r="F421" t="s">
        <v>80</v>
      </c>
      <c r="G421" t="s">
        <v>81</v>
      </c>
      <c r="H421" t="s">
        <v>18</v>
      </c>
      <c r="I421" t="s">
        <v>20</v>
      </c>
      <c r="J421" t="s">
        <v>6</v>
      </c>
      <c r="K421" t="s">
        <v>83</v>
      </c>
      <c r="L421" s="3">
        <v>46029</v>
      </c>
      <c r="M421" t="s">
        <v>193</v>
      </c>
      <c r="N421">
        <v>20673684</v>
      </c>
      <c r="O421">
        <v>4</v>
      </c>
      <c r="P421" t="s">
        <v>2837</v>
      </c>
      <c r="Q421">
        <v>1</v>
      </c>
      <c r="R421">
        <v>208.072</v>
      </c>
      <c r="S421" s="3">
        <v>45785</v>
      </c>
      <c r="T421">
        <v>5</v>
      </c>
      <c r="U421">
        <v>5</v>
      </c>
      <c r="V421">
        <v>49</v>
      </c>
      <c r="W421" t="s">
        <v>1448</v>
      </c>
      <c r="Y421">
        <v>399653</v>
      </c>
      <c r="Z421">
        <v>9721</v>
      </c>
      <c r="AA421" t="s">
        <v>98</v>
      </c>
      <c r="AB421" t="s">
        <v>2838</v>
      </c>
      <c r="AC421">
        <v>2906238</v>
      </c>
      <c r="AD421" t="s">
        <v>1977</v>
      </c>
      <c r="AH421" t="s">
        <v>1428</v>
      </c>
      <c r="AI421">
        <v>954189716</v>
      </c>
      <c r="AO421" t="s">
        <v>2839</v>
      </c>
      <c r="AP421" t="s">
        <v>1306</v>
      </c>
      <c r="AQ421" t="s">
        <v>92</v>
      </c>
      <c r="AR421" t="s">
        <v>2840</v>
      </c>
      <c r="AS421" t="s">
        <v>455</v>
      </c>
      <c r="AT421" t="s">
        <v>141</v>
      </c>
      <c r="AU421" t="s">
        <v>96</v>
      </c>
      <c r="AV421" t="s">
        <v>1478</v>
      </c>
      <c r="AZ421" t="s">
        <v>98</v>
      </c>
      <c r="BA421" t="s">
        <v>99</v>
      </c>
      <c r="BC421" t="s">
        <v>278</v>
      </c>
      <c r="BD421" t="s">
        <v>2841</v>
      </c>
      <c r="BE421">
        <v>0</v>
      </c>
      <c r="BF421">
        <v>0</v>
      </c>
    </row>
    <row r="422" spans="1:58">
      <c r="A422">
        <v>3306478</v>
      </c>
      <c r="B422">
        <v>313</v>
      </c>
      <c r="C422">
        <v>11</v>
      </c>
      <c r="D422">
        <v>29850679</v>
      </c>
      <c r="F422" t="s">
        <v>80</v>
      </c>
      <c r="G422" t="s">
        <v>81</v>
      </c>
      <c r="H422" t="s">
        <v>17</v>
      </c>
      <c r="I422" t="s">
        <v>18</v>
      </c>
      <c r="J422" t="s">
        <v>6</v>
      </c>
      <c r="K422" t="s">
        <v>83</v>
      </c>
      <c r="L422" s="3">
        <v>46029</v>
      </c>
      <c r="M422" t="s">
        <v>193</v>
      </c>
      <c r="N422">
        <v>14698527</v>
      </c>
      <c r="O422">
        <v>0</v>
      </c>
      <c r="P422" t="s">
        <v>2842</v>
      </c>
      <c r="Q422">
        <v>1</v>
      </c>
      <c r="R422" t="s">
        <v>2843</v>
      </c>
      <c r="S422" s="3">
        <v>45939</v>
      </c>
      <c r="T422">
        <v>6</v>
      </c>
      <c r="U422">
        <v>6</v>
      </c>
      <c r="V422">
        <v>48</v>
      </c>
      <c r="W422" t="s">
        <v>1425</v>
      </c>
      <c r="X422" t="s">
        <v>87</v>
      </c>
      <c r="Y422">
        <v>1490829</v>
      </c>
      <c r="Z422">
        <v>0</v>
      </c>
      <c r="AA422" t="s">
        <v>98</v>
      </c>
      <c r="AB422" s="3">
        <v>45779</v>
      </c>
      <c r="AC422">
        <v>13679423</v>
      </c>
      <c r="AD422" t="s">
        <v>2844</v>
      </c>
      <c r="AH422" t="s">
        <v>1428</v>
      </c>
      <c r="AI422">
        <v>968186704</v>
      </c>
      <c r="AL422" t="s">
        <v>2845</v>
      </c>
      <c r="AO422" t="s">
        <v>2846</v>
      </c>
      <c r="AP422" t="s">
        <v>2847</v>
      </c>
      <c r="AQ422" t="s">
        <v>92</v>
      </c>
      <c r="AR422" t="s">
        <v>2552</v>
      </c>
      <c r="AS422" t="s">
        <v>271</v>
      </c>
      <c r="AT422" t="s">
        <v>122</v>
      </c>
      <c r="AU422" t="s">
        <v>96</v>
      </c>
      <c r="AZ422" t="s">
        <v>111</v>
      </c>
      <c r="BA422" t="s">
        <v>99</v>
      </c>
      <c r="BB422" t="s">
        <v>2848</v>
      </c>
      <c r="BC422" t="s">
        <v>2849</v>
      </c>
      <c r="BD422" t="s">
        <v>2850</v>
      </c>
      <c r="BE422">
        <v>2019</v>
      </c>
      <c r="BF422">
        <v>2019</v>
      </c>
    </row>
    <row r="423" spans="1:58">
      <c r="A423">
        <v>3306565</v>
      </c>
      <c r="B423">
        <v>283</v>
      </c>
      <c r="C423">
        <v>10</v>
      </c>
      <c r="D423">
        <v>12041150</v>
      </c>
      <c r="F423" t="s">
        <v>80</v>
      </c>
      <c r="G423" t="s">
        <v>81</v>
      </c>
      <c r="H423" t="s">
        <v>16</v>
      </c>
      <c r="I423" t="s">
        <v>17</v>
      </c>
      <c r="J423" t="s">
        <v>6</v>
      </c>
      <c r="K423" t="s">
        <v>83</v>
      </c>
      <c r="L423" s="3">
        <v>46029</v>
      </c>
      <c r="M423" t="s">
        <v>193</v>
      </c>
      <c r="N423">
        <v>16913977</v>
      </c>
      <c r="O423">
        <v>6</v>
      </c>
      <c r="P423" t="s">
        <v>2851</v>
      </c>
      <c r="Q423">
        <v>1</v>
      </c>
      <c r="R423">
        <v>559.35400000000004</v>
      </c>
      <c r="S423" s="3">
        <v>45940</v>
      </c>
      <c r="T423">
        <v>7</v>
      </c>
      <c r="U423">
        <v>7</v>
      </c>
      <c r="V423">
        <v>36</v>
      </c>
      <c r="W423" t="s">
        <v>1425</v>
      </c>
      <c r="X423" t="s">
        <v>87</v>
      </c>
      <c r="Y423">
        <v>620266</v>
      </c>
      <c r="Z423">
        <v>0</v>
      </c>
      <c r="AA423" t="s">
        <v>98</v>
      </c>
      <c r="AB423" s="3">
        <v>45779</v>
      </c>
      <c r="AC423">
        <v>6213806</v>
      </c>
      <c r="AD423" t="s">
        <v>2688</v>
      </c>
      <c r="AH423" t="s">
        <v>1428</v>
      </c>
      <c r="AI423">
        <v>936809607</v>
      </c>
      <c r="AL423" t="s">
        <v>2852</v>
      </c>
      <c r="AO423" t="s">
        <v>2853</v>
      </c>
      <c r="AP423" t="s">
        <v>620</v>
      </c>
      <c r="AQ423" t="s">
        <v>92</v>
      </c>
      <c r="AR423" t="s">
        <v>2854</v>
      </c>
      <c r="AS423" t="s">
        <v>151</v>
      </c>
      <c r="AT423" t="s">
        <v>122</v>
      </c>
      <c r="AU423" t="s">
        <v>96</v>
      </c>
      <c r="AZ423" t="s">
        <v>111</v>
      </c>
      <c r="BA423" t="s">
        <v>99</v>
      </c>
      <c r="BB423" t="s">
        <v>2855</v>
      </c>
      <c r="BC423" t="s">
        <v>775</v>
      </c>
      <c r="BD423" t="s">
        <v>2856</v>
      </c>
      <c r="BE423">
        <v>2018</v>
      </c>
      <c r="BF423">
        <v>2018</v>
      </c>
    </row>
    <row r="424" spans="1:58">
      <c r="A424">
        <v>3307443</v>
      </c>
      <c r="B424">
        <v>200</v>
      </c>
      <c r="C424">
        <v>7</v>
      </c>
      <c r="D424">
        <v>6808142</v>
      </c>
      <c r="F424" t="s">
        <v>80</v>
      </c>
      <c r="G424" t="s">
        <v>81</v>
      </c>
      <c r="H424" t="s">
        <v>13</v>
      </c>
      <c r="I424" t="s">
        <v>14</v>
      </c>
      <c r="J424" t="s">
        <v>6</v>
      </c>
      <c r="K424" t="s">
        <v>83</v>
      </c>
      <c r="L424" s="3">
        <v>46029</v>
      </c>
      <c r="M424" t="s">
        <v>193</v>
      </c>
      <c r="N424">
        <v>16922010</v>
      </c>
      <c r="O424">
        <v>7</v>
      </c>
      <c r="P424" t="s">
        <v>2857</v>
      </c>
      <c r="Q424">
        <v>1</v>
      </c>
      <c r="R424">
        <v>333.75299999999999</v>
      </c>
      <c r="S424" s="3">
        <v>46023</v>
      </c>
      <c r="T424">
        <v>9</v>
      </c>
      <c r="U424">
        <v>9</v>
      </c>
      <c r="V424">
        <v>34</v>
      </c>
      <c r="W424" t="s">
        <v>1391</v>
      </c>
      <c r="Y424">
        <v>194852</v>
      </c>
      <c r="Z424">
        <v>0</v>
      </c>
      <c r="AA424" t="s">
        <v>98</v>
      </c>
      <c r="AB424" s="3">
        <v>45779</v>
      </c>
      <c r="AC424">
        <v>2531123</v>
      </c>
      <c r="AD424" t="s">
        <v>2296</v>
      </c>
      <c r="AH424" t="s">
        <v>1428</v>
      </c>
      <c r="AI424">
        <v>978782784</v>
      </c>
      <c r="AJ424">
        <v>978782784</v>
      </c>
      <c r="AL424" t="s">
        <v>2858</v>
      </c>
      <c r="AO424" t="s">
        <v>2859</v>
      </c>
      <c r="AQ424" t="s">
        <v>765</v>
      </c>
      <c r="AR424" t="s">
        <v>2860</v>
      </c>
      <c r="AS424" t="s">
        <v>180</v>
      </c>
      <c r="AT424" t="s">
        <v>122</v>
      </c>
      <c r="AU424" t="s">
        <v>96</v>
      </c>
      <c r="AZ424" t="s">
        <v>111</v>
      </c>
      <c r="BA424" t="s">
        <v>99</v>
      </c>
      <c r="BC424" t="s">
        <v>133</v>
      </c>
      <c r="BD424" t="s">
        <v>2861</v>
      </c>
      <c r="BE424">
        <v>2022</v>
      </c>
      <c r="BF424">
        <v>2022</v>
      </c>
    </row>
    <row r="425" spans="1:58">
      <c r="A425">
        <v>3309254</v>
      </c>
      <c r="B425">
        <v>142</v>
      </c>
      <c r="C425">
        <v>5</v>
      </c>
      <c r="D425">
        <v>5731631</v>
      </c>
      <c r="F425" t="s">
        <v>80</v>
      </c>
      <c r="G425" t="s">
        <v>81</v>
      </c>
      <c r="H425" t="s">
        <v>12</v>
      </c>
      <c r="I425" t="s">
        <v>12</v>
      </c>
      <c r="J425" t="s">
        <v>6</v>
      </c>
      <c r="K425" t="s">
        <v>83</v>
      </c>
      <c r="L425" s="3">
        <v>46029</v>
      </c>
      <c r="M425" t="s">
        <v>193</v>
      </c>
      <c r="N425">
        <v>13677157</v>
      </c>
      <c r="O425">
        <v>4</v>
      </c>
      <c r="P425" t="s">
        <v>2862</v>
      </c>
      <c r="Q425">
        <v>1</v>
      </c>
      <c r="R425">
        <v>183.529</v>
      </c>
      <c r="S425" t="s">
        <v>1612</v>
      </c>
      <c r="T425">
        <v>11</v>
      </c>
      <c r="U425">
        <v>11</v>
      </c>
      <c r="V425">
        <v>55</v>
      </c>
      <c r="W425" t="s">
        <v>1391</v>
      </c>
      <c r="Y425">
        <v>67214</v>
      </c>
      <c r="Z425">
        <v>9721</v>
      </c>
      <c r="AA425" t="s">
        <v>98</v>
      </c>
      <c r="AB425" s="3">
        <v>45749</v>
      </c>
      <c r="AC425">
        <v>994580</v>
      </c>
      <c r="AD425" t="s">
        <v>2296</v>
      </c>
      <c r="AH425" t="s">
        <v>1428</v>
      </c>
      <c r="AI425">
        <v>989523009</v>
      </c>
      <c r="AL425" t="s">
        <v>2863</v>
      </c>
      <c r="AO425" t="s">
        <v>2864</v>
      </c>
      <c r="AP425" t="s">
        <v>1256</v>
      </c>
      <c r="AQ425" t="s">
        <v>92</v>
      </c>
      <c r="AR425" t="s">
        <v>877</v>
      </c>
      <c r="AS425" t="s">
        <v>346</v>
      </c>
      <c r="AT425" t="s">
        <v>141</v>
      </c>
      <c r="AU425" t="s">
        <v>96</v>
      </c>
      <c r="AV425" t="s">
        <v>1478</v>
      </c>
      <c r="AZ425" t="s">
        <v>98</v>
      </c>
      <c r="BA425" t="s">
        <v>99</v>
      </c>
      <c r="BC425" t="s">
        <v>182</v>
      </c>
      <c r="BD425" t="s">
        <v>1208</v>
      </c>
      <c r="BE425">
        <v>2021</v>
      </c>
      <c r="BF425">
        <v>2021</v>
      </c>
    </row>
    <row r="426" spans="1:58">
      <c r="A426">
        <v>3317826</v>
      </c>
      <c r="B426">
        <v>45</v>
      </c>
      <c r="C426">
        <v>2</v>
      </c>
      <c r="D426">
        <v>3747047</v>
      </c>
      <c r="F426" t="s">
        <v>80</v>
      </c>
      <c r="G426" t="s">
        <v>81</v>
      </c>
      <c r="H426" t="s">
        <v>19</v>
      </c>
      <c r="I426" t="s">
        <v>19</v>
      </c>
      <c r="J426" t="s">
        <v>6</v>
      </c>
      <c r="K426" t="s">
        <v>83</v>
      </c>
      <c r="L426" s="3">
        <v>46029</v>
      </c>
      <c r="M426" t="s">
        <v>193</v>
      </c>
      <c r="N426">
        <v>17806460</v>
      </c>
      <c r="O426">
        <v>6</v>
      </c>
      <c r="P426" t="s">
        <v>2865</v>
      </c>
      <c r="Q426">
        <v>1</v>
      </c>
      <c r="R426">
        <v>422.84100000000001</v>
      </c>
      <c r="S426" s="3">
        <v>46148</v>
      </c>
      <c r="T426">
        <v>15</v>
      </c>
      <c r="U426">
        <v>14</v>
      </c>
      <c r="V426">
        <v>24</v>
      </c>
      <c r="W426" t="s">
        <v>156</v>
      </c>
      <c r="X426" t="s">
        <v>1449</v>
      </c>
      <c r="Y426">
        <v>19748</v>
      </c>
      <c r="Z426">
        <v>0</v>
      </c>
      <c r="AA426" t="s">
        <v>98</v>
      </c>
      <c r="AB426" t="s">
        <v>2866</v>
      </c>
      <c r="AC426">
        <v>865430</v>
      </c>
      <c r="AD426" t="s">
        <v>2844</v>
      </c>
      <c r="AG426" t="s">
        <v>2220</v>
      </c>
      <c r="AH426" t="s">
        <v>1439</v>
      </c>
      <c r="AI426">
        <v>98603846</v>
      </c>
      <c r="AL426" t="s">
        <v>2867</v>
      </c>
      <c r="AO426" t="s">
        <v>2868</v>
      </c>
      <c r="AP426" t="s">
        <v>800</v>
      </c>
      <c r="AQ426" t="s">
        <v>801</v>
      </c>
      <c r="AR426" t="s">
        <v>1130</v>
      </c>
      <c r="AS426" t="s">
        <v>418</v>
      </c>
      <c r="AT426" t="s">
        <v>74</v>
      </c>
      <c r="AU426" t="s">
        <v>96</v>
      </c>
      <c r="AZ426" t="s">
        <v>111</v>
      </c>
      <c r="BA426" t="s">
        <v>99</v>
      </c>
      <c r="BC426" t="s">
        <v>164</v>
      </c>
      <c r="BD426" t="s">
        <v>2869</v>
      </c>
      <c r="BE426">
        <v>2022</v>
      </c>
      <c r="BF426">
        <v>2022</v>
      </c>
    </row>
    <row r="427" spans="1:58">
      <c r="A427">
        <v>3323737</v>
      </c>
      <c r="B427">
        <v>0</v>
      </c>
      <c r="D427">
        <v>7630382</v>
      </c>
      <c r="F427" t="s">
        <v>80</v>
      </c>
      <c r="G427" t="s">
        <v>81</v>
      </c>
      <c r="H427" t="s">
        <v>20</v>
      </c>
      <c r="I427" t="s">
        <v>21</v>
      </c>
      <c r="J427" t="s">
        <v>6</v>
      </c>
      <c r="K427" t="s">
        <v>83</v>
      </c>
      <c r="L427" s="3">
        <v>46029</v>
      </c>
      <c r="M427" t="s">
        <v>193</v>
      </c>
      <c r="N427">
        <v>19825824</v>
      </c>
      <c r="O427">
        <v>5</v>
      </c>
      <c r="P427" t="s">
        <v>2870</v>
      </c>
      <c r="Q427">
        <v>1</v>
      </c>
      <c r="R427">
        <v>240.125</v>
      </c>
      <c r="U427">
        <v>3</v>
      </c>
      <c r="W427" t="s">
        <v>1391</v>
      </c>
      <c r="Y427">
        <v>0</v>
      </c>
      <c r="Z427">
        <v>0</v>
      </c>
      <c r="AA427" t="s">
        <v>98</v>
      </c>
      <c r="AB427" t="s">
        <v>2871</v>
      </c>
      <c r="AC427">
        <v>0</v>
      </c>
      <c r="AD427" t="s">
        <v>2561</v>
      </c>
      <c r="AH427" t="s">
        <v>5</v>
      </c>
      <c r="AI427">
        <v>947854687</v>
      </c>
      <c r="AL427" t="s">
        <v>2872</v>
      </c>
      <c r="AO427" t="s">
        <v>2873</v>
      </c>
      <c r="AP427" t="s">
        <v>1681</v>
      </c>
      <c r="AQ427" t="s">
        <v>434</v>
      </c>
      <c r="AR427" t="s">
        <v>1383</v>
      </c>
      <c r="AS427" t="s">
        <v>388</v>
      </c>
      <c r="AT427" t="s">
        <v>122</v>
      </c>
      <c r="AU427" t="s">
        <v>96</v>
      </c>
      <c r="AZ427" t="s">
        <v>111</v>
      </c>
      <c r="BA427" t="s">
        <v>99</v>
      </c>
      <c r="BC427" t="s">
        <v>164</v>
      </c>
      <c r="BD427" t="s">
        <v>2874</v>
      </c>
      <c r="BE427">
        <v>2022</v>
      </c>
      <c r="BF427">
        <v>2022</v>
      </c>
    </row>
    <row r="428" spans="1:58">
      <c r="A428">
        <v>3334006</v>
      </c>
      <c r="B428">
        <v>231</v>
      </c>
      <c r="C428">
        <v>8</v>
      </c>
      <c r="D428">
        <v>15077508</v>
      </c>
      <c r="F428" t="s">
        <v>80</v>
      </c>
      <c r="G428" t="s">
        <v>81</v>
      </c>
      <c r="H428" t="s">
        <v>15</v>
      </c>
      <c r="I428" t="s">
        <v>15</v>
      </c>
      <c r="J428" t="s">
        <v>6</v>
      </c>
      <c r="K428" t="s">
        <v>83</v>
      </c>
      <c r="L428" s="3">
        <v>46029</v>
      </c>
      <c r="M428" t="s">
        <v>193</v>
      </c>
      <c r="N428">
        <v>15007851</v>
      </c>
      <c r="O428">
        <v>2</v>
      </c>
      <c r="P428" t="s">
        <v>2875</v>
      </c>
      <c r="Q428">
        <v>1</v>
      </c>
      <c r="R428">
        <v>444.93700000000001</v>
      </c>
      <c r="S428" s="3">
        <v>45669</v>
      </c>
      <c r="T428">
        <v>8</v>
      </c>
      <c r="U428">
        <v>8</v>
      </c>
      <c r="V428">
        <v>37</v>
      </c>
      <c r="W428" t="s">
        <v>1448</v>
      </c>
      <c r="Y428">
        <v>336782</v>
      </c>
      <c r="Z428">
        <v>0</v>
      </c>
      <c r="AA428" t="s">
        <v>98</v>
      </c>
      <c r="AB428" t="s">
        <v>2876</v>
      </c>
      <c r="AC428">
        <v>3896278</v>
      </c>
      <c r="AD428" t="s">
        <v>1983</v>
      </c>
      <c r="AH428" t="s">
        <v>1428</v>
      </c>
      <c r="AI428">
        <v>977170932</v>
      </c>
      <c r="AL428" t="s">
        <v>2877</v>
      </c>
      <c r="AO428" t="s">
        <v>2878</v>
      </c>
      <c r="AP428" t="s">
        <v>2879</v>
      </c>
      <c r="AQ428" t="s">
        <v>2092</v>
      </c>
      <c r="AR428" t="s">
        <v>2880</v>
      </c>
      <c r="AS428" t="s">
        <v>208</v>
      </c>
      <c r="AT428" t="s">
        <v>122</v>
      </c>
      <c r="AU428" t="s">
        <v>96</v>
      </c>
      <c r="AZ428" t="s">
        <v>111</v>
      </c>
      <c r="BA428" t="s">
        <v>99</v>
      </c>
      <c r="BC428" t="s">
        <v>182</v>
      </c>
      <c r="BD428" t="s">
        <v>2881</v>
      </c>
      <c r="BE428">
        <v>0</v>
      </c>
      <c r="BF428">
        <v>0</v>
      </c>
    </row>
    <row r="429" spans="1:58">
      <c r="A429">
        <v>3334027</v>
      </c>
      <c r="B429">
        <v>349</v>
      </c>
      <c r="C429">
        <v>12</v>
      </c>
      <c r="D429">
        <v>6962325</v>
      </c>
      <c r="F429" t="s">
        <v>80</v>
      </c>
      <c r="G429" t="s">
        <v>81</v>
      </c>
      <c r="H429" t="s">
        <v>18</v>
      </c>
      <c r="I429" t="s">
        <v>20</v>
      </c>
      <c r="J429" t="s">
        <v>6</v>
      </c>
      <c r="K429" t="s">
        <v>83</v>
      </c>
      <c r="L429" s="3">
        <v>46029</v>
      </c>
      <c r="M429" t="s">
        <v>193</v>
      </c>
      <c r="N429">
        <v>13709211</v>
      </c>
      <c r="O429">
        <v>5</v>
      </c>
      <c r="P429" t="s">
        <v>2882</v>
      </c>
      <c r="Q429">
        <v>1</v>
      </c>
      <c r="R429">
        <v>285.57600000000002</v>
      </c>
      <c r="S429" s="3">
        <v>45785</v>
      </c>
      <c r="T429">
        <v>4</v>
      </c>
      <c r="U429">
        <v>4</v>
      </c>
      <c r="V429">
        <v>36</v>
      </c>
      <c r="W429" t="s">
        <v>1448</v>
      </c>
      <c r="Y429">
        <v>556864</v>
      </c>
      <c r="Z429">
        <v>0</v>
      </c>
      <c r="AA429" t="s">
        <v>98</v>
      </c>
      <c r="AB429" t="s">
        <v>2883</v>
      </c>
      <c r="AC429">
        <v>3983776</v>
      </c>
      <c r="AD429" t="s">
        <v>1579</v>
      </c>
      <c r="AH429" t="s">
        <v>1428</v>
      </c>
      <c r="AI429">
        <v>987542361</v>
      </c>
      <c r="AO429" t="s">
        <v>2884</v>
      </c>
      <c r="AP429" t="s">
        <v>915</v>
      </c>
      <c r="AQ429" t="s">
        <v>92</v>
      </c>
      <c r="AR429" t="s">
        <v>2885</v>
      </c>
      <c r="AS429" t="s">
        <v>131</v>
      </c>
      <c r="AT429" t="s">
        <v>122</v>
      </c>
      <c r="AU429" t="s">
        <v>96</v>
      </c>
      <c r="AZ429" t="s">
        <v>111</v>
      </c>
      <c r="BA429" t="s">
        <v>99</v>
      </c>
      <c r="BC429" t="s">
        <v>2886</v>
      </c>
      <c r="BD429" t="s">
        <v>2887</v>
      </c>
      <c r="BE429">
        <v>0</v>
      </c>
      <c r="BF429">
        <v>0</v>
      </c>
    </row>
    <row r="430" spans="1:58">
      <c r="A430">
        <v>3334914</v>
      </c>
      <c r="B430">
        <v>165</v>
      </c>
      <c r="C430">
        <v>6</v>
      </c>
      <c r="D430">
        <v>10255953</v>
      </c>
      <c r="F430" t="s">
        <v>80</v>
      </c>
      <c r="G430" t="s">
        <v>81</v>
      </c>
      <c r="H430" t="s">
        <v>12</v>
      </c>
      <c r="I430" t="s">
        <v>13</v>
      </c>
      <c r="J430" t="s">
        <v>6</v>
      </c>
      <c r="K430" t="s">
        <v>83</v>
      </c>
      <c r="L430" s="3">
        <v>46029</v>
      </c>
      <c r="M430" t="s">
        <v>193</v>
      </c>
      <c r="N430">
        <v>9507551</v>
      </c>
      <c r="O430">
        <v>7</v>
      </c>
      <c r="P430" t="s">
        <v>2888</v>
      </c>
      <c r="Q430">
        <v>1</v>
      </c>
      <c r="R430">
        <v>367.18599999999998</v>
      </c>
      <c r="S430" s="3">
        <v>46144</v>
      </c>
      <c r="T430">
        <v>10</v>
      </c>
      <c r="U430">
        <v>10</v>
      </c>
      <c r="V430">
        <v>37</v>
      </c>
      <c r="W430" t="s">
        <v>1448</v>
      </c>
      <c r="X430" t="s">
        <v>1449</v>
      </c>
      <c r="Y430">
        <v>151800</v>
      </c>
      <c r="Z430">
        <v>129171</v>
      </c>
      <c r="AA430" t="s">
        <v>98</v>
      </c>
      <c r="AB430" s="3">
        <v>45963</v>
      </c>
      <c r="AC430">
        <v>2484087</v>
      </c>
      <c r="AD430" t="s">
        <v>2844</v>
      </c>
      <c r="AH430" t="s">
        <v>1428</v>
      </c>
      <c r="AI430">
        <v>982386492</v>
      </c>
      <c r="AO430" t="s">
        <v>2889</v>
      </c>
      <c r="AP430" t="s">
        <v>2890</v>
      </c>
      <c r="AQ430" t="s">
        <v>765</v>
      </c>
      <c r="AR430" t="s">
        <v>1755</v>
      </c>
      <c r="AS430" t="s">
        <v>236</v>
      </c>
      <c r="AT430" t="s">
        <v>141</v>
      </c>
      <c r="AU430" t="s">
        <v>96</v>
      </c>
      <c r="AZ430" t="s">
        <v>98</v>
      </c>
      <c r="BA430" t="s">
        <v>99</v>
      </c>
      <c r="BC430" t="s">
        <v>153</v>
      </c>
      <c r="BD430" t="s">
        <v>2686</v>
      </c>
      <c r="BE430">
        <v>0</v>
      </c>
      <c r="BF430">
        <v>0</v>
      </c>
    </row>
    <row r="431" spans="1:58">
      <c r="A431">
        <v>3337736</v>
      </c>
      <c r="B431">
        <v>349</v>
      </c>
      <c r="C431">
        <v>8</v>
      </c>
      <c r="D431">
        <v>7658735</v>
      </c>
      <c r="F431" t="s">
        <v>80</v>
      </c>
      <c r="G431" t="s">
        <v>81</v>
      </c>
      <c r="H431" t="s">
        <v>18</v>
      </c>
      <c r="I431" t="s">
        <v>20</v>
      </c>
      <c r="J431" t="s">
        <v>6</v>
      </c>
      <c r="K431" t="s">
        <v>83</v>
      </c>
      <c r="L431" s="3">
        <v>46029</v>
      </c>
      <c r="M431" t="s">
        <v>193</v>
      </c>
      <c r="N431">
        <v>13609667</v>
      </c>
      <c r="O431">
        <v>2</v>
      </c>
      <c r="P431" t="s">
        <v>2891</v>
      </c>
      <c r="Q431">
        <v>1</v>
      </c>
      <c r="R431" t="s">
        <v>2892</v>
      </c>
      <c r="S431" s="3">
        <v>45785</v>
      </c>
      <c r="T431">
        <v>4</v>
      </c>
      <c r="U431">
        <v>4</v>
      </c>
      <c r="V431">
        <v>12</v>
      </c>
      <c r="W431" t="s">
        <v>156</v>
      </c>
      <c r="X431" t="s">
        <v>1449</v>
      </c>
      <c r="Y431">
        <v>2228998</v>
      </c>
      <c r="Z431">
        <v>248120</v>
      </c>
      <c r="AA431" t="s">
        <v>98</v>
      </c>
      <c r="AB431" s="3">
        <v>45750</v>
      </c>
      <c r="AC431">
        <v>10931422</v>
      </c>
      <c r="AD431" t="s">
        <v>1571</v>
      </c>
      <c r="AH431" t="s">
        <v>1428</v>
      </c>
      <c r="AI431">
        <v>93107470</v>
      </c>
      <c r="AL431" t="s">
        <v>2893</v>
      </c>
      <c r="AO431" t="s">
        <v>2894</v>
      </c>
      <c r="AP431" t="s">
        <v>177</v>
      </c>
      <c r="AQ431" t="s">
        <v>178</v>
      </c>
      <c r="AR431" t="s">
        <v>2895</v>
      </c>
      <c r="AS431" t="s">
        <v>455</v>
      </c>
      <c r="AT431" t="s">
        <v>141</v>
      </c>
      <c r="AU431" t="s">
        <v>96</v>
      </c>
      <c r="AV431" t="s">
        <v>1478</v>
      </c>
      <c r="AZ431" t="s">
        <v>98</v>
      </c>
      <c r="BA431" t="s">
        <v>99</v>
      </c>
      <c r="BC431" t="s">
        <v>164</v>
      </c>
      <c r="BD431" t="s">
        <v>1642</v>
      </c>
      <c r="BE431">
        <v>2022</v>
      </c>
      <c r="BF431">
        <v>2022</v>
      </c>
    </row>
    <row r="432" spans="1:58">
      <c r="A432">
        <v>3344186</v>
      </c>
      <c r="B432">
        <v>137</v>
      </c>
      <c r="C432">
        <v>5</v>
      </c>
      <c r="D432">
        <v>7912592</v>
      </c>
      <c r="F432" t="s">
        <v>80</v>
      </c>
      <c r="G432" t="s">
        <v>81</v>
      </c>
      <c r="H432" t="s">
        <v>23</v>
      </c>
      <c r="I432" t="s">
        <v>12</v>
      </c>
      <c r="J432" t="s">
        <v>6</v>
      </c>
      <c r="K432" t="s">
        <v>83</v>
      </c>
      <c r="L432" s="3">
        <v>46029</v>
      </c>
      <c r="M432" t="s">
        <v>193</v>
      </c>
      <c r="N432">
        <v>17766543</v>
      </c>
      <c r="O432">
        <v>6</v>
      </c>
      <c r="P432" t="s">
        <v>2896</v>
      </c>
      <c r="Q432">
        <v>1</v>
      </c>
      <c r="R432">
        <v>311.97399999999999</v>
      </c>
      <c r="S432" s="3">
        <v>46145</v>
      </c>
      <c r="T432">
        <v>10</v>
      </c>
      <c r="U432">
        <v>10</v>
      </c>
      <c r="V432">
        <v>48</v>
      </c>
      <c r="W432" t="s">
        <v>1425</v>
      </c>
      <c r="X432" t="s">
        <v>87</v>
      </c>
      <c r="Y432">
        <v>129911</v>
      </c>
      <c r="Z432">
        <v>0</v>
      </c>
      <c r="AA432" t="s">
        <v>98</v>
      </c>
      <c r="AB432" s="3">
        <v>45964</v>
      </c>
      <c r="AC432">
        <v>1689781</v>
      </c>
      <c r="AD432" t="s">
        <v>1571</v>
      </c>
      <c r="AH432" t="s">
        <v>1428</v>
      </c>
      <c r="AI432">
        <v>983666981</v>
      </c>
      <c r="AL432" t="s">
        <v>2897</v>
      </c>
      <c r="AO432" t="s">
        <v>2898</v>
      </c>
      <c r="AP432" t="s">
        <v>330</v>
      </c>
      <c r="AQ432" t="s">
        <v>92</v>
      </c>
      <c r="AR432" t="s">
        <v>1741</v>
      </c>
      <c r="AS432" t="s">
        <v>418</v>
      </c>
      <c r="AT432" t="s">
        <v>122</v>
      </c>
      <c r="AU432" t="s">
        <v>96</v>
      </c>
      <c r="AZ432" t="s">
        <v>111</v>
      </c>
      <c r="BA432" t="s">
        <v>99</v>
      </c>
      <c r="BB432" t="s">
        <v>2899</v>
      </c>
      <c r="BC432" t="s">
        <v>664</v>
      </c>
      <c r="BD432" t="s">
        <v>2900</v>
      </c>
      <c r="BE432">
        <v>2021</v>
      </c>
      <c r="BF432">
        <v>2021</v>
      </c>
    </row>
    <row r="433" spans="1:58">
      <c r="A433">
        <v>3346863</v>
      </c>
      <c r="B433">
        <v>97</v>
      </c>
      <c r="C433">
        <v>4</v>
      </c>
      <c r="D433">
        <v>10062772</v>
      </c>
      <c r="F433" t="s">
        <v>80</v>
      </c>
      <c r="G433" t="s">
        <v>81</v>
      </c>
      <c r="H433" t="s">
        <v>22</v>
      </c>
      <c r="I433" t="s">
        <v>23</v>
      </c>
      <c r="J433" t="s">
        <v>6</v>
      </c>
      <c r="K433" t="s">
        <v>83</v>
      </c>
      <c r="L433" s="3">
        <v>46029</v>
      </c>
      <c r="M433" t="s">
        <v>193</v>
      </c>
      <c r="N433">
        <v>8331309</v>
      </c>
      <c r="O433">
        <v>9</v>
      </c>
      <c r="P433" t="s">
        <v>2901</v>
      </c>
      <c r="Q433">
        <v>1</v>
      </c>
      <c r="R433">
        <v>344.97500000000002</v>
      </c>
      <c r="S433" t="s">
        <v>2902</v>
      </c>
      <c r="T433">
        <v>12</v>
      </c>
      <c r="U433">
        <v>12</v>
      </c>
      <c r="V433">
        <v>60</v>
      </c>
      <c r="W433" t="s">
        <v>1425</v>
      </c>
      <c r="X433" t="s">
        <v>87</v>
      </c>
      <c r="Y433">
        <v>75923</v>
      </c>
      <c r="Z433">
        <v>88475</v>
      </c>
      <c r="AA433" t="s">
        <v>98</v>
      </c>
      <c r="AB433" t="s">
        <v>2903</v>
      </c>
      <c r="AC433">
        <v>1544298</v>
      </c>
      <c r="AD433" t="s">
        <v>1571</v>
      </c>
      <c r="AH433" t="s">
        <v>1428</v>
      </c>
      <c r="AI433">
        <v>997718980</v>
      </c>
      <c r="AL433" t="s">
        <v>2904</v>
      </c>
      <c r="AO433" t="s">
        <v>2905</v>
      </c>
      <c r="AP433" t="s">
        <v>447</v>
      </c>
      <c r="AQ433" t="s">
        <v>92</v>
      </c>
      <c r="AR433" t="s">
        <v>2773</v>
      </c>
      <c r="AS433" t="s">
        <v>208</v>
      </c>
      <c r="AT433" t="s">
        <v>141</v>
      </c>
      <c r="AU433" t="s">
        <v>96</v>
      </c>
      <c r="AZ433" t="s">
        <v>98</v>
      </c>
      <c r="BA433" t="s">
        <v>99</v>
      </c>
      <c r="BB433" t="s">
        <v>2906</v>
      </c>
      <c r="BC433" t="s">
        <v>421</v>
      </c>
      <c r="BD433" t="s">
        <v>2907</v>
      </c>
      <c r="BE433">
        <v>2025</v>
      </c>
      <c r="BF433">
        <v>2025</v>
      </c>
    </row>
    <row r="434" spans="1:58">
      <c r="A434">
        <v>3350049</v>
      </c>
      <c r="B434">
        <v>0</v>
      </c>
      <c r="C434">
        <v>1</v>
      </c>
      <c r="D434">
        <v>5661718</v>
      </c>
      <c r="F434" t="s">
        <v>80</v>
      </c>
      <c r="G434" t="s">
        <v>81</v>
      </c>
      <c r="H434" t="s">
        <v>13</v>
      </c>
      <c r="I434" t="s">
        <v>1862</v>
      </c>
      <c r="J434" t="s">
        <v>6</v>
      </c>
      <c r="K434" t="s">
        <v>83</v>
      </c>
      <c r="L434" s="3">
        <v>46029</v>
      </c>
      <c r="M434" t="s">
        <v>193</v>
      </c>
      <c r="N434">
        <v>15221775</v>
      </c>
      <c r="O434">
        <v>7</v>
      </c>
      <c r="P434" t="s">
        <v>2908</v>
      </c>
      <c r="Q434">
        <v>1</v>
      </c>
      <c r="R434">
        <v>210.09100000000001</v>
      </c>
      <c r="S434" t="s">
        <v>1921</v>
      </c>
      <c r="T434">
        <v>15</v>
      </c>
      <c r="U434">
        <v>9</v>
      </c>
      <c r="V434">
        <v>48</v>
      </c>
      <c r="W434" t="s">
        <v>1391</v>
      </c>
      <c r="Y434">
        <v>230</v>
      </c>
      <c r="Z434">
        <v>0</v>
      </c>
      <c r="AA434" t="s">
        <v>98</v>
      </c>
      <c r="AB434" t="s">
        <v>2909</v>
      </c>
      <c r="AC434">
        <v>210321</v>
      </c>
      <c r="AD434" t="s">
        <v>1499</v>
      </c>
      <c r="AH434" t="s">
        <v>1789</v>
      </c>
      <c r="AI434">
        <v>997107375</v>
      </c>
      <c r="AL434" t="s">
        <v>2910</v>
      </c>
      <c r="AO434" t="s">
        <v>2911</v>
      </c>
      <c r="AP434" t="s">
        <v>365</v>
      </c>
      <c r="AQ434" t="s">
        <v>149</v>
      </c>
      <c r="AR434" t="s">
        <v>2796</v>
      </c>
      <c r="AS434" t="s">
        <v>140</v>
      </c>
      <c r="AT434" t="s">
        <v>122</v>
      </c>
      <c r="AU434" t="s">
        <v>96</v>
      </c>
      <c r="AW434" t="s">
        <v>410</v>
      </c>
      <c r="AX434" t="s">
        <v>1527</v>
      </c>
      <c r="AY434" t="s">
        <v>220</v>
      </c>
      <c r="AZ434" t="s">
        <v>111</v>
      </c>
      <c r="BA434" t="s">
        <v>285</v>
      </c>
      <c r="BC434" t="s">
        <v>468</v>
      </c>
      <c r="BD434" t="s">
        <v>943</v>
      </c>
      <c r="BE434">
        <v>2022</v>
      </c>
      <c r="BF434">
        <v>2022</v>
      </c>
    </row>
    <row r="435" spans="1:58">
      <c r="A435">
        <v>3352351</v>
      </c>
      <c r="B435">
        <v>165</v>
      </c>
      <c r="C435">
        <v>6</v>
      </c>
      <c r="D435">
        <v>11397106</v>
      </c>
      <c r="F435" t="s">
        <v>80</v>
      </c>
      <c r="G435" t="s">
        <v>81</v>
      </c>
      <c r="H435" t="s">
        <v>12</v>
      </c>
      <c r="I435" t="s">
        <v>13</v>
      </c>
      <c r="J435" t="s">
        <v>6</v>
      </c>
      <c r="K435" t="s">
        <v>83</v>
      </c>
      <c r="L435" s="3">
        <v>46029</v>
      </c>
      <c r="M435" t="s">
        <v>193</v>
      </c>
      <c r="N435">
        <v>16617055</v>
      </c>
      <c r="O435">
        <v>9</v>
      </c>
      <c r="P435" t="s">
        <v>2912</v>
      </c>
      <c r="Q435">
        <v>1</v>
      </c>
      <c r="R435">
        <v>445.77100000000002</v>
      </c>
      <c r="S435" s="3">
        <v>46144</v>
      </c>
      <c r="T435">
        <v>9</v>
      </c>
      <c r="U435">
        <v>9</v>
      </c>
      <c r="V435">
        <v>48</v>
      </c>
      <c r="W435" t="s">
        <v>1425</v>
      </c>
      <c r="X435" t="s">
        <v>87</v>
      </c>
      <c r="Y435">
        <v>260580</v>
      </c>
      <c r="Z435">
        <v>151615</v>
      </c>
      <c r="AA435" t="s">
        <v>98</v>
      </c>
      <c r="AB435" t="s">
        <v>2913</v>
      </c>
      <c r="AC435">
        <v>3086821</v>
      </c>
      <c r="AD435" t="s">
        <v>1813</v>
      </c>
      <c r="AH435" t="s">
        <v>1428</v>
      </c>
      <c r="AI435">
        <v>952294692</v>
      </c>
      <c r="AL435" t="s">
        <v>2914</v>
      </c>
      <c r="AO435" t="s">
        <v>2915</v>
      </c>
      <c r="AP435" t="s">
        <v>822</v>
      </c>
      <c r="AQ435" t="s">
        <v>92</v>
      </c>
      <c r="AR435" t="s">
        <v>2520</v>
      </c>
      <c r="AS435" t="s">
        <v>236</v>
      </c>
      <c r="AT435" t="s">
        <v>141</v>
      </c>
      <c r="AU435" t="s">
        <v>96</v>
      </c>
      <c r="AZ435" t="s">
        <v>98</v>
      </c>
      <c r="BA435" t="s">
        <v>99</v>
      </c>
      <c r="BB435" t="s">
        <v>2916</v>
      </c>
      <c r="BC435" t="s">
        <v>550</v>
      </c>
      <c r="BD435" t="s">
        <v>2917</v>
      </c>
      <c r="BE435">
        <v>2021</v>
      </c>
      <c r="BF435">
        <v>2021</v>
      </c>
    </row>
    <row r="436" spans="1:58">
      <c r="A436">
        <v>3353242</v>
      </c>
      <c r="B436">
        <v>66</v>
      </c>
      <c r="C436">
        <v>3</v>
      </c>
      <c r="D436">
        <v>4026591</v>
      </c>
      <c r="F436" t="s">
        <v>80</v>
      </c>
      <c r="G436" t="s">
        <v>81</v>
      </c>
      <c r="H436" t="s">
        <v>14</v>
      </c>
      <c r="I436" t="s">
        <v>22</v>
      </c>
      <c r="J436" t="s">
        <v>6</v>
      </c>
      <c r="K436" t="s">
        <v>83</v>
      </c>
      <c r="L436" s="3">
        <v>46029</v>
      </c>
      <c r="M436" t="s">
        <v>193</v>
      </c>
      <c r="N436">
        <v>17499289</v>
      </c>
      <c r="O436">
        <v>4</v>
      </c>
      <c r="P436" t="s">
        <v>2918</v>
      </c>
      <c r="Q436">
        <v>1</v>
      </c>
      <c r="R436">
        <v>118.04300000000001</v>
      </c>
      <c r="S436" t="s">
        <v>2372</v>
      </c>
      <c r="T436">
        <v>13</v>
      </c>
      <c r="U436">
        <v>8</v>
      </c>
      <c r="V436">
        <v>60</v>
      </c>
      <c r="W436" t="s">
        <v>1391</v>
      </c>
      <c r="Y436">
        <v>11593</v>
      </c>
      <c r="Z436">
        <v>9721</v>
      </c>
      <c r="AA436" t="s">
        <v>98</v>
      </c>
      <c r="AB436" t="s">
        <v>2913</v>
      </c>
      <c r="AC436">
        <v>375443</v>
      </c>
      <c r="AD436" t="s">
        <v>1474</v>
      </c>
      <c r="AH436" t="s">
        <v>1789</v>
      </c>
      <c r="AI436">
        <v>97291850</v>
      </c>
      <c r="AL436" t="s">
        <v>2919</v>
      </c>
      <c r="AO436" t="s">
        <v>2920</v>
      </c>
      <c r="AP436" t="s">
        <v>2569</v>
      </c>
      <c r="AQ436" t="s">
        <v>178</v>
      </c>
      <c r="AR436" t="s">
        <v>2619</v>
      </c>
      <c r="AS436" t="s">
        <v>560</v>
      </c>
      <c r="AT436" t="s">
        <v>141</v>
      </c>
      <c r="AU436" t="s">
        <v>96</v>
      </c>
      <c r="AZ436" t="s">
        <v>98</v>
      </c>
      <c r="BA436" t="s">
        <v>99</v>
      </c>
      <c r="BC436" t="s">
        <v>287</v>
      </c>
      <c r="BD436" t="s">
        <v>1227</v>
      </c>
      <c r="BE436">
        <v>2022</v>
      </c>
      <c r="BF436">
        <v>2022</v>
      </c>
    </row>
    <row r="437" spans="1:58">
      <c r="A437">
        <v>3357655</v>
      </c>
      <c r="B437">
        <v>152</v>
      </c>
      <c r="C437">
        <v>6</v>
      </c>
      <c r="D437">
        <v>26970355</v>
      </c>
      <c r="F437" t="s">
        <v>80</v>
      </c>
      <c r="G437" t="s">
        <v>81</v>
      </c>
      <c r="H437" t="s">
        <v>12</v>
      </c>
      <c r="I437" t="s">
        <v>13</v>
      </c>
      <c r="J437" t="s">
        <v>6</v>
      </c>
      <c r="K437" t="s">
        <v>83</v>
      </c>
      <c r="L437" s="3">
        <v>46029</v>
      </c>
      <c r="M437" t="s">
        <v>193</v>
      </c>
      <c r="N437">
        <v>12264068</v>
      </c>
      <c r="O437" t="s">
        <v>266</v>
      </c>
      <c r="P437" t="s">
        <v>2921</v>
      </c>
      <c r="Q437">
        <v>1</v>
      </c>
      <c r="R437">
        <v>639.72199999999998</v>
      </c>
      <c r="S437" t="s">
        <v>2922</v>
      </c>
      <c r="T437">
        <v>10</v>
      </c>
      <c r="U437">
        <v>10</v>
      </c>
      <c r="V437">
        <v>49</v>
      </c>
      <c r="W437" t="s">
        <v>1448</v>
      </c>
      <c r="Y437">
        <v>330792</v>
      </c>
      <c r="Z437">
        <v>188563</v>
      </c>
      <c r="AA437" t="s">
        <v>98</v>
      </c>
      <c r="AB437" t="s">
        <v>2923</v>
      </c>
      <c r="AC437">
        <v>4357687</v>
      </c>
      <c r="AD437" t="s">
        <v>1983</v>
      </c>
      <c r="AH437" t="s">
        <v>1428</v>
      </c>
      <c r="AI437">
        <v>56975645667</v>
      </c>
      <c r="AL437" t="s">
        <v>2924</v>
      </c>
      <c r="AO437" t="s">
        <v>2925</v>
      </c>
      <c r="AP437" t="s">
        <v>735</v>
      </c>
      <c r="AQ437" t="s">
        <v>92</v>
      </c>
      <c r="AR437" t="s">
        <v>1713</v>
      </c>
      <c r="AS437" t="s">
        <v>767</v>
      </c>
      <c r="AT437" t="s">
        <v>141</v>
      </c>
      <c r="AU437" t="s">
        <v>96</v>
      </c>
      <c r="AZ437" t="s">
        <v>98</v>
      </c>
      <c r="BA437" t="s">
        <v>99</v>
      </c>
      <c r="BC437" t="s">
        <v>775</v>
      </c>
      <c r="BD437" t="s">
        <v>2926</v>
      </c>
      <c r="BE437">
        <v>0</v>
      </c>
      <c r="BF437">
        <v>0</v>
      </c>
    </row>
    <row r="438" spans="1:58">
      <c r="A438">
        <v>3361043</v>
      </c>
      <c r="B438">
        <v>257</v>
      </c>
      <c r="C438">
        <v>9</v>
      </c>
      <c r="D438">
        <v>9871749</v>
      </c>
      <c r="F438" t="s">
        <v>80</v>
      </c>
      <c r="G438" t="s">
        <v>81</v>
      </c>
      <c r="H438" t="s">
        <v>15</v>
      </c>
      <c r="I438" t="s">
        <v>16</v>
      </c>
      <c r="J438" t="s">
        <v>6</v>
      </c>
      <c r="K438" t="s">
        <v>83</v>
      </c>
      <c r="L438" s="3">
        <v>46029</v>
      </c>
      <c r="M438" t="s">
        <v>193</v>
      </c>
      <c r="N438">
        <v>16857948</v>
      </c>
      <c r="O438">
        <v>9</v>
      </c>
      <c r="P438" t="s">
        <v>2927</v>
      </c>
      <c r="Q438">
        <v>1</v>
      </c>
      <c r="R438">
        <v>345.25200000000001</v>
      </c>
      <c r="S438" s="3">
        <v>45788</v>
      </c>
      <c r="T438">
        <v>6</v>
      </c>
      <c r="U438">
        <v>6</v>
      </c>
      <c r="V438">
        <v>37</v>
      </c>
      <c r="W438" t="s">
        <v>1448</v>
      </c>
      <c r="Y438">
        <v>466360</v>
      </c>
      <c r="Z438">
        <v>122907</v>
      </c>
      <c r="AA438" t="s">
        <v>98</v>
      </c>
      <c r="AB438" t="s">
        <v>2928</v>
      </c>
      <c r="AC438">
        <v>3696535</v>
      </c>
      <c r="AD438" t="s">
        <v>1813</v>
      </c>
      <c r="AH438" t="s">
        <v>1428</v>
      </c>
      <c r="AI438">
        <v>940119871</v>
      </c>
      <c r="AL438" t="s">
        <v>2929</v>
      </c>
      <c r="AO438" t="s">
        <v>2930</v>
      </c>
      <c r="AP438" t="s">
        <v>1212</v>
      </c>
      <c r="AQ438" t="s">
        <v>299</v>
      </c>
      <c r="AR438" t="s">
        <v>2931</v>
      </c>
      <c r="AS438" t="s">
        <v>189</v>
      </c>
      <c r="AT438" t="s">
        <v>141</v>
      </c>
      <c r="AU438" t="s">
        <v>96</v>
      </c>
      <c r="AV438" t="s">
        <v>1478</v>
      </c>
      <c r="AZ438" t="s">
        <v>98</v>
      </c>
      <c r="BA438" t="s">
        <v>99</v>
      </c>
      <c r="BC438" t="s">
        <v>2932</v>
      </c>
      <c r="BD438" t="s">
        <v>1598</v>
      </c>
      <c r="BE438">
        <v>0</v>
      </c>
      <c r="BF438">
        <v>0</v>
      </c>
    </row>
    <row r="439" spans="1:58">
      <c r="A439">
        <v>3370287</v>
      </c>
      <c r="B439">
        <v>350</v>
      </c>
      <c r="C439">
        <v>12</v>
      </c>
      <c r="D439">
        <v>8154232</v>
      </c>
      <c r="F439" t="s">
        <v>80</v>
      </c>
      <c r="G439" t="s">
        <v>81</v>
      </c>
      <c r="H439" t="s">
        <v>18</v>
      </c>
      <c r="I439" t="s">
        <v>20</v>
      </c>
      <c r="J439" t="s">
        <v>6</v>
      </c>
      <c r="K439" t="s">
        <v>83</v>
      </c>
      <c r="L439" s="3">
        <v>46029</v>
      </c>
      <c r="M439" t="s">
        <v>193</v>
      </c>
      <c r="N439">
        <v>25461704</v>
      </c>
      <c r="O439">
        <v>0</v>
      </c>
      <c r="P439" t="s">
        <v>2933</v>
      </c>
      <c r="Q439">
        <v>1</v>
      </c>
      <c r="R439">
        <v>334.36799999999999</v>
      </c>
      <c r="S439" s="3">
        <v>45755</v>
      </c>
      <c r="T439">
        <v>3</v>
      </c>
      <c r="U439">
        <v>3</v>
      </c>
      <c r="V439">
        <v>36</v>
      </c>
      <c r="W439" t="s">
        <v>1448</v>
      </c>
      <c r="Y439">
        <v>565957</v>
      </c>
      <c r="Z439">
        <v>0</v>
      </c>
      <c r="AA439" t="s">
        <v>98</v>
      </c>
      <c r="AB439" s="3">
        <v>45720</v>
      </c>
      <c r="AC439">
        <v>4578373</v>
      </c>
      <c r="AD439" t="s">
        <v>1619</v>
      </c>
      <c r="AH439" t="s">
        <v>1428</v>
      </c>
      <c r="AI439">
        <v>946198657</v>
      </c>
      <c r="AL439" t="s">
        <v>2934</v>
      </c>
      <c r="AO439" t="s">
        <v>2935</v>
      </c>
      <c r="AP439" t="s">
        <v>541</v>
      </c>
      <c r="AQ439" t="s">
        <v>188</v>
      </c>
      <c r="AR439" t="s">
        <v>2936</v>
      </c>
      <c r="AS439" t="s">
        <v>189</v>
      </c>
      <c r="AT439" t="s">
        <v>122</v>
      </c>
      <c r="AU439" t="s">
        <v>96</v>
      </c>
      <c r="AZ439" t="s">
        <v>111</v>
      </c>
      <c r="BA439" t="s">
        <v>99</v>
      </c>
      <c r="BC439" t="s">
        <v>2937</v>
      </c>
      <c r="BD439" t="s">
        <v>2938</v>
      </c>
      <c r="BE439">
        <v>0</v>
      </c>
      <c r="BF439">
        <v>0</v>
      </c>
    </row>
    <row r="440" spans="1:58">
      <c r="A440">
        <v>3371347</v>
      </c>
      <c r="B440">
        <v>127</v>
      </c>
      <c r="C440">
        <v>5</v>
      </c>
      <c r="D440">
        <v>12427347</v>
      </c>
      <c r="F440" t="s">
        <v>80</v>
      </c>
      <c r="G440" t="s">
        <v>81</v>
      </c>
      <c r="H440" t="s">
        <v>23</v>
      </c>
      <c r="I440" t="s">
        <v>12</v>
      </c>
      <c r="J440" t="s">
        <v>6</v>
      </c>
      <c r="K440" t="s">
        <v>83</v>
      </c>
      <c r="L440" s="3">
        <v>46029</v>
      </c>
      <c r="M440" t="s">
        <v>193</v>
      </c>
      <c r="N440">
        <v>16605913</v>
      </c>
      <c r="O440">
        <v>5</v>
      </c>
      <c r="P440" t="s">
        <v>2939</v>
      </c>
      <c r="Q440">
        <v>1</v>
      </c>
      <c r="R440">
        <v>954.98299999999995</v>
      </c>
      <c r="S440" t="s">
        <v>2419</v>
      </c>
      <c r="T440">
        <v>10</v>
      </c>
      <c r="U440">
        <v>10</v>
      </c>
      <c r="V440">
        <v>24</v>
      </c>
      <c r="W440" t="s">
        <v>1425</v>
      </c>
      <c r="X440" t="s">
        <v>1449</v>
      </c>
      <c r="Y440">
        <v>245068</v>
      </c>
      <c r="Z440">
        <v>199489</v>
      </c>
      <c r="AA440" t="s">
        <v>98</v>
      </c>
      <c r="AB440" s="3">
        <v>45873</v>
      </c>
      <c r="AC440">
        <v>5219472</v>
      </c>
      <c r="AD440" t="s">
        <v>2940</v>
      </c>
      <c r="AH440" t="s">
        <v>1428</v>
      </c>
      <c r="AI440">
        <v>988139376</v>
      </c>
      <c r="AL440" t="s">
        <v>2941</v>
      </c>
      <c r="AO440" t="s">
        <v>2942</v>
      </c>
      <c r="AP440" t="s">
        <v>2943</v>
      </c>
      <c r="AQ440" t="s">
        <v>92</v>
      </c>
      <c r="AR440" t="s">
        <v>2944</v>
      </c>
      <c r="AS440" t="s">
        <v>2945</v>
      </c>
      <c r="AT440" t="s">
        <v>141</v>
      </c>
      <c r="AU440" t="s">
        <v>527</v>
      </c>
      <c r="AV440" t="s">
        <v>1478</v>
      </c>
      <c r="AZ440" t="s">
        <v>98</v>
      </c>
      <c r="BA440" t="s">
        <v>99</v>
      </c>
      <c r="BC440" t="s">
        <v>2946</v>
      </c>
      <c r="BD440" t="s">
        <v>2947</v>
      </c>
      <c r="BE440">
        <v>2025</v>
      </c>
      <c r="BF440">
        <v>2025</v>
      </c>
    </row>
    <row r="441" spans="1:58">
      <c r="A441">
        <v>3373904</v>
      </c>
      <c r="B441">
        <v>278</v>
      </c>
      <c r="C441">
        <v>10</v>
      </c>
      <c r="D441">
        <v>7994869</v>
      </c>
      <c r="F441" t="s">
        <v>80</v>
      </c>
      <c r="G441" t="s">
        <v>81</v>
      </c>
      <c r="H441" t="s">
        <v>16</v>
      </c>
      <c r="I441" t="s">
        <v>17</v>
      </c>
      <c r="J441" t="s">
        <v>6</v>
      </c>
      <c r="K441" t="s">
        <v>83</v>
      </c>
      <c r="L441" s="3">
        <v>46029</v>
      </c>
      <c r="M441" t="s">
        <v>193</v>
      </c>
      <c r="N441">
        <v>12769361</v>
      </c>
      <c r="O441">
        <v>7</v>
      </c>
      <c r="P441" t="s">
        <v>2948</v>
      </c>
      <c r="Q441">
        <v>1</v>
      </c>
      <c r="R441">
        <v>276.351</v>
      </c>
      <c r="S441" t="s">
        <v>1795</v>
      </c>
      <c r="T441">
        <v>5</v>
      </c>
      <c r="U441">
        <v>5</v>
      </c>
      <c r="V441">
        <v>48</v>
      </c>
      <c r="W441" t="s">
        <v>1391</v>
      </c>
      <c r="Y441">
        <v>301926</v>
      </c>
      <c r="Z441">
        <v>122960</v>
      </c>
      <c r="AA441" t="s">
        <v>98</v>
      </c>
      <c r="AB441" s="3">
        <v>45934</v>
      </c>
      <c r="AC441">
        <v>3188396</v>
      </c>
      <c r="AD441" t="s">
        <v>2949</v>
      </c>
      <c r="AH441" t="s">
        <v>1428</v>
      </c>
      <c r="AI441">
        <v>999838489</v>
      </c>
      <c r="AL441" t="s">
        <v>2950</v>
      </c>
      <c r="AO441" t="s">
        <v>2951</v>
      </c>
      <c r="AP441" t="s">
        <v>800</v>
      </c>
      <c r="AQ441" t="s">
        <v>801</v>
      </c>
      <c r="AR441" t="s">
        <v>787</v>
      </c>
      <c r="AS441" t="s">
        <v>180</v>
      </c>
      <c r="AT441" t="s">
        <v>141</v>
      </c>
      <c r="AU441" t="s">
        <v>96</v>
      </c>
      <c r="AZ441" t="s">
        <v>98</v>
      </c>
      <c r="BA441" t="s">
        <v>99</v>
      </c>
      <c r="BC441" t="s">
        <v>143</v>
      </c>
      <c r="BD441" t="s">
        <v>2458</v>
      </c>
      <c r="BE441">
        <v>2023</v>
      </c>
      <c r="BF441">
        <v>2023</v>
      </c>
    </row>
    <row r="442" spans="1:58">
      <c r="A442">
        <v>3376847</v>
      </c>
      <c r="B442">
        <v>260</v>
      </c>
      <c r="C442">
        <v>9</v>
      </c>
      <c r="D442">
        <v>2862834</v>
      </c>
      <c r="F442" t="s">
        <v>80</v>
      </c>
      <c r="G442" t="s">
        <v>81</v>
      </c>
      <c r="H442" t="s">
        <v>15</v>
      </c>
      <c r="I442" t="s">
        <v>16</v>
      </c>
      <c r="J442" t="s">
        <v>6</v>
      </c>
      <c r="K442" t="s">
        <v>83</v>
      </c>
      <c r="L442" s="3">
        <v>46029</v>
      </c>
      <c r="M442" t="s">
        <v>193</v>
      </c>
      <c r="N442">
        <v>18992583</v>
      </c>
      <c r="O442">
        <v>2</v>
      </c>
      <c r="P442" t="s">
        <v>2952</v>
      </c>
      <c r="Q442">
        <v>1</v>
      </c>
      <c r="R442">
        <v>174.613</v>
      </c>
      <c r="S442" s="3">
        <v>45699</v>
      </c>
      <c r="T442">
        <v>5</v>
      </c>
      <c r="U442">
        <v>5</v>
      </c>
      <c r="V442">
        <v>24</v>
      </c>
      <c r="W442" t="s">
        <v>1391</v>
      </c>
      <c r="Y442">
        <v>198248</v>
      </c>
      <c r="Z442">
        <v>0</v>
      </c>
      <c r="AA442" t="s">
        <v>98</v>
      </c>
      <c r="AB442" s="3">
        <v>45934</v>
      </c>
      <c r="AC442">
        <v>1769765</v>
      </c>
      <c r="AD442" t="s">
        <v>2953</v>
      </c>
      <c r="AH442" t="s">
        <v>1428</v>
      </c>
      <c r="AI442">
        <v>968162371</v>
      </c>
      <c r="AL442" t="s">
        <v>2954</v>
      </c>
      <c r="AO442" t="s">
        <v>2955</v>
      </c>
      <c r="AP442" t="s">
        <v>800</v>
      </c>
      <c r="AQ442" t="s">
        <v>801</v>
      </c>
      <c r="AR442" t="s">
        <v>2956</v>
      </c>
      <c r="AS442" t="s">
        <v>271</v>
      </c>
      <c r="AT442" t="s">
        <v>122</v>
      </c>
      <c r="AU442" t="s">
        <v>96</v>
      </c>
      <c r="AZ442" t="s">
        <v>111</v>
      </c>
      <c r="BA442" t="s">
        <v>99</v>
      </c>
      <c r="BC442" t="s">
        <v>278</v>
      </c>
      <c r="BD442" t="s">
        <v>2957</v>
      </c>
      <c r="BE442">
        <v>2019</v>
      </c>
      <c r="BF442">
        <v>2019</v>
      </c>
    </row>
    <row r="443" spans="1:58">
      <c r="A443">
        <v>3378278</v>
      </c>
      <c r="B443">
        <v>137</v>
      </c>
      <c r="C443">
        <v>5</v>
      </c>
      <c r="D443">
        <v>7299234</v>
      </c>
      <c r="F443" t="s">
        <v>80</v>
      </c>
      <c r="G443" t="s">
        <v>81</v>
      </c>
      <c r="H443" t="s">
        <v>23</v>
      </c>
      <c r="I443" t="s">
        <v>12</v>
      </c>
      <c r="J443" t="s">
        <v>6</v>
      </c>
      <c r="K443" t="s">
        <v>83</v>
      </c>
      <c r="L443" s="3">
        <v>46029</v>
      </c>
      <c r="M443" t="s">
        <v>193</v>
      </c>
      <c r="N443">
        <v>10780067</v>
      </c>
      <c r="O443">
        <v>0</v>
      </c>
      <c r="P443" t="s">
        <v>2958</v>
      </c>
      <c r="Q443">
        <v>1</v>
      </c>
      <c r="R443">
        <v>253.85499999999999</v>
      </c>
      <c r="S443" s="3">
        <v>46145</v>
      </c>
      <c r="T443">
        <v>9</v>
      </c>
      <c r="U443">
        <v>9</v>
      </c>
      <c r="V443">
        <v>37</v>
      </c>
      <c r="W443" t="s">
        <v>1448</v>
      </c>
      <c r="Y443">
        <v>74895</v>
      </c>
      <c r="Z443">
        <v>0</v>
      </c>
      <c r="AA443" t="s">
        <v>98</v>
      </c>
      <c r="AB443" s="3">
        <v>45995</v>
      </c>
      <c r="AC443">
        <v>1344170</v>
      </c>
      <c r="AD443" s="4">
        <v>2305</v>
      </c>
      <c r="AH443" t="s">
        <v>1428</v>
      </c>
      <c r="AI443">
        <v>951758014</v>
      </c>
      <c r="AL443" t="s">
        <v>2959</v>
      </c>
      <c r="AO443" t="s">
        <v>2960</v>
      </c>
      <c r="AP443" t="s">
        <v>2961</v>
      </c>
      <c r="AQ443" t="s">
        <v>215</v>
      </c>
      <c r="AR443" t="s">
        <v>2100</v>
      </c>
      <c r="AS443" t="s">
        <v>140</v>
      </c>
      <c r="AT443" t="s">
        <v>74</v>
      </c>
      <c r="AU443" t="s">
        <v>96</v>
      </c>
      <c r="AZ443" t="s">
        <v>111</v>
      </c>
      <c r="BA443" t="s">
        <v>99</v>
      </c>
      <c r="BC443" t="s">
        <v>200</v>
      </c>
      <c r="BD443" t="s">
        <v>2962</v>
      </c>
      <c r="BE443">
        <v>0</v>
      </c>
      <c r="BF443">
        <v>0</v>
      </c>
    </row>
    <row r="444" spans="1:58">
      <c r="A444">
        <v>3379591</v>
      </c>
      <c r="B444">
        <v>155</v>
      </c>
      <c r="C444">
        <v>6</v>
      </c>
      <c r="D444">
        <v>10431044</v>
      </c>
      <c r="F444" t="s">
        <v>80</v>
      </c>
      <c r="G444" t="s">
        <v>81</v>
      </c>
      <c r="H444" t="s">
        <v>12</v>
      </c>
      <c r="I444" t="s">
        <v>13</v>
      </c>
      <c r="J444" t="s">
        <v>6</v>
      </c>
      <c r="K444" t="s">
        <v>83</v>
      </c>
      <c r="L444" s="3">
        <v>46029</v>
      </c>
      <c r="M444" t="s">
        <v>193</v>
      </c>
      <c r="N444">
        <v>12303126</v>
      </c>
      <c r="O444">
        <v>1</v>
      </c>
      <c r="P444" t="s">
        <v>2963</v>
      </c>
      <c r="Q444">
        <v>1</v>
      </c>
      <c r="R444">
        <v>329.90199999999999</v>
      </c>
      <c r="S444" t="s">
        <v>2088</v>
      </c>
      <c r="T444">
        <v>9</v>
      </c>
      <c r="U444">
        <v>9</v>
      </c>
      <c r="V444">
        <v>49</v>
      </c>
      <c r="W444" t="s">
        <v>1448</v>
      </c>
      <c r="Y444">
        <v>124200</v>
      </c>
      <c r="Z444">
        <v>0</v>
      </c>
      <c r="AA444" t="s">
        <v>98</v>
      </c>
      <c r="AB444" t="s">
        <v>2964</v>
      </c>
      <c r="AC444">
        <v>2103612</v>
      </c>
      <c r="AD444" t="s">
        <v>1752</v>
      </c>
      <c r="AH444" t="s">
        <v>1428</v>
      </c>
      <c r="AI444">
        <v>56966338392</v>
      </c>
      <c r="AL444" t="s">
        <v>2965</v>
      </c>
      <c r="AO444" t="s">
        <v>2966</v>
      </c>
      <c r="AP444" t="s">
        <v>2967</v>
      </c>
      <c r="AQ444" t="s">
        <v>92</v>
      </c>
      <c r="AR444" t="s">
        <v>2558</v>
      </c>
      <c r="AS444" t="s">
        <v>339</v>
      </c>
      <c r="AT444" t="s">
        <v>122</v>
      </c>
      <c r="AU444" t="s">
        <v>96</v>
      </c>
      <c r="AZ444" t="s">
        <v>111</v>
      </c>
      <c r="BA444" t="s">
        <v>99</v>
      </c>
      <c r="BC444" t="s">
        <v>2886</v>
      </c>
      <c r="BD444" t="s">
        <v>2968</v>
      </c>
      <c r="BE444">
        <v>2025</v>
      </c>
      <c r="BF444">
        <v>2025</v>
      </c>
    </row>
    <row r="445" spans="1:58">
      <c r="A445">
        <v>3379660</v>
      </c>
      <c r="B445">
        <v>247</v>
      </c>
      <c r="C445">
        <v>9</v>
      </c>
      <c r="D445">
        <v>8374586</v>
      </c>
      <c r="F445" t="s">
        <v>80</v>
      </c>
      <c r="G445" t="s">
        <v>81</v>
      </c>
      <c r="H445" t="s">
        <v>15</v>
      </c>
      <c r="I445" t="s">
        <v>16</v>
      </c>
      <c r="J445" t="s">
        <v>6</v>
      </c>
      <c r="K445" t="s">
        <v>83</v>
      </c>
      <c r="L445" s="3">
        <v>46029</v>
      </c>
      <c r="M445" t="s">
        <v>193</v>
      </c>
      <c r="N445">
        <v>26294080</v>
      </c>
      <c r="O445">
        <v>2</v>
      </c>
      <c r="P445" t="s">
        <v>2969</v>
      </c>
      <c r="Q445">
        <v>1</v>
      </c>
      <c r="R445">
        <v>282.70499999999998</v>
      </c>
      <c r="S445" t="s">
        <v>2409</v>
      </c>
      <c r="T445">
        <v>6</v>
      </c>
      <c r="U445">
        <v>6</v>
      </c>
      <c r="V445">
        <v>48</v>
      </c>
      <c r="W445" t="s">
        <v>1391</v>
      </c>
      <c r="Y445">
        <v>231573</v>
      </c>
      <c r="Z445">
        <v>0</v>
      </c>
      <c r="AA445" t="s">
        <v>98</v>
      </c>
      <c r="AB445" t="s">
        <v>2970</v>
      </c>
      <c r="AC445">
        <v>2775918</v>
      </c>
      <c r="AD445" t="s">
        <v>1579</v>
      </c>
      <c r="AH445" t="s">
        <v>1428</v>
      </c>
      <c r="AI445">
        <v>935455640</v>
      </c>
      <c r="AL445" t="s">
        <v>2971</v>
      </c>
      <c r="AO445" t="s">
        <v>2972</v>
      </c>
      <c r="AP445" t="s">
        <v>800</v>
      </c>
      <c r="AQ445" t="s">
        <v>801</v>
      </c>
      <c r="AR445" t="s">
        <v>2973</v>
      </c>
      <c r="AS445" t="s">
        <v>560</v>
      </c>
      <c r="AT445" t="s">
        <v>122</v>
      </c>
      <c r="AU445" t="s">
        <v>96</v>
      </c>
      <c r="AZ445" t="s">
        <v>111</v>
      </c>
      <c r="BA445" t="s">
        <v>99</v>
      </c>
      <c r="BC445" t="s">
        <v>153</v>
      </c>
      <c r="BD445" t="s">
        <v>2974</v>
      </c>
      <c r="BE445">
        <v>2022</v>
      </c>
      <c r="BF445">
        <v>2022</v>
      </c>
    </row>
    <row r="446" spans="1:58">
      <c r="A446">
        <v>3386552</v>
      </c>
      <c r="B446">
        <v>132</v>
      </c>
      <c r="C446">
        <v>5</v>
      </c>
      <c r="D446">
        <v>4108599</v>
      </c>
      <c r="F446" t="s">
        <v>80</v>
      </c>
      <c r="G446" t="s">
        <v>81</v>
      </c>
      <c r="H446" t="s">
        <v>23</v>
      </c>
      <c r="I446" t="s">
        <v>12</v>
      </c>
      <c r="J446" t="s">
        <v>6</v>
      </c>
      <c r="K446" t="s">
        <v>83</v>
      </c>
      <c r="L446" s="3">
        <v>46302</v>
      </c>
      <c r="M446" t="s">
        <v>1559</v>
      </c>
      <c r="N446">
        <v>17192029</v>
      </c>
      <c r="O446">
        <v>9</v>
      </c>
      <c r="P446" t="s">
        <v>2975</v>
      </c>
      <c r="Q446">
        <v>1</v>
      </c>
      <c r="R446">
        <v>262.62299999999999</v>
      </c>
      <c r="S446" s="3">
        <v>46298</v>
      </c>
      <c r="T446">
        <v>9</v>
      </c>
      <c r="U446">
        <v>9</v>
      </c>
      <c r="V446">
        <v>27</v>
      </c>
      <c r="W446" t="s">
        <v>1391</v>
      </c>
      <c r="Y446">
        <v>81707</v>
      </c>
      <c r="Z446">
        <v>80556</v>
      </c>
      <c r="AA446" t="s">
        <v>98</v>
      </c>
      <c r="AB446" t="s">
        <v>2976</v>
      </c>
      <c r="AC446">
        <v>1475378</v>
      </c>
      <c r="AD446" t="s">
        <v>2953</v>
      </c>
      <c r="AH446" t="s">
        <v>1428</v>
      </c>
      <c r="AI446">
        <v>953816218</v>
      </c>
      <c r="AL446" t="s">
        <v>2977</v>
      </c>
      <c r="AO446" t="s">
        <v>2978</v>
      </c>
      <c r="AP446" t="s">
        <v>876</v>
      </c>
      <c r="AQ446" t="s">
        <v>299</v>
      </c>
      <c r="AT446" t="s">
        <v>95</v>
      </c>
      <c r="AU446" t="s">
        <v>1777</v>
      </c>
      <c r="AZ446" t="s">
        <v>98</v>
      </c>
      <c r="BA446" t="s">
        <v>99</v>
      </c>
      <c r="BC446" t="s">
        <v>153</v>
      </c>
      <c r="BD446" t="s">
        <v>2238</v>
      </c>
      <c r="BE446">
        <v>2022</v>
      </c>
      <c r="BF446">
        <v>2022</v>
      </c>
    </row>
    <row r="447" spans="1:58">
      <c r="A447">
        <v>3392387</v>
      </c>
      <c r="B447">
        <v>352</v>
      </c>
      <c r="C447">
        <v>12</v>
      </c>
      <c r="D447">
        <v>10484070</v>
      </c>
      <c r="F447" t="s">
        <v>80</v>
      </c>
      <c r="G447" t="s">
        <v>81</v>
      </c>
      <c r="H447" t="s">
        <v>20</v>
      </c>
      <c r="I447" t="s">
        <v>20</v>
      </c>
      <c r="J447" t="s">
        <v>6</v>
      </c>
      <c r="K447" t="s">
        <v>83</v>
      </c>
      <c r="L447" s="3">
        <v>46029</v>
      </c>
      <c r="M447" t="s">
        <v>193</v>
      </c>
      <c r="N447">
        <v>15347259</v>
      </c>
      <c r="O447">
        <v>9</v>
      </c>
      <c r="P447" t="s">
        <v>2979</v>
      </c>
      <c r="Q447">
        <v>1</v>
      </c>
      <c r="R447">
        <v>361.15300000000002</v>
      </c>
      <c r="S447" s="3">
        <v>45696</v>
      </c>
      <c r="T447">
        <v>2</v>
      </c>
      <c r="U447">
        <v>2</v>
      </c>
      <c r="V447">
        <v>48</v>
      </c>
      <c r="W447" t="s">
        <v>1425</v>
      </c>
      <c r="Y447">
        <v>576400</v>
      </c>
      <c r="Z447">
        <v>0</v>
      </c>
      <c r="AA447" t="s">
        <v>98</v>
      </c>
      <c r="AB447" t="s">
        <v>2980</v>
      </c>
      <c r="AC447">
        <v>4910236</v>
      </c>
      <c r="AD447" t="s">
        <v>2751</v>
      </c>
      <c r="AH447" t="s">
        <v>1428</v>
      </c>
      <c r="AI447">
        <v>961688629</v>
      </c>
      <c r="AL447" t="s">
        <v>2981</v>
      </c>
      <c r="AO447" t="s">
        <v>2982</v>
      </c>
      <c r="AP447" t="s">
        <v>314</v>
      </c>
      <c r="AQ447" t="s">
        <v>92</v>
      </c>
      <c r="AR447" t="s">
        <v>2179</v>
      </c>
      <c r="AS447" t="s">
        <v>162</v>
      </c>
      <c r="AT447" t="s">
        <v>122</v>
      </c>
      <c r="AU447" t="s">
        <v>96</v>
      </c>
      <c r="AZ447" t="s">
        <v>111</v>
      </c>
      <c r="BA447" t="s">
        <v>99</v>
      </c>
      <c r="BC447" t="s">
        <v>1337</v>
      </c>
      <c r="BD447" t="s">
        <v>2983</v>
      </c>
      <c r="BE447">
        <v>2025</v>
      </c>
      <c r="BF447">
        <v>2025</v>
      </c>
    </row>
    <row r="448" spans="1:58">
      <c r="A448">
        <v>3403266</v>
      </c>
      <c r="B448">
        <v>160</v>
      </c>
      <c r="C448">
        <v>6</v>
      </c>
      <c r="D448">
        <v>7071456</v>
      </c>
      <c r="F448" t="s">
        <v>80</v>
      </c>
      <c r="G448" t="s">
        <v>81</v>
      </c>
      <c r="H448" t="s">
        <v>12</v>
      </c>
      <c r="I448" t="s">
        <v>13</v>
      </c>
      <c r="J448" t="s">
        <v>6</v>
      </c>
      <c r="K448" t="s">
        <v>83</v>
      </c>
      <c r="L448" s="3">
        <v>46302</v>
      </c>
      <c r="M448" t="s">
        <v>193</v>
      </c>
      <c r="N448">
        <v>11696480</v>
      </c>
      <c r="O448">
        <v>5</v>
      </c>
      <c r="P448" t="s">
        <v>2984</v>
      </c>
      <c r="Q448">
        <v>1</v>
      </c>
      <c r="R448">
        <v>285.98700000000002</v>
      </c>
      <c r="S448" s="3">
        <v>46297</v>
      </c>
      <c r="T448">
        <v>8</v>
      </c>
      <c r="U448">
        <v>8</v>
      </c>
      <c r="V448">
        <v>48</v>
      </c>
      <c r="W448" t="s">
        <v>1425</v>
      </c>
      <c r="Y448">
        <v>128882</v>
      </c>
      <c r="Z448">
        <v>116679</v>
      </c>
      <c r="AA448" t="s">
        <v>98</v>
      </c>
      <c r="AB448" s="3">
        <v>45935</v>
      </c>
      <c r="AC448">
        <v>1961483</v>
      </c>
      <c r="AD448" t="s">
        <v>1671</v>
      </c>
      <c r="AH448" t="s">
        <v>1428</v>
      </c>
      <c r="AI448">
        <v>950456931</v>
      </c>
      <c r="AK448">
        <v>5650456931</v>
      </c>
      <c r="AL448" t="s">
        <v>2985</v>
      </c>
      <c r="AO448" t="s">
        <v>2986</v>
      </c>
      <c r="AP448" t="s">
        <v>517</v>
      </c>
      <c r="AQ448" t="s">
        <v>92</v>
      </c>
      <c r="AT448" t="s">
        <v>95</v>
      </c>
      <c r="AU448" t="s">
        <v>1777</v>
      </c>
      <c r="AZ448" t="s">
        <v>98</v>
      </c>
      <c r="BA448" t="s">
        <v>99</v>
      </c>
      <c r="BC448" t="s">
        <v>1337</v>
      </c>
      <c r="BD448" t="s">
        <v>2987</v>
      </c>
      <c r="BE448">
        <v>2025</v>
      </c>
      <c r="BF448">
        <v>2025</v>
      </c>
    </row>
    <row r="449" spans="1:58">
      <c r="A449">
        <v>3406802</v>
      </c>
      <c r="B449">
        <v>185</v>
      </c>
      <c r="C449">
        <v>7</v>
      </c>
      <c r="D449">
        <v>7949835</v>
      </c>
      <c r="F449" t="s">
        <v>80</v>
      </c>
      <c r="G449" t="s">
        <v>81</v>
      </c>
      <c r="H449" t="s">
        <v>13</v>
      </c>
      <c r="I449" t="s">
        <v>14</v>
      </c>
      <c r="J449" t="s">
        <v>6</v>
      </c>
      <c r="K449" t="s">
        <v>83</v>
      </c>
      <c r="L449" s="3">
        <v>46029</v>
      </c>
      <c r="M449" t="s">
        <v>193</v>
      </c>
      <c r="N449">
        <v>16931038</v>
      </c>
      <c r="O449">
        <v>6</v>
      </c>
      <c r="P449" t="s">
        <v>2988</v>
      </c>
      <c r="Q449">
        <v>1</v>
      </c>
      <c r="R449">
        <v>288.536</v>
      </c>
      <c r="S449" t="s">
        <v>2989</v>
      </c>
      <c r="T449">
        <v>7</v>
      </c>
      <c r="U449">
        <v>7</v>
      </c>
      <c r="V449">
        <v>48</v>
      </c>
      <c r="W449" t="s">
        <v>1425</v>
      </c>
      <c r="Y449">
        <v>138541</v>
      </c>
      <c r="Z449">
        <v>0</v>
      </c>
      <c r="AA449" t="s">
        <v>98</v>
      </c>
      <c r="AB449" t="s">
        <v>2990</v>
      </c>
      <c r="AC449">
        <v>2158293</v>
      </c>
      <c r="AD449" t="s">
        <v>2991</v>
      </c>
      <c r="AH449" t="s">
        <v>1428</v>
      </c>
      <c r="AI449">
        <v>569823083</v>
      </c>
      <c r="AL449" t="s">
        <v>2992</v>
      </c>
      <c r="AO449" t="s">
        <v>2993</v>
      </c>
      <c r="AP449" t="s">
        <v>433</v>
      </c>
      <c r="AQ449" t="s">
        <v>434</v>
      </c>
      <c r="AR449" t="s">
        <v>2773</v>
      </c>
      <c r="AS449" t="s">
        <v>171</v>
      </c>
      <c r="AT449" t="s">
        <v>74</v>
      </c>
      <c r="AU449" t="s">
        <v>96</v>
      </c>
      <c r="AZ449" t="s">
        <v>111</v>
      </c>
      <c r="BA449" t="s">
        <v>99</v>
      </c>
      <c r="BC449" t="s">
        <v>1074</v>
      </c>
      <c r="BD449" t="s">
        <v>1298</v>
      </c>
      <c r="BE449">
        <v>2025</v>
      </c>
      <c r="BF449">
        <v>2025</v>
      </c>
    </row>
    <row r="450" spans="1:58">
      <c r="A450">
        <v>3408046</v>
      </c>
      <c r="B450">
        <v>15</v>
      </c>
      <c r="C450">
        <v>1</v>
      </c>
      <c r="D450">
        <v>12474504</v>
      </c>
      <c r="F450" t="s">
        <v>80</v>
      </c>
      <c r="G450" t="s">
        <v>81</v>
      </c>
      <c r="H450" t="s">
        <v>23</v>
      </c>
      <c r="I450" s="527">
        <v>46052</v>
      </c>
      <c r="J450" t="s">
        <v>6</v>
      </c>
      <c r="K450" t="s">
        <v>83</v>
      </c>
      <c r="L450" s="3">
        <v>46302</v>
      </c>
      <c r="M450" t="s">
        <v>1559</v>
      </c>
      <c r="N450">
        <v>17838880</v>
      </c>
      <c r="O450">
        <v>0</v>
      </c>
      <c r="P450" t="s">
        <v>2994</v>
      </c>
      <c r="Q450">
        <v>1</v>
      </c>
      <c r="R450">
        <v>468.09500000000003</v>
      </c>
      <c r="S450" s="3">
        <v>46149</v>
      </c>
      <c r="T450">
        <v>12</v>
      </c>
      <c r="U450">
        <v>8</v>
      </c>
      <c r="V450">
        <v>48</v>
      </c>
      <c r="W450" t="s">
        <v>1448</v>
      </c>
      <c r="Y450">
        <v>5367</v>
      </c>
      <c r="Z450">
        <v>0</v>
      </c>
      <c r="AA450" t="s">
        <v>98</v>
      </c>
      <c r="AB450" s="3">
        <v>45996</v>
      </c>
      <c r="AC450">
        <v>473462</v>
      </c>
      <c r="AD450" t="s">
        <v>2751</v>
      </c>
      <c r="AH450" t="s">
        <v>1789</v>
      </c>
      <c r="AI450">
        <v>971419803</v>
      </c>
      <c r="AL450" t="s">
        <v>2995</v>
      </c>
      <c r="AO450" t="s">
        <v>2996</v>
      </c>
      <c r="AP450" t="s">
        <v>902</v>
      </c>
      <c r="AQ450" t="s">
        <v>92</v>
      </c>
      <c r="AT450" t="s">
        <v>95</v>
      </c>
      <c r="AU450" t="s">
        <v>1777</v>
      </c>
      <c r="AW450" t="s">
        <v>410</v>
      </c>
      <c r="AX450" t="s">
        <v>1527</v>
      </c>
      <c r="AY450" t="s">
        <v>519</v>
      </c>
      <c r="AZ450" t="s">
        <v>98</v>
      </c>
      <c r="BA450" t="s">
        <v>285</v>
      </c>
      <c r="BC450" t="s">
        <v>2932</v>
      </c>
      <c r="BD450" t="s">
        <v>2997</v>
      </c>
      <c r="BE450">
        <v>0</v>
      </c>
      <c r="BF450">
        <v>0</v>
      </c>
    </row>
    <row r="451" spans="1:58">
      <c r="A451">
        <v>3409313</v>
      </c>
      <c r="B451">
        <v>0</v>
      </c>
      <c r="D451">
        <v>12662922</v>
      </c>
      <c r="F451" t="s">
        <v>80</v>
      </c>
      <c r="G451" t="s">
        <v>81</v>
      </c>
      <c r="H451" t="s">
        <v>20</v>
      </c>
      <c r="I451" t="s">
        <v>21</v>
      </c>
      <c r="J451" t="s">
        <v>6</v>
      </c>
      <c r="K451" t="s">
        <v>83</v>
      </c>
      <c r="L451" s="3">
        <v>46029</v>
      </c>
      <c r="M451" t="s">
        <v>193</v>
      </c>
      <c r="N451">
        <v>17482620</v>
      </c>
      <c r="O451" t="s">
        <v>266</v>
      </c>
      <c r="P451" t="s">
        <v>2998</v>
      </c>
      <c r="Q451">
        <v>1</v>
      </c>
      <c r="R451">
        <v>366.82499999999999</v>
      </c>
      <c r="U451">
        <v>0</v>
      </c>
      <c r="W451" t="s">
        <v>1448</v>
      </c>
      <c r="Y451">
        <v>0</v>
      </c>
      <c r="Z451">
        <v>0</v>
      </c>
      <c r="AA451" t="s">
        <v>98</v>
      </c>
      <c r="AB451" t="s">
        <v>2990</v>
      </c>
      <c r="AC451">
        <v>0</v>
      </c>
      <c r="AD451" t="s">
        <v>2751</v>
      </c>
      <c r="AH451" t="s">
        <v>5</v>
      </c>
      <c r="AI451">
        <v>978534087</v>
      </c>
      <c r="AL451" t="s">
        <v>2999</v>
      </c>
      <c r="AO451" t="s">
        <v>3000</v>
      </c>
      <c r="AP451" t="s">
        <v>408</v>
      </c>
      <c r="AQ451" t="s">
        <v>92</v>
      </c>
      <c r="AR451" t="s">
        <v>1556</v>
      </c>
      <c r="AS451" t="s">
        <v>560</v>
      </c>
      <c r="AT451" t="s">
        <v>122</v>
      </c>
      <c r="AU451" t="s">
        <v>96</v>
      </c>
      <c r="AZ451" t="s">
        <v>111</v>
      </c>
      <c r="BA451" t="s">
        <v>99</v>
      </c>
      <c r="BC451" t="s">
        <v>287</v>
      </c>
      <c r="BD451" t="s">
        <v>3001</v>
      </c>
      <c r="BE451">
        <v>0</v>
      </c>
      <c r="BF451">
        <v>0</v>
      </c>
    </row>
    <row r="452" spans="1:58">
      <c r="A452">
        <v>3413145</v>
      </c>
      <c r="B452">
        <v>142</v>
      </c>
      <c r="C452">
        <v>5</v>
      </c>
      <c r="D452">
        <v>8018443</v>
      </c>
      <c r="F452" t="s">
        <v>80</v>
      </c>
      <c r="G452" t="s">
        <v>81</v>
      </c>
      <c r="H452" t="s">
        <v>12</v>
      </c>
      <c r="I452" t="s">
        <v>12</v>
      </c>
      <c r="J452" t="s">
        <v>6</v>
      </c>
      <c r="K452" t="s">
        <v>83</v>
      </c>
      <c r="L452" s="3">
        <v>46029</v>
      </c>
      <c r="M452" t="s">
        <v>193</v>
      </c>
      <c r="N452">
        <v>13649948</v>
      </c>
      <c r="O452">
        <v>3</v>
      </c>
      <c r="P452" t="s">
        <v>3002</v>
      </c>
      <c r="Q452">
        <v>1</v>
      </c>
      <c r="R452">
        <v>257.62700000000001</v>
      </c>
      <c r="S452" t="s">
        <v>1612</v>
      </c>
      <c r="T452">
        <v>8</v>
      </c>
      <c r="U452">
        <v>8</v>
      </c>
      <c r="V452">
        <v>60</v>
      </c>
      <c r="W452" t="s">
        <v>1391</v>
      </c>
      <c r="Y452">
        <v>76146</v>
      </c>
      <c r="Z452">
        <v>79486</v>
      </c>
      <c r="AA452" t="s">
        <v>98</v>
      </c>
      <c r="AB452" t="s">
        <v>3003</v>
      </c>
      <c r="AC452">
        <v>1443767</v>
      </c>
      <c r="AD452" t="s">
        <v>2751</v>
      </c>
      <c r="AH452" t="s">
        <v>1428</v>
      </c>
      <c r="AI452">
        <v>68583623</v>
      </c>
      <c r="AK452">
        <v>56968583623</v>
      </c>
      <c r="AL452" t="s">
        <v>3004</v>
      </c>
      <c r="AO452" t="s">
        <v>3005</v>
      </c>
      <c r="AP452" t="s">
        <v>593</v>
      </c>
      <c r="AQ452" t="s">
        <v>215</v>
      </c>
      <c r="AR452" t="s">
        <v>3006</v>
      </c>
      <c r="AS452" t="s">
        <v>293</v>
      </c>
      <c r="AT452" t="s">
        <v>141</v>
      </c>
      <c r="AU452" t="s">
        <v>96</v>
      </c>
      <c r="AV452" t="s">
        <v>1478</v>
      </c>
      <c r="AZ452" t="s">
        <v>98</v>
      </c>
      <c r="BA452" t="s">
        <v>99</v>
      </c>
      <c r="BC452" t="s">
        <v>182</v>
      </c>
      <c r="BD452" t="s">
        <v>1529</v>
      </c>
      <c r="BE452">
        <v>2023</v>
      </c>
      <c r="BF452">
        <v>2023</v>
      </c>
    </row>
    <row r="453" spans="1:58">
      <c r="A453">
        <v>3414223</v>
      </c>
      <c r="B453">
        <v>349</v>
      </c>
      <c r="C453">
        <v>12</v>
      </c>
      <c r="D453">
        <v>6431652</v>
      </c>
      <c r="F453" t="s">
        <v>80</v>
      </c>
      <c r="G453" t="s">
        <v>81</v>
      </c>
      <c r="H453" t="s">
        <v>18</v>
      </c>
      <c r="I453" t="s">
        <v>20</v>
      </c>
      <c r="J453" t="s">
        <v>6</v>
      </c>
      <c r="K453" t="s">
        <v>83</v>
      </c>
      <c r="L453" s="3">
        <v>46029</v>
      </c>
      <c r="M453" t="s">
        <v>193</v>
      </c>
      <c r="N453">
        <v>13820720</v>
      </c>
      <c r="O453" t="s">
        <v>266</v>
      </c>
      <c r="P453" t="s">
        <v>3007</v>
      </c>
      <c r="Q453">
        <v>1</v>
      </c>
      <c r="R453">
        <v>357.38799999999998</v>
      </c>
      <c r="S453" s="3">
        <v>45785</v>
      </c>
      <c r="T453">
        <v>1</v>
      </c>
      <c r="U453">
        <v>1</v>
      </c>
      <c r="V453">
        <v>24</v>
      </c>
      <c r="W453" t="s">
        <v>156</v>
      </c>
      <c r="Y453">
        <v>679931</v>
      </c>
      <c r="Z453">
        <v>0</v>
      </c>
      <c r="AA453" t="s">
        <v>98</v>
      </c>
      <c r="AB453" t="s">
        <v>3008</v>
      </c>
      <c r="AC453">
        <v>4968587</v>
      </c>
      <c r="AD453" t="s">
        <v>2751</v>
      </c>
      <c r="AH453" t="s">
        <v>1428</v>
      </c>
      <c r="AI453">
        <v>993884848</v>
      </c>
      <c r="AL453" t="s">
        <v>3009</v>
      </c>
      <c r="AO453" t="s">
        <v>3010</v>
      </c>
      <c r="AP453" t="s">
        <v>800</v>
      </c>
      <c r="AQ453" t="s">
        <v>801</v>
      </c>
      <c r="AR453" t="s">
        <v>3011</v>
      </c>
      <c r="AS453" t="s">
        <v>556</v>
      </c>
      <c r="AT453" t="s">
        <v>122</v>
      </c>
      <c r="AU453" t="s">
        <v>96</v>
      </c>
      <c r="AZ453" t="s">
        <v>111</v>
      </c>
      <c r="BA453" t="s">
        <v>99</v>
      </c>
      <c r="BC453" t="s">
        <v>164</v>
      </c>
      <c r="BD453" t="s">
        <v>2708</v>
      </c>
      <c r="BE453">
        <v>2022</v>
      </c>
      <c r="BF453">
        <v>2022</v>
      </c>
    </row>
    <row r="454" spans="1:58">
      <c r="A454">
        <v>3417645</v>
      </c>
      <c r="B454">
        <v>208</v>
      </c>
      <c r="C454">
        <v>7</v>
      </c>
      <c r="D454">
        <v>3790393</v>
      </c>
      <c r="F454" t="s">
        <v>80</v>
      </c>
      <c r="G454" t="s">
        <v>81</v>
      </c>
      <c r="H454" t="s">
        <v>14</v>
      </c>
      <c r="I454" t="s">
        <v>14</v>
      </c>
      <c r="J454" t="s">
        <v>6</v>
      </c>
      <c r="K454" t="s">
        <v>83</v>
      </c>
      <c r="L454" s="3">
        <v>46029</v>
      </c>
      <c r="M454" t="s">
        <v>193</v>
      </c>
      <c r="N454">
        <v>6418399</v>
      </c>
      <c r="O454">
        <v>0</v>
      </c>
      <c r="P454" t="s">
        <v>3012</v>
      </c>
      <c r="Q454">
        <v>1</v>
      </c>
      <c r="R454">
        <v>266.13099999999997</v>
      </c>
      <c r="S454" t="s">
        <v>3013</v>
      </c>
      <c r="T454">
        <v>6</v>
      </c>
      <c r="U454">
        <v>6</v>
      </c>
      <c r="V454">
        <v>24</v>
      </c>
      <c r="W454" t="s">
        <v>1435</v>
      </c>
      <c r="X454" t="s">
        <v>1449</v>
      </c>
      <c r="Y454">
        <v>190877</v>
      </c>
      <c r="Z454">
        <v>147594</v>
      </c>
      <c r="AA454" t="s">
        <v>98</v>
      </c>
      <c r="AB454" t="s">
        <v>3014</v>
      </c>
      <c r="AC454">
        <v>2201388</v>
      </c>
      <c r="AD454" t="s">
        <v>1671</v>
      </c>
      <c r="AH454" t="s">
        <v>1428</v>
      </c>
      <c r="AI454">
        <v>988449364</v>
      </c>
      <c r="AL454" t="s">
        <v>3015</v>
      </c>
      <c r="AO454" t="s">
        <v>3016</v>
      </c>
      <c r="AP454" t="s">
        <v>107</v>
      </c>
      <c r="AQ454" t="s">
        <v>92</v>
      </c>
      <c r="AR454" t="s">
        <v>3017</v>
      </c>
      <c r="AS454" t="s">
        <v>284</v>
      </c>
      <c r="AT454" t="s">
        <v>141</v>
      </c>
      <c r="AU454" t="s">
        <v>96</v>
      </c>
      <c r="AZ454" t="s">
        <v>98</v>
      </c>
      <c r="BA454" t="s">
        <v>99</v>
      </c>
      <c r="BC454" t="s">
        <v>825</v>
      </c>
      <c r="BD454" t="s">
        <v>3018</v>
      </c>
      <c r="BE454">
        <v>2023</v>
      </c>
      <c r="BF454">
        <v>2023</v>
      </c>
    </row>
    <row r="455" spans="1:58">
      <c r="A455">
        <v>3417756</v>
      </c>
      <c r="B455">
        <v>0</v>
      </c>
      <c r="D455">
        <v>21584998</v>
      </c>
      <c r="F455" t="s">
        <v>80</v>
      </c>
      <c r="G455" t="s">
        <v>81</v>
      </c>
      <c r="H455" t="s">
        <v>21</v>
      </c>
      <c r="I455" t="s">
        <v>21</v>
      </c>
      <c r="J455" t="s">
        <v>6</v>
      </c>
      <c r="K455" t="s">
        <v>83</v>
      </c>
      <c r="L455" s="3">
        <v>46029</v>
      </c>
      <c r="M455" t="s">
        <v>193</v>
      </c>
      <c r="N455">
        <v>21301036</v>
      </c>
      <c r="O455">
        <v>0</v>
      </c>
      <c r="P455" t="s">
        <v>3019</v>
      </c>
      <c r="Q455">
        <v>1</v>
      </c>
      <c r="R455">
        <v>734.24900000000002</v>
      </c>
      <c r="U455">
        <v>0</v>
      </c>
      <c r="W455" t="s">
        <v>1425</v>
      </c>
      <c r="Y455">
        <v>0</v>
      </c>
      <c r="Z455">
        <v>0</v>
      </c>
      <c r="AA455" t="s">
        <v>98</v>
      </c>
      <c r="AB455" t="s">
        <v>3014</v>
      </c>
      <c r="AC455">
        <v>0</v>
      </c>
      <c r="AD455" t="s">
        <v>2751</v>
      </c>
      <c r="AH455" t="s">
        <v>5</v>
      </c>
      <c r="AI455">
        <v>986085160</v>
      </c>
      <c r="AL455" t="s">
        <v>3020</v>
      </c>
      <c r="AO455" t="s">
        <v>3021</v>
      </c>
      <c r="AP455" t="s">
        <v>620</v>
      </c>
      <c r="AQ455" t="s">
        <v>92</v>
      </c>
      <c r="AR455" t="s">
        <v>3022</v>
      </c>
      <c r="AS455" t="s">
        <v>455</v>
      </c>
      <c r="AT455" t="s">
        <v>122</v>
      </c>
      <c r="AU455" t="s">
        <v>96</v>
      </c>
      <c r="AZ455" t="s">
        <v>111</v>
      </c>
      <c r="BA455" t="s">
        <v>99</v>
      </c>
      <c r="BC455" t="s">
        <v>191</v>
      </c>
      <c r="BD455" t="s">
        <v>3023</v>
      </c>
      <c r="BE455">
        <v>2025</v>
      </c>
      <c r="BF455">
        <v>2025</v>
      </c>
    </row>
    <row r="456" spans="1:58">
      <c r="A456">
        <v>3418845</v>
      </c>
      <c r="B456">
        <v>141</v>
      </c>
      <c r="C456">
        <v>5</v>
      </c>
      <c r="D456">
        <v>4346433</v>
      </c>
      <c r="F456" t="s">
        <v>80</v>
      </c>
      <c r="G456" t="s">
        <v>81</v>
      </c>
      <c r="H456" t="s">
        <v>12</v>
      </c>
      <c r="I456" t="s">
        <v>12</v>
      </c>
      <c r="J456" t="s">
        <v>6</v>
      </c>
      <c r="K456" t="s">
        <v>83</v>
      </c>
      <c r="L456" s="3">
        <v>46029</v>
      </c>
      <c r="M456" t="s">
        <v>193</v>
      </c>
      <c r="N456">
        <v>15778679</v>
      </c>
      <c r="O456">
        <v>2</v>
      </c>
      <c r="P456" t="s">
        <v>3024</v>
      </c>
      <c r="Q456">
        <v>1</v>
      </c>
      <c r="R456">
        <v>160.84399999999999</v>
      </c>
      <c r="S456" s="3">
        <v>46025</v>
      </c>
      <c r="T456">
        <v>8</v>
      </c>
      <c r="U456">
        <v>8</v>
      </c>
      <c r="V456">
        <v>48</v>
      </c>
      <c r="W456" t="s">
        <v>1425</v>
      </c>
      <c r="X456" t="s">
        <v>87</v>
      </c>
      <c r="Y456">
        <v>56422</v>
      </c>
      <c r="Z456">
        <v>9721</v>
      </c>
      <c r="AA456" t="s">
        <v>98</v>
      </c>
      <c r="AB456" t="s">
        <v>3025</v>
      </c>
      <c r="AC456">
        <v>870363</v>
      </c>
      <c r="AD456" t="s">
        <v>3026</v>
      </c>
      <c r="AH456" t="s">
        <v>1428</v>
      </c>
      <c r="AI456">
        <v>920707639</v>
      </c>
      <c r="AL456" t="s">
        <v>3027</v>
      </c>
      <c r="AO456" t="s">
        <v>3028</v>
      </c>
      <c r="AP456" t="s">
        <v>3029</v>
      </c>
      <c r="AQ456" t="s">
        <v>92</v>
      </c>
      <c r="AR456" t="s">
        <v>2334</v>
      </c>
      <c r="AS456" t="s">
        <v>455</v>
      </c>
      <c r="AT456" t="s">
        <v>141</v>
      </c>
      <c r="AU456" t="s">
        <v>96</v>
      </c>
      <c r="AZ456" t="s">
        <v>98</v>
      </c>
      <c r="BA456" t="s">
        <v>99</v>
      </c>
      <c r="BB456" t="s">
        <v>3030</v>
      </c>
      <c r="BC456" t="s">
        <v>550</v>
      </c>
      <c r="BD456" t="s">
        <v>3031</v>
      </c>
      <c r="BE456">
        <v>2019</v>
      </c>
      <c r="BF456">
        <v>2019</v>
      </c>
    </row>
    <row r="457" spans="1:58">
      <c r="A457">
        <v>3419936</v>
      </c>
      <c r="B457">
        <v>141</v>
      </c>
      <c r="C457">
        <v>5</v>
      </c>
      <c r="D457">
        <v>11254435</v>
      </c>
      <c r="F457" t="s">
        <v>80</v>
      </c>
      <c r="G457" t="s">
        <v>81</v>
      </c>
      <c r="H457" t="s">
        <v>12</v>
      </c>
      <c r="I457" t="s">
        <v>12</v>
      </c>
      <c r="J457" t="s">
        <v>6</v>
      </c>
      <c r="K457" t="s">
        <v>83</v>
      </c>
      <c r="L457" s="3">
        <v>46029</v>
      </c>
      <c r="M457" t="s">
        <v>193</v>
      </c>
      <c r="N457">
        <v>12779652</v>
      </c>
      <c r="O457">
        <v>1</v>
      </c>
      <c r="P457" t="s">
        <v>3032</v>
      </c>
      <c r="Q457">
        <v>1</v>
      </c>
      <c r="R457">
        <v>361.59699999999998</v>
      </c>
      <c r="S457" s="3">
        <v>46025</v>
      </c>
      <c r="T457">
        <v>8</v>
      </c>
      <c r="U457">
        <v>8</v>
      </c>
      <c r="V457">
        <v>60</v>
      </c>
      <c r="W457" t="s">
        <v>1435</v>
      </c>
      <c r="Y457">
        <v>101729</v>
      </c>
      <c r="Z457">
        <v>117854</v>
      </c>
      <c r="AA457" t="s">
        <v>98</v>
      </c>
      <c r="AB457" t="s">
        <v>3033</v>
      </c>
      <c r="AC457">
        <v>2027568</v>
      </c>
      <c r="AD457" t="s">
        <v>2751</v>
      </c>
      <c r="AH457" t="s">
        <v>1428</v>
      </c>
      <c r="AI457">
        <v>56976367334</v>
      </c>
      <c r="AL457" t="s">
        <v>3034</v>
      </c>
      <c r="AO457" t="s">
        <v>3035</v>
      </c>
      <c r="AP457" t="s">
        <v>855</v>
      </c>
      <c r="AQ457" t="s">
        <v>856</v>
      </c>
      <c r="AR457" t="s">
        <v>2520</v>
      </c>
      <c r="AS457" t="s">
        <v>180</v>
      </c>
      <c r="AT457" t="s">
        <v>141</v>
      </c>
      <c r="AU457" t="s">
        <v>96</v>
      </c>
      <c r="AZ457" t="s">
        <v>98</v>
      </c>
      <c r="BA457" t="s">
        <v>99</v>
      </c>
      <c r="BC457" t="s">
        <v>143</v>
      </c>
      <c r="BD457" t="s">
        <v>3036</v>
      </c>
      <c r="BE457">
        <v>2024</v>
      </c>
      <c r="BF457">
        <v>2024</v>
      </c>
    </row>
    <row r="458" spans="1:58">
      <c r="A458">
        <v>3421001</v>
      </c>
      <c r="B458">
        <v>20</v>
      </c>
      <c r="C458">
        <v>1</v>
      </c>
      <c r="D458">
        <v>9431928</v>
      </c>
      <c r="F458" t="s">
        <v>80</v>
      </c>
      <c r="G458" t="s">
        <v>81</v>
      </c>
      <c r="H458" t="s">
        <v>19</v>
      </c>
      <c r="I458" s="527">
        <v>46052</v>
      </c>
      <c r="J458" t="s">
        <v>6</v>
      </c>
      <c r="K458" t="s">
        <v>83</v>
      </c>
      <c r="L458" s="3">
        <v>46029</v>
      </c>
      <c r="M458" t="s">
        <v>193</v>
      </c>
      <c r="N458">
        <v>11853996</v>
      </c>
      <c r="O458">
        <v>6</v>
      </c>
      <c r="P458" t="s">
        <v>3037</v>
      </c>
      <c r="Q458">
        <v>1</v>
      </c>
      <c r="R458">
        <v>278.56299999999999</v>
      </c>
      <c r="S458" t="s">
        <v>1522</v>
      </c>
      <c r="T458">
        <v>12</v>
      </c>
      <c r="U458">
        <v>11</v>
      </c>
      <c r="V458">
        <v>60</v>
      </c>
      <c r="W458" t="s">
        <v>1391</v>
      </c>
      <c r="Y458">
        <v>4206</v>
      </c>
      <c r="Z458">
        <v>0</v>
      </c>
      <c r="AA458" t="s">
        <v>98</v>
      </c>
      <c r="AB458" t="s">
        <v>3038</v>
      </c>
      <c r="AC458">
        <v>282769</v>
      </c>
      <c r="AD458" t="s">
        <v>1983</v>
      </c>
      <c r="AG458" t="s">
        <v>1523</v>
      </c>
      <c r="AH458" t="s">
        <v>1439</v>
      </c>
      <c r="AI458">
        <v>966454674</v>
      </c>
      <c r="AL458" t="s">
        <v>3039</v>
      </c>
      <c r="AO458" t="s">
        <v>3040</v>
      </c>
      <c r="AP458" t="s">
        <v>742</v>
      </c>
      <c r="AQ458" t="s">
        <v>92</v>
      </c>
      <c r="AR458" t="s">
        <v>2854</v>
      </c>
      <c r="AS458" t="s">
        <v>140</v>
      </c>
      <c r="AT458" t="s">
        <v>122</v>
      </c>
      <c r="AU458" t="s">
        <v>96</v>
      </c>
      <c r="AW458" t="s">
        <v>410</v>
      </c>
      <c r="AX458" t="s">
        <v>1527</v>
      </c>
      <c r="AY458" s="3">
        <v>46088</v>
      </c>
      <c r="AZ458" t="s">
        <v>111</v>
      </c>
      <c r="BA458" t="s">
        <v>285</v>
      </c>
      <c r="BC458" t="s">
        <v>191</v>
      </c>
      <c r="BD458" t="s">
        <v>3041</v>
      </c>
      <c r="BE458">
        <v>2021</v>
      </c>
      <c r="BF458">
        <v>2021</v>
      </c>
    </row>
    <row r="459" spans="1:58">
      <c r="A459">
        <v>3421212</v>
      </c>
      <c r="B459">
        <v>169</v>
      </c>
      <c r="C459">
        <v>6</v>
      </c>
      <c r="D459">
        <v>6432153</v>
      </c>
      <c r="F459" t="s">
        <v>80</v>
      </c>
      <c r="G459" t="s">
        <v>81</v>
      </c>
      <c r="H459" t="s">
        <v>12</v>
      </c>
      <c r="I459" t="s">
        <v>13</v>
      </c>
      <c r="J459" t="s">
        <v>6</v>
      </c>
      <c r="K459" t="s">
        <v>83</v>
      </c>
      <c r="L459" s="3">
        <v>46029</v>
      </c>
      <c r="M459" t="s">
        <v>193</v>
      </c>
      <c r="N459">
        <v>27108789</v>
      </c>
      <c r="O459">
        <v>6</v>
      </c>
      <c r="P459" t="s">
        <v>3042</v>
      </c>
      <c r="Q459">
        <v>1</v>
      </c>
      <c r="R459">
        <v>256.49599999999998</v>
      </c>
      <c r="S459" s="3">
        <v>46024</v>
      </c>
      <c r="T459">
        <v>7</v>
      </c>
      <c r="U459">
        <v>7</v>
      </c>
      <c r="V459">
        <v>48</v>
      </c>
      <c r="W459" t="s">
        <v>1425</v>
      </c>
      <c r="Y459">
        <v>127841</v>
      </c>
      <c r="Z459">
        <v>0</v>
      </c>
      <c r="AA459" t="s">
        <v>98</v>
      </c>
      <c r="AB459" t="s">
        <v>3043</v>
      </c>
      <c r="AC459">
        <v>1666817</v>
      </c>
      <c r="AD459" t="s">
        <v>1671</v>
      </c>
      <c r="AH459" t="s">
        <v>1428</v>
      </c>
      <c r="AI459">
        <v>959617033</v>
      </c>
      <c r="AL459" t="s">
        <v>3044</v>
      </c>
      <c r="AO459" t="s">
        <v>3045</v>
      </c>
      <c r="AP459" t="s">
        <v>107</v>
      </c>
      <c r="AQ459" t="s">
        <v>92</v>
      </c>
      <c r="AR459" t="s">
        <v>3046</v>
      </c>
      <c r="AS459" t="s">
        <v>228</v>
      </c>
      <c r="AT459" t="s">
        <v>122</v>
      </c>
      <c r="AU459" t="s">
        <v>96</v>
      </c>
      <c r="AZ459" t="s">
        <v>111</v>
      </c>
      <c r="BA459" t="s">
        <v>99</v>
      </c>
      <c r="BC459" t="s">
        <v>421</v>
      </c>
      <c r="BD459" t="s">
        <v>3047</v>
      </c>
      <c r="BE459">
        <v>2025</v>
      </c>
      <c r="BF459">
        <v>2025</v>
      </c>
    </row>
    <row r="460" spans="1:58">
      <c r="A460">
        <v>3424519</v>
      </c>
      <c r="B460">
        <v>257</v>
      </c>
      <c r="C460">
        <v>9</v>
      </c>
      <c r="D460">
        <v>8747371</v>
      </c>
      <c r="F460" t="s">
        <v>80</v>
      </c>
      <c r="G460" t="s">
        <v>81</v>
      </c>
      <c r="H460" t="s">
        <v>15</v>
      </c>
      <c r="I460" t="s">
        <v>16</v>
      </c>
      <c r="J460" t="s">
        <v>6</v>
      </c>
      <c r="K460" t="s">
        <v>83</v>
      </c>
      <c r="L460" s="3">
        <v>46029</v>
      </c>
      <c r="M460" t="s">
        <v>193</v>
      </c>
      <c r="N460">
        <v>16604834</v>
      </c>
      <c r="O460">
        <v>6</v>
      </c>
      <c r="P460" t="s">
        <v>3048</v>
      </c>
      <c r="Q460">
        <v>1</v>
      </c>
      <c r="R460">
        <v>245.726</v>
      </c>
      <c r="S460" s="3">
        <v>45788</v>
      </c>
      <c r="T460">
        <v>4</v>
      </c>
      <c r="U460">
        <v>4</v>
      </c>
      <c r="V460">
        <v>60</v>
      </c>
      <c r="W460" t="s">
        <v>1465</v>
      </c>
      <c r="Y460">
        <v>217890</v>
      </c>
      <c r="Z460">
        <v>0</v>
      </c>
      <c r="AA460" t="s">
        <v>98</v>
      </c>
      <c r="AB460" t="s">
        <v>3043</v>
      </c>
      <c r="AC460">
        <v>2429424</v>
      </c>
      <c r="AD460" t="s">
        <v>1579</v>
      </c>
      <c r="AH460" t="s">
        <v>1428</v>
      </c>
      <c r="AI460">
        <v>995282528</v>
      </c>
      <c r="AL460" t="s">
        <v>3049</v>
      </c>
      <c r="AO460" t="s">
        <v>3050</v>
      </c>
      <c r="AP460" t="s">
        <v>3051</v>
      </c>
      <c r="AQ460" t="s">
        <v>92</v>
      </c>
      <c r="AR460" t="s">
        <v>3052</v>
      </c>
      <c r="AS460" t="s">
        <v>140</v>
      </c>
      <c r="AT460" t="s">
        <v>122</v>
      </c>
      <c r="AU460" t="s">
        <v>96</v>
      </c>
      <c r="AZ460" t="s">
        <v>111</v>
      </c>
      <c r="BA460" t="s">
        <v>99</v>
      </c>
      <c r="BC460" t="s">
        <v>287</v>
      </c>
      <c r="BD460" t="s">
        <v>3053</v>
      </c>
      <c r="BE460">
        <v>2022</v>
      </c>
      <c r="BF460">
        <v>2022</v>
      </c>
    </row>
    <row r="461" spans="1:58">
      <c r="A461">
        <v>3425380</v>
      </c>
      <c r="B461">
        <v>198</v>
      </c>
      <c r="C461">
        <v>7</v>
      </c>
      <c r="D461">
        <v>9223296</v>
      </c>
      <c r="F461" t="s">
        <v>80</v>
      </c>
      <c r="G461" t="s">
        <v>81</v>
      </c>
      <c r="H461" t="s">
        <v>13</v>
      </c>
      <c r="I461" t="s">
        <v>14</v>
      </c>
      <c r="J461" t="s">
        <v>6</v>
      </c>
      <c r="K461" t="s">
        <v>83</v>
      </c>
      <c r="L461" s="3">
        <v>46029</v>
      </c>
      <c r="M461" t="s">
        <v>193</v>
      </c>
      <c r="N461">
        <v>10498341</v>
      </c>
      <c r="O461">
        <v>3</v>
      </c>
      <c r="P461" t="s">
        <v>3054</v>
      </c>
      <c r="Q461">
        <v>1</v>
      </c>
      <c r="R461">
        <v>335.67700000000002</v>
      </c>
      <c r="S461" s="3">
        <v>46082</v>
      </c>
      <c r="T461">
        <v>6</v>
      </c>
      <c r="U461">
        <v>6</v>
      </c>
      <c r="V461">
        <v>48</v>
      </c>
      <c r="W461" t="s">
        <v>1465</v>
      </c>
      <c r="Y461">
        <v>175531</v>
      </c>
      <c r="Z461">
        <v>9721</v>
      </c>
      <c r="AA461" t="s">
        <v>98</v>
      </c>
      <c r="AB461" t="s">
        <v>3055</v>
      </c>
      <c r="AC461">
        <v>2534991</v>
      </c>
      <c r="AD461" t="s">
        <v>2751</v>
      </c>
      <c r="AH461" t="s">
        <v>1428</v>
      </c>
      <c r="AI461">
        <v>995984873</v>
      </c>
      <c r="AL461" t="s">
        <v>3056</v>
      </c>
      <c r="AO461" t="s">
        <v>3057</v>
      </c>
      <c r="AP461" t="s">
        <v>3058</v>
      </c>
      <c r="AQ461" t="s">
        <v>765</v>
      </c>
      <c r="AR461" t="s">
        <v>3059</v>
      </c>
      <c r="AS461" t="s">
        <v>228</v>
      </c>
      <c r="AT461" t="s">
        <v>141</v>
      </c>
      <c r="AU461" t="s">
        <v>96</v>
      </c>
      <c r="AV461" t="s">
        <v>1478</v>
      </c>
      <c r="AZ461" t="s">
        <v>98</v>
      </c>
      <c r="BA461" t="s">
        <v>99</v>
      </c>
      <c r="BC461" t="s">
        <v>990</v>
      </c>
      <c r="BD461" t="s">
        <v>3060</v>
      </c>
      <c r="BE461">
        <v>2020</v>
      </c>
      <c r="BF461">
        <v>2020</v>
      </c>
    </row>
    <row r="462" spans="1:58">
      <c r="A462">
        <v>3428037</v>
      </c>
      <c r="B462">
        <v>208</v>
      </c>
      <c r="C462">
        <v>7</v>
      </c>
      <c r="D462">
        <v>6111623</v>
      </c>
      <c r="F462" t="s">
        <v>80</v>
      </c>
      <c r="G462" t="s">
        <v>81</v>
      </c>
      <c r="H462" t="s">
        <v>14</v>
      </c>
      <c r="I462" t="s">
        <v>14</v>
      </c>
      <c r="J462" t="s">
        <v>6</v>
      </c>
      <c r="K462" t="s">
        <v>83</v>
      </c>
      <c r="L462" s="3">
        <v>46029</v>
      </c>
      <c r="M462" t="s">
        <v>193</v>
      </c>
      <c r="N462">
        <v>13971841</v>
      </c>
      <c r="O462">
        <v>0</v>
      </c>
      <c r="P462" t="s">
        <v>3061</v>
      </c>
      <c r="Q462">
        <v>1</v>
      </c>
      <c r="R462">
        <v>279.81700000000001</v>
      </c>
      <c r="S462" t="s">
        <v>3013</v>
      </c>
      <c r="T462">
        <v>5</v>
      </c>
      <c r="U462">
        <v>5</v>
      </c>
      <c r="V462">
        <v>32</v>
      </c>
      <c r="W462" t="s">
        <v>1391</v>
      </c>
      <c r="Y462">
        <v>200693</v>
      </c>
      <c r="Z462">
        <v>0</v>
      </c>
      <c r="AA462" t="s">
        <v>98</v>
      </c>
      <c r="AB462" s="3">
        <v>45783</v>
      </c>
      <c r="AC462">
        <v>2159412</v>
      </c>
      <c r="AD462" t="s">
        <v>2241</v>
      </c>
      <c r="AH462" t="s">
        <v>1428</v>
      </c>
      <c r="AI462">
        <v>966991289</v>
      </c>
      <c r="AL462" t="s">
        <v>3062</v>
      </c>
      <c r="AO462" t="s">
        <v>3063</v>
      </c>
      <c r="AP462" t="s">
        <v>688</v>
      </c>
      <c r="AQ462" t="s">
        <v>299</v>
      </c>
      <c r="AR462" t="s">
        <v>2457</v>
      </c>
      <c r="AS462" t="s">
        <v>449</v>
      </c>
      <c r="AT462" t="s">
        <v>122</v>
      </c>
      <c r="AU462" t="s">
        <v>96</v>
      </c>
      <c r="AZ462" t="s">
        <v>111</v>
      </c>
      <c r="BA462" t="s">
        <v>99</v>
      </c>
      <c r="BC462" t="s">
        <v>164</v>
      </c>
      <c r="BD462" t="s">
        <v>3064</v>
      </c>
      <c r="BE462">
        <v>2022</v>
      </c>
      <c r="BF462">
        <v>2022</v>
      </c>
    </row>
    <row r="463" spans="1:58">
      <c r="A463">
        <v>3431610</v>
      </c>
      <c r="B463">
        <v>258</v>
      </c>
      <c r="C463">
        <v>9</v>
      </c>
      <c r="D463">
        <v>6517758</v>
      </c>
      <c r="F463" t="s">
        <v>80</v>
      </c>
      <c r="G463" t="s">
        <v>81</v>
      </c>
      <c r="H463" t="s">
        <v>15</v>
      </c>
      <c r="I463" t="s">
        <v>16</v>
      </c>
      <c r="J463" t="s">
        <v>6</v>
      </c>
      <c r="K463" t="s">
        <v>83</v>
      </c>
      <c r="L463" s="3">
        <v>46029</v>
      </c>
      <c r="M463" t="s">
        <v>193</v>
      </c>
      <c r="N463">
        <v>28026985</v>
      </c>
      <c r="O463">
        <v>9</v>
      </c>
      <c r="P463" t="s">
        <v>3065</v>
      </c>
      <c r="Q463">
        <v>1</v>
      </c>
      <c r="R463">
        <v>230.96799999999999</v>
      </c>
      <c r="S463" s="3">
        <v>45758</v>
      </c>
      <c r="T463">
        <v>4</v>
      </c>
      <c r="U463">
        <v>4</v>
      </c>
      <c r="V463">
        <v>37</v>
      </c>
      <c r="W463" t="s">
        <v>1448</v>
      </c>
      <c r="Y463">
        <v>249089</v>
      </c>
      <c r="Z463">
        <v>9721</v>
      </c>
      <c r="AA463" t="s">
        <v>98</v>
      </c>
      <c r="AB463" s="3">
        <v>45694</v>
      </c>
      <c r="AC463">
        <v>2337522</v>
      </c>
      <c r="AD463" t="s">
        <v>3066</v>
      </c>
      <c r="AH463" t="s">
        <v>1428</v>
      </c>
      <c r="AI463">
        <v>935252106</v>
      </c>
      <c r="AO463" t="s">
        <v>3067</v>
      </c>
      <c r="AP463" t="s">
        <v>107</v>
      </c>
      <c r="AQ463" t="s">
        <v>92</v>
      </c>
      <c r="AR463" t="s">
        <v>2807</v>
      </c>
      <c r="AS463" t="s">
        <v>346</v>
      </c>
      <c r="AT463" t="s">
        <v>141</v>
      </c>
      <c r="AU463" t="s">
        <v>96</v>
      </c>
      <c r="AZ463" t="s">
        <v>98</v>
      </c>
      <c r="BA463" t="s">
        <v>99</v>
      </c>
      <c r="BC463" t="s">
        <v>2559</v>
      </c>
      <c r="BD463" t="s">
        <v>3068</v>
      </c>
      <c r="BE463">
        <v>0</v>
      </c>
      <c r="BF463">
        <v>0</v>
      </c>
    </row>
    <row r="464" spans="1:58">
      <c r="A464">
        <v>3448444</v>
      </c>
      <c r="B464">
        <v>196</v>
      </c>
      <c r="C464">
        <v>7</v>
      </c>
      <c r="D464">
        <v>5368651</v>
      </c>
      <c r="F464" t="s">
        <v>80</v>
      </c>
      <c r="G464" t="s">
        <v>81</v>
      </c>
      <c r="H464" t="s">
        <v>13</v>
      </c>
      <c r="I464" t="s">
        <v>14</v>
      </c>
      <c r="J464" t="s">
        <v>6</v>
      </c>
      <c r="K464" t="s">
        <v>83</v>
      </c>
      <c r="L464" s="3">
        <v>46029</v>
      </c>
      <c r="M464" t="s">
        <v>193</v>
      </c>
      <c r="N464">
        <v>9517542</v>
      </c>
      <c r="O464">
        <v>2</v>
      </c>
      <c r="P464" t="s">
        <v>3069</v>
      </c>
      <c r="Q464">
        <v>1</v>
      </c>
      <c r="R464">
        <v>507.34300000000002</v>
      </c>
      <c r="S464" s="3">
        <v>46143</v>
      </c>
      <c r="T464">
        <v>9</v>
      </c>
      <c r="U464">
        <v>9</v>
      </c>
      <c r="V464">
        <v>21</v>
      </c>
      <c r="W464" t="s">
        <v>3070</v>
      </c>
      <c r="X464" t="s">
        <v>1532</v>
      </c>
      <c r="Y464">
        <v>317080</v>
      </c>
      <c r="Z464">
        <v>196162</v>
      </c>
      <c r="AA464" t="s">
        <v>98</v>
      </c>
      <c r="AB464" t="s">
        <v>1638</v>
      </c>
      <c r="AC464">
        <v>4064643</v>
      </c>
      <c r="AD464" t="s">
        <v>1499</v>
      </c>
      <c r="AH464" t="s">
        <v>1428</v>
      </c>
      <c r="AI464">
        <v>992817457</v>
      </c>
      <c r="AK464">
        <v>5692817457</v>
      </c>
      <c r="AL464" t="s">
        <v>3071</v>
      </c>
      <c r="AO464" t="s">
        <v>3072</v>
      </c>
      <c r="AP464" t="s">
        <v>2967</v>
      </c>
      <c r="AQ464" t="s">
        <v>92</v>
      </c>
      <c r="AR464" t="s">
        <v>3073</v>
      </c>
      <c r="AS464" t="s">
        <v>339</v>
      </c>
      <c r="AT464" t="s">
        <v>141</v>
      </c>
      <c r="AU464" t="s">
        <v>96</v>
      </c>
      <c r="AV464" t="s">
        <v>1478</v>
      </c>
      <c r="AZ464" t="s">
        <v>98</v>
      </c>
      <c r="BA464" t="s">
        <v>99</v>
      </c>
      <c r="BB464" t="s">
        <v>3074</v>
      </c>
      <c r="BC464" t="s">
        <v>2559</v>
      </c>
      <c r="BD464" t="s">
        <v>3075</v>
      </c>
      <c r="BE464">
        <v>2022</v>
      </c>
      <c r="BF464">
        <v>2022</v>
      </c>
    </row>
    <row r="465" spans="1:58">
      <c r="A465">
        <v>3451423</v>
      </c>
      <c r="B465">
        <v>257</v>
      </c>
      <c r="C465">
        <v>9</v>
      </c>
      <c r="D465">
        <v>6793285</v>
      </c>
      <c r="F465" t="s">
        <v>80</v>
      </c>
      <c r="G465" t="s">
        <v>81</v>
      </c>
      <c r="H465" t="s">
        <v>15</v>
      </c>
      <c r="I465" t="s">
        <v>16</v>
      </c>
      <c r="J465" t="s">
        <v>6</v>
      </c>
      <c r="K465" t="s">
        <v>83</v>
      </c>
      <c r="L465" s="3">
        <v>46029</v>
      </c>
      <c r="M465" t="s">
        <v>193</v>
      </c>
      <c r="N465">
        <v>27029517</v>
      </c>
      <c r="O465">
        <v>7</v>
      </c>
      <c r="P465" t="s">
        <v>3076</v>
      </c>
      <c r="Q465">
        <v>1</v>
      </c>
      <c r="R465">
        <v>528.89800000000002</v>
      </c>
      <c r="S465" s="3">
        <v>45788</v>
      </c>
      <c r="T465">
        <v>6</v>
      </c>
      <c r="U465">
        <v>6</v>
      </c>
      <c r="V465">
        <v>22</v>
      </c>
      <c r="W465" t="s">
        <v>3070</v>
      </c>
      <c r="X465" t="s">
        <v>87</v>
      </c>
      <c r="Y465">
        <v>589631</v>
      </c>
      <c r="Z465">
        <v>0</v>
      </c>
      <c r="AA465" t="s">
        <v>98</v>
      </c>
      <c r="AB465" s="3">
        <v>44928</v>
      </c>
      <c r="AC465">
        <v>5349713</v>
      </c>
      <c r="AD465" t="s">
        <v>1774</v>
      </c>
      <c r="AH465" t="s">
        <v>1428</v>
      </c>
      <c r="AI465">
        <v>945478414</v>
      </c>
      <c r="AL465" t="s">
        <v>3077</v>
      </c>
      <c r="AO465" t="s">
        <v>3078</v>
      </c>
      <c r="AP465" t="s">
        <v>855</v>
      </c>
      <c r="AQ465" t="s">
        <v>856</v>
      </c>
      <c r="AR465" t="s">
        <v>3079</v>
      </c>
      <c r="AS465" t="s">
        <v>556</v>
      </c>
      <c r="AT465" t="s">
        <v>122</v>
      </c>
      <c r="AU465" t="s">
        <v>96</v>
      </c>
      <c r="AZ465" t="s">
        <v>111</v>
      </c>
      <c r="BA465" t="s">
        <v>99</v>
      </c>
      <c r="BB465" t="s">
        <v>3080</v>
      </c>
      <c r="BC465" t="s">
        <v>143</v>
      </c>
      <c r="BD465" t="s">
        <v>2068</v>
      </c>
      <c r="BE465">
        <v>2023</v>
      </c>
      <c r="BF465">
        <v>2023</v>
      </c>
    </row>
    <row r="466" spans="1:58">
      <c r="A466">
        <v>3451973</v>
      </c>
      <c r="B466">
        <v>196</v>
      </c>
      <c r="C466">
        <v>7</v>
      </c>
      <c r="D466">
        <v>7103605</v>
      </c>
      <c r="F466" t="s">
        <v>80</v>
      </c>
      <c r="G466" t="s">
        <v>81</v>
      </c>
      <c r="H466" t="s">
        <v>13</v>
      </c>
      <c r="I466" t="s">
        <v>14</v>
      </c>
      <c r="J466" t="s">
        <v>6</v>
      </c>
      <c r="K466" t="s">
        <v>83</v>
      </c>
      <c r="L466" s="3">
        <v>46029</v>
      </c>
      <c r="M466" t="s">
        <v>193</v>
      </c>
      <c r="N466">
        <v>15958478</v>
      </c>
      <c r="O466" t="s">
        <v>266</v>
      </c>
      <c r="P466" t="s">
        <v>3081</v>
      </c>
      <c r="Q466">
        <v>1</v>
      </c>
      <c r="R466">
        <v>315.64600000000002</v>
      </c>
      <c r="S466" s="3">
        <v>46143</v>
      </c>
      <c r="T466">
        <v>8</v>
      </c>
      <c r="U466">
        <v>8</v>
      </c>
      <c r="V466">
        <v>15</v>
      </c>
      <c r="W466" t="s">
        <v>3070</v>
      </c>
      <c r="X466" t="s">
        <v>1449</v>
      </c>
      <c r="Y466">
        <v>304046</v>
      </c>
      <c r="Z466">
        <v>136988</v>
      </c>
      <c r="AA466" t="s">
        <v>98</v>
      </c>
      <c r="AB466" t="s">
        <v>1982</v>
      </c>
      <c r="AC466">
        <v>2650556</v>
      </c>
      <c r="AD466" t="s">
        <v>1821</v>
      </c>
      <c r="AH466" t="s">
        <v>1428</v>
      </c>
      <c r="AI466">
        <v>968396243</v>
      </c>
      <c r="AL466" t="s">
        <v>3082</v>
      </c>
      <c r="AO466" t="s">
        <v>3083</v>
      </c>
      <c r="AP466" t="s">
        <v>3084</v>
      </c>
      <c r="AQ466" t="s">
        <v>92</v>
      </c>
      <c r="AR466" t="s">
        <v>2020</v>
      </c>
      <c r="AS466" t="s">
        <v>243</v>
      </c>
      <c r="AT466" t="s">
        <v>141</v>
      </c>
      <c r="AU466" t="s">
        <v>96</v>
      </c>
      <c r="AV466" t="s">
        <v>1478</v>
      </c>
      <c r="AZ466" t="s">
        <v>98</v>
      </c>
      <c r="BA466" t="s">
        <v>99</v>
      </c>
      <c r="BC466" t="s">
        <v>2246</v>
      </c>
      <c r="BD466" t="s">
        <v>3085</v>
      </c>
      <c r="BE466">
        <v>2023</v>
      </c>
      <c r="BF466">
        <v>2023</v>
      </c>
    </row>
    <row r="467" spans="1:58">
      <c r="A467">
        <v>3452061</v>
      </c>
      <c r="B467">
        <v>0</v>
      </c>
      <c r="D467">
        <v>4481974</v>
      </c>
      <c r="F467" t="s">
        <v>80</v>
      </c>
      <c r="G467" t="s">
        <v>81</v>
      </c>
      <c r="H467" t="s">
        <v>23</v>
      </c>
      <c r="I467" t="s">
        <v>1862</v>
      </c>
      <c r="J467" t="s">
        <v>6</v>
      </c>
      <c r="K467" t="s">
        <v>83</v>
      </c>
      <c r="L467" s="3">
        <v>46302</v>
      </c>
      <c r="M467" t="s">
        <v>193</v>
      </c>
      <c r="N467">
        <v>16336357</v>
      </c>
      <c r="O467">
        <v>7</v>
      </c>
      <c r="P467" t="s">
        <v>3086</v>
      </c>
      <c r="Q467">
        <v>1</v>
      </c>
      <c r="R467">
        <v>329.83699999999999</v>
      </c>
      <c r="U467">
        <v>9</v>
      </c>
      <c r="W467" t="s">
        <v>3070</v>
      </c>
      <c r="X467" t="s">
        <v>1532</v>
      </c>
      <c r="Y467">
        <v>0</v>
      </c>
      <c r="Z467">
        <v>0</v>
      </c>
      <c r="AA467" t="s">
        <v>98</v>
      </c>
      <c r="AB467" s="3">
        <v>45175</v>
      </c>
      <c r="AC467">
        <v>0</v>
      </c>
      <c r="AD467" t="s">
        <v>1499</v>
      </c>
      <c r="AH467" t="s">
        <v>221</v>
      </c>
      <c r="AI467">
        <v>942464218</v>
      </c>
      <c r="AL467" t="s">
        <v>3087</v>
      </c>
      <c r="AO467" t="s">
        <v>3088</v>
      </c>
      <c r="AP467" t="s">
        <v>1324</v>
      </c>
      <c r="AQ467" t="s">
        <v>188</v>
      </c>
      <c r="AT467" t="s">
        <v>95</v>
      </c>
      <c r="AU467" t="s">
        <v>1777</v>
      </c>
      <c r="AW467" t="s">
        <v>218</v>
      </c>
      <c r="AX467" t="s">
        <v>1920</v>
      </c>
      <c r="AY467" t="s">
        <v>2301</v>
      </c>
      <c r="AZ467" t="s">
        <v>98</v>
      </c>
      <c r="BA467" t="s">
        <v>221</v>
      </c>
      <c r="BB467" t="s">
        <v>3089</v>
      </c>
      <c r="BC467" t="s">
        <v>475</v>
      </c>
      <c r="BD467" t="s">
        <v>3090</v>
      </c>
      <c r="BE467">
        <v>2023</v>
      </c>
      <c r="BF467">
        <v>2023</v>
      </c>
    </row>
    <row r="468" spans="1:58">
      <c r="A468">
        <v>3452429</v>
      </c>
      <c r="B468">
        <v>303</v>
      </c>
      <c r="C468">
        <v>2</v>
      </c>
      <c r="D468">
        <v>7635807</v>
      </c>
      <c r="F468" t="s">
        <v>80</v>
      </c>
      <c r="G468" t="s">
        <v>81</v>
      </c>
      <c r="H468" t="s">
        <v>17</v>
      </c>
      <c r="I468" t="s">
        <v>18</v>
      </c>
      <c r="J468" t="s">
        <v>6</v>
      </c>
      <c r="K468" t="s">
        <v>83</v>
      </c>
      <c r="L468" s="3">
        <v>46029</v>
      </c>
      <c r="M468" t="s">
        <v>193</v>
      </c>
      <c r="N468">
        <v>13720302</v>
      </c>
      <c r="O468">
        <v>2</v>
      </c>
      <c r="P468" t="s">
        <v>3091</v>
      </c>
      <c r="Q468">
        <v>1</v>
      </c>
      <c r="R468">
        <v>439.005</v>
      </c>
      <c r="S468" t="s">
        <v>3092</v>
      </c>
      <c r="T468">
        <v>3</v>
      </c>
      <c r="U468">
        <v>3</v>
      </c>
      <c r="V468">
        <v>5</v>
      </c>
      <c r="W468" t="s">
        <v>3070</v>
      </c>
      <c r="X468" t="s">
        <v>1532</v>
      </c>
      <c r="Y468">
        <v>1997539</v>
      </c>
      <c r="Z468">
        <v>370734</v>
      </c>
      <c r="AA468" t="s">
        <v>98</v>
      </c>
      <c r="AB468" s="3">
        <v>45024</v>
      </c>
      <c r="AC468">
        <v>3246283</v>
      </c>
      <c r="AD468" t="s">
        <v>1499</v>
      </c>
      <c r="AH468" t="s">
        <v>1428</v>
      </c>
      <c r="AI468">
        <v>950015811</v>
      </c>
      <c r="AL468" t="s">
        <v>3093</v>
      </c>
      <c r="AO468" t="s">
        <v>3094</v>
      </c>
      <c r="AP468" t="s">
        <v>3095</v>
      </c>
      <c r="AQ468" t="s">
        <v>724</v>
      </c>
      <c r="AR468" t="s">
        <v>3096</v>
      </c>
      <c r="AS468" t="s">
        <v>367</v>
      </c>
      <c r="AT468" t="s">
        <v>141</v>
      </c>
      <c r="AU468" t="s">
        <v>96</v>
      </c>
      <c r="AZ468" t="s">
        <v>98</v>
      </c>
      <c r="BA468" t="s">
        <v>99</v>
      </c>
      <c r="BB468" t="s">
        <v>3097</v>
      </c>
      <c r="BC468" t="s">
        <v>133</v>
      </c>
      <c r="BD468" t="s">
        <v>3098</v>
      </c>
      <c r="BE468">
        <v>2020</v>
      </c>
      <c r="BF468">
        <v>2020</v>
      </c>
    </row>
    <row r="469" spans="1:58">
      <c r="A469">
        <v>3452655</v>
      </c>
      <c r="B469">
        <v>347</v>
      </c>
      <c r="C469">
        <v>3</v>
      </c>
      <c r="D469">
        <v>7668715</v>
      </c>
      <c r="F469" t="s">
        <v>80</v>
      </c>
      <c r="G469" t="s">
        <v>81</v>
      </c>
      <c r="H469" t="s">
        <v>18</v>
      </c>
      <c r="I469" t="s">
        <v>20</v>
      </c>
      <c r="J469" t="s">
        <v>6</v>
      </c>
      <c r="K469" t="s">
        <v>83</v>
      </c>
      <c r="L469" s="3">
        <v>46029</v>
      </c>
      <c r="M469" t="s">
        <v>193</v>
      </c>
      <c r="N469">
        <v>18047588</v>
      </c>
      <c r="O469">
        <v>5</v>
      </c>
      <c r="P469" t="s">
        <v>3099</v>
      </c>
      <c r="Q469">
        <v>1</v>
      </c>
      <c r="R469">
        <v>266.50900000000001</v>
      </c>
      <c r="S469" s="3">
        <v>45846</v>
      </c>
      <c r="T469">
        <v>2</v>
      </c>
      <c r="U469">
        <v>2</v>
      </c>
      <c r="V469">
        <v>5</v>
      </c>
      <c r="W469" t="s">
        <v>3070</v>
      </c>
      <c r="X469" t="s">
        <v>1532</v>
      </c>
      <c r="Y469">
        <v>2111294</v>
      </c>
      <c r="Z469">
        <v>0</v>
      </c>
      <c r="AA469" t="s">
        <v>98</v>
      </c>
      <c r="AB469" s="3">
        <v>45116</v>
      </c>
      <c r="AC469">
        <v>2910821</v>
      </c>
      <c r="AD469" t="s">
        <v>1499</v>
      </c>
      <c r="AH469" t="s">
        <v>1428</v>
      </c>
      <c r="AI469">
        <v>988137889</v>
      </c>
      <c r="AL469" t="s">
        <v>3100</v>
      </c>
      <c r="AO469" t="s">
        <v>3101</v>
      </c>
      <c r="AP469" t="s">
        <v>433</v>
      </c>
      <c r="AQ469" t="s">
        <v>434</v>
      </c>
      <c r="AR469" t="s">
        <v>3102</v>
      </c>
      <c r="AS469" t="s">
        <v>455</v>
      </c>
      <c r="AT469" t="s">
        <v>74</v>
      </c>
      <c r="AU469" t="s">
        <v>96</v>
      </c>
      <c r="AZ469" t="s">
        <v>111</v>
      </c>
      <c r="BA469" t="s">
        <v>99</v>
      </c>
      <c r="BB469" t="s">
        <v>3103</v>
      </c>
      <c r="BC469" t="s">
        <v>769</v>
      </c>
      <c r="BD469" t="s">
        <v>3104</v>
      </c>
      <c r="BE469">
        <v>2022</v>
      </c>
      <c r="BF469">
        <v>2022</v>
      </c>
    </row>
    <row r="470" spans="1:58">
      <c r="A470">
        <v>3452939</v>
      </c>
      <c r="B470">
        <v>257</v>
      </c>
      <c r="C470">
        <v>9</v>
      </c>
      <c r="D470">
        <v>11071931</v>
      </c>
      <c r="F470" t="s">
        <v>80</v>
      </c>
      <c r="G470" t="s">
        <v>81</v>
      </c>
      <c r="H470" t="s">
        <v>15</v>
      </c>
      <c r="I470" t="s">
        <v>16</v>
      </c>
      <c r="J470" t="s">
        <v>6</v>
      </c>
      <c r="K470" t="s">
        <v>83</v>
      </c>
      <c r="L470" s="3">
        <v>46029</v>
      </c>
      <c r="M470" t="s">
        <v>193</v>
      </c>
      <c r="N470">
        <v>12465985</v>
      </c>
      <c r="O470" t="s">
        <v>266</v>
      </c>
      <c r="P470" t="s">
        <v>3105</v>
      </c>
      <c r="Q470">
        <v>1</v>
      </c>
      <c r="R470">
        <v>389.471</v>
      </c>
      <c r="S470" s="3">
        <v>45788</v>
      </c>
      <c r="T470">
        <v>4</v>
      </c>
      <c r="U470">
        <v>4</v>
      </c>
      <c r="V470">
        <v>18</v>
      </c>
      <c r="W470" t="s">
        <v>3070</v>
      </c>
      <c r="X470" t="s">
        <v>87</v>
      </c>
      <c r="Y470">
        <v>412182</v>
      </c>
      <c r="Z470">
        <v>194539</v>
      </c>
      <c r="AA470" t="s">
        <v>98</v>
      </c>
      <c r="AB470" t="s">
        <v>3106</v>
      </c>
      <c r="AC470">
        <v>4111960</v>
      </c>
      <c r="AD470" t="s">
        <v>2561</v>
      </c>
      <c r="AH470" t="s">
        <v>1428</v>
      </c>
      <c r="AI470">
        <v>992351271</v>
      </c>
      <c r="AL470" t="s">
        <v>3107</v>
      </c>
      <c r="AO470" t="s">
        <v>3108</v>
      </c>
      <c r="AP470" t="s">
        <v>1086</v>
      </c>
      <c r="AQ470" t="s">
        <v>322</v>
      </c>
      <c r="AR470" t="s">
        <v>3052</v>
      </c>
      <c r="AS470" t="s">
        <v>284</v>
      </c>
      <c r="AT470" t="s">
        <v>141</v>
      </c>
      <c r="AU470" t="s">
        <v>96</v>
      </c>
      <c r="AZ470" t="s">
        <v>98</v>
      </c>
      <c r="BA470" t="s">
        <v>99</v>
      </c>
      <c r="BB470" t="s">
        <v>3109</v>
      </c>
      <c r="BC470" t="s">
        <v>1566</v>
      </c>
      <c r="BD470" t="s">
        <v>3110</v>
      </c>
      <c r="BE470">
        <v>2019</v>
      </c>
      <c r="BF470">
        <v>2019</v>
      </c>
    </row>
    <row r="471" spans="1:58">
      <c r="A471">
        <v>3453154</v>
      </c>
      <c r="B471">
        <v>132</v>
      </c>
      <c r="C471">
        <v>5</v>
      </c>
      <c r="D471">
        <v>10112730</v>
      </c>
      <c r="F471" t="s">
        <v>80</v>
      </c>
      <c r="G471" t="s">
        <v>81</v>
      </c>
      <c r="H471" t="s">
        <v>23</v>
      </c>
      <c r="I471" t="s">
        <v>12</v>
      </c>
      <c r="J471" t="s">
        <v>6</v>
      </c>
      <c r="K471" t="s">
        <v>83</v>
      </c>
      <c r="L471" s="3">
        <v>46302</v>
      </c>
      <c r="M471" t="s">
        <v>1559</v>
      </c>
      <c r="N471">
        <v>7622802</v>
      </c>
      <c r="O471">
        <v>7</v>
      </c>
      <c r="P471" t="s">
        <v>3111</v>
      </c>
      <c r="Q471">
        <v>1</v>
      </c>
      <c r="R471">
        <v>364.41800000000001</v>
      </c>
      <c r="S471" s="3">
        <v>46298</v>
      </c>
      <c r="T471">
        <v>8</v>
      </c>
      <c r="U471">
        <v>8</v>
      </c>
      <c r="V471">
        <v>18</v>
      </c>
      <c r="W471" t="s">
        <v>3070</v>
      </c>
      <c r="X471" t="s">
        <v>1449</v>
      </c>
      <c r="Y471">
        <v>114252</v>
      </c>
      <c r="Z471">
        <v>9721</v>
      </c>
      <c r="AA471" t="s">
        <v>98</v>
      </c>
      <c r="AB471" s="3">
        <v>45210</v>
      </c>
      <c r="AC471">
        <v>1946063</v>
      </c>
      <c r="AD471" t="s">
        <v>1427</v>
      </c>
      <c r="AH471" t="s">
        <v>1428</v>
      </c>
      <c r="AI471">
        <v>993324100</v>
      </c>
      <c r="AL471" t="s">
        <v>3112</v>
      </c>
      <c r="AO471" t="s">
        <v>3113</v>
      </c>
      <c r="AP471" t="s">
        <v>1086</v>
      </c>
      <c r="AQ471" t="s">
        <v>322</v>
      </c>
      <c r="AT471" t="s">
        <v>95</v>
      </c>
      <c r="AU471" t="s">
        <v>1777</v>
      </c>
      <c r="AZ471" t="s">
        <v>98</v>
      </c>
      <c r="BA471" t="s">
        <v>99</v>
      </c>
      <c r="BB471" t="s">
        <v>3114</v>
      </c>
      <c r="BC471" t="s">
        <v>3115</v>
      </c>
      <c r="BD471" t="s">
        <v>3116</v>
      </c>
      <c r="BE471">
        <v>2024</v>
      </c>
      <c r="BF471">
        <v>2024</v>
      </c>
    </row>
    <row r="472" spans="1:58">
      <c r="A472">
        <v>3453389</v>
      </c>
      <c r="B472">
        <v>288</v>
      </c>
      <c r="C472">
        <v>10</v>
      </c>
      <c r="D472">
        <v>4151900</v>
      </c>
      <c r="F472" t="s">
        <v>80</v>
      </c>
      <c r="G472" t="s">
        <v>81</v>
      </c>
      <c r="H472" t="s">
        <v>16</v>
      </c>
      <c r="I472" t="s">
        <v>17</v>
      </c>
      <c r="J472" t="s">
        <v>6</v>
      </c>
      <c r="K472" t="s">
        <v>83</v>
      </c>
      <c r="L472" s="3">
        <v>46029</v>
      </c>
      <c r="M472" t="s">
        <v>193</v>
      </c>
      <c r="N472">
        <v>17907359</v>
      </c>
      <c r="O472">
        <v>5</v>
      </c>
      <c r="P472" t="s">
        <v>3117</v>
      </c>
      <c r="Q472">
        <v>1</v>
      </c>
      <c r="R472">
        <v>194.84399999999999</v>
      </c>
      <c r="S472" s="3">
        <v>45787</v>
      </c>
      <c r="T472">
        <v>3</v>
      </c>
      <c r="U472">
        <v>3</v>
      </c>
      <c r="V472">
        <v>31</v>
      </c>
      <c r="W472" t="s">
        <v>3070</v>
      </c>
      <c r="X472" t="s">
        <v>87</v>
      </c>
      <c r="Y472">
        <v>285674</v>
      </c>
      <c r="Z472">
        <v>0</v>
      </c>
      <c r="AA472" t="s">
        <v>98</v>
      </c>
      <c r="AB472" t="s">
        <v>2270</v>
      </c>
      <c r="AC472">
        <v>2234114</v>
      </c>
      <c r="AD472" t="s">
        <v>1499</v>
      </c>
      <c r="AH472" t="s">
        <v>1428</v>
      </c>
      <c r="AI472">
        <v>964306987</v>
      </c>
      <c r="AL472" t="s">
        <v>3118</v>
      </c>
      <c r="AO472" t="s">
        <v>3119</v>
      </c>
      <c r="AP472" t="s">
        <v>3120</v>
      </c>
      <c r="AQ472" t="s">
        <v>188</v>
      </c>
      <c r="AR472" t="s">
        <v>3121</v>
      </c>
      <c r="AS472" t="s">
        <v>171</v>
      </c>
      <c r="AT472" t="s">
        <v>122</v>
      </c>
      <c r="AU472" t="s">
        <v>96</v>
      </c>
      <c r="AZ472" t="s">
        <v>111</v>
      </c>
      <c r="BA472" t="s">
        <v>99</v>
      </c>
      <c r="BB472" t="s">
        <v>3122</v>
      </c>
      <c r="BC472" t="s">
        <v>550</v>
      </c>
      <c r="BD472" t="s">
        <v>551</v>
      </c>
      <c r="BE472">
        <v>2023</v>
      </c>
      <c r="BF472">
        <v>2023</v>
      </c>
    </row>
    <row r="473" spans="1:58">
      <c r="A473">
        <v>3454534</v>
      </c>
      <c r="B473">
        <v>239</v>
      </c>
      <c r="C473">
        <v>8</v>
      </c>
      <c r="D473">
        <v>2906162</v>
      </c>
      <c r="F473" t="s">
        <v>80</v>
      </c>
      <c r="G473" t="s">
        <v>81</v>
      </c>
      <c r="H473" t="s">
        <v>15</v>
      </c>
      <c r="I473" t="s">
        <v>15</v>
      </c>
      <c r="J473" t="s">
        <v>6</v>
      </c>
      <c r="K473" t="s">
        <v>83</v>
      </c>
      <c r="L473" s="3">
        <v>46029</v>
      </c>
      <c r="M473" t="s">
        <v>193</v>
      </c>
      <c r="N473">
        <v>10071534</v>
      </c>
      <c r="O473">
        <v>1</v>
      </c>
      <c r="P473" t="s">
        <v>3123</v>
      </c>
      <c r="Q473">
        <v>1</v>
      </c>
      <c r="R473">
        <v>218.98699999999999</v>
      </c>
      <c r="S473" t="s">
        <v>3124</v>
      </c>
      <c r="T473">
        <v>9</v>
      </c>
      <c r="U473">
        <v>9</v>
      </c>
      <c r="V473">
        <v>25</v>
      </c>
      <c r="W473" t="s">
        <v>3070</v>
      </c>
      <c r="X473" t="s">
        <v>87</v>
      </c>
      <c r="Y473">
        <v>222305</v>
      </c>
      <c r="Z473">
        <v>0</v>
      </c>
      <c r="AA473" t="s">
        <v>98</v>
      </c>
      <c r="AB473" t="s">
        <v>2366</v>
      </c>
      <c r="AC473">
        <v>1974201</v>
      </c>
      <c r="AD473" t="s">
        <v>1821</v>
      </c>
      <c r="AH473" t="s">
        <v>1428</v>
      </c>
      <c r="AI473">
        <v>983758216</v>
      </c>
      <c r="AL473" t="s">
        <v>3125</v>
      </c>
      <c r="AO473" t="s">
        <v>3126</v>
      </c>
      <c r="AP473" t="s">
        <v>3095</v>
      </c>
      <c r="AQ473" t="s">
        <v>724</v>
      </c>
      <c r="AR473" t="s">
        <v>3127</v>
      </c>
      <c r="AS473" t="s">
        <v>162</v>
      </c>
      <c r="AT473" t="s">
        <v>122</v>
      </c>
      <c r="AU473" t="s">
        <v>96</v>
      </c>
      <c r="AZ473" t="s">
        <v>111</v>
      </c>
      <c r="BA473" t="s">
        <v>99</v>
      </c>
      <c r="BB473" t="s">
        <v>3128</v>
      </c>
      <c r="BC473" t="s">
        <v>113</v>
      </c>
      <c r="BD473" t="s">
        <v>3129</v>
      </c>
      <c r="BE473">
        <v>2014</v>
      </c>
      <c r="BF473">
        <v>2014</v>
      </c>
    </row>
    <row r="474" spans="1:58">
      <c r="A474">
        <v>3454664</v>
      </c>
      <c r="B474">
        <v>76</v>
      </c>
      <c r="C474">
        <v>3</v>
      </c>
      <c r="D474">
        <v>5230538</v>
      </c>
      <c r="F474" t="s">
        <v>80</v>
      </c>
      <c r="G474" t="s">
        <v>81</v>
      </c>
      <c r="H474" t="s">
        <v>19</v>
      </c>
      <c r="I474" t="s">
        <v>22</v>
      </c>
      <c r="J474" t="s">
        <v>6</v>
      </c>
      <c r="K474" t="s">
        <v>83</v>
      </c>
      <c r="L474" s="3">
        <v>46029</v>
      </c>
      <c r="M474" t="s">
        <v>193</v>
      </c>
      <c r="N474">
        <v>12777986</v>
      </c>
      <c r="O474">
        <v>4</v>
      </c>
      <c r="P474" t="s">
        <v>3130</v>
      </c>
      <c r="Q474">
        <v>1</v>
      </c>
      <c r="R474">
        <v>295.07299999999998</v>
      </c>
      <c r="S474" s="3">
        <v>46147</v>
      </c>
      <c r="T474">
        <v>12</v>
      </c>
      <c r="U474">
        <v>12</v>
      </c>
      <c r="V474">
        <v>35</v>
      </c>
      <c r="W474" t="s">
        <v>3070</v>
      </c>
      <c r="X474" t="s">
        <v>1532</v>
      </c>
      <c r="Y474">
        <v>34281</v>
      </c>
      <c r="Z474">
        <v>56718</v>
      </c>
      <c r="AA474" t="s">
        <v>98</v>
      </c>
      <c r="AB474" s="3">
        <v>45415</v>
      </c>
      <c r="AC474">
        <v>976218</v>
      </c>
      <c r="AD474" t="s">
        <v>1821</v>
      </c>
      <c r="AG474" t="s">
        <v>1523</v>
      </c>
      <c r="AH474" t="s">
        <v>1428</v>
      </c>
      <c r="AI474">
        <v>940460992</v>
      </c>
      <c r="AL474" t="s">
        <v>3131</v>
      </c>
      <c r="AO474" t="s">
        <v>3132</v>
      </c>
      <c r="AP474" t="s">
        <v>1875</v>
      </c>
      <c r="AQ474" t="s">
        <v>299</v>
      </c>
      <c r="AR474" t="s">
        <v>3133</v>
      </c>
      <c r="AS474" t="s">
        <v>208</v>
      </c>
      <c r="AT474" t="s">
        <v>141</v>
      </c>
      <c r="AU474" t="s">
        <v>96</v>
      </c>
      <c r="AV474" t="s">
        <v>1478</v>
      </c>
      <c r="AZ474" t="s">
        <v>98</v>
      </c>
      <c r="BA474" t="s">
        <v>99</v>
      </c>
      <c r="BB474" t="s">
        <v>3134</v>
      </c>
      <c r="BC474" t="s">
        <v>113</v>
      </c>
      <c r="BD474" t="s">
        <v>3135</v>
      </c>
      <c r="BE474">
        <v>2013</v>
      </c>
      <c r="BF474">
        <v>2013</v>
      </c>
    </row>
    <row r="475" spans="1:58">
      <c r="A475">
        <v>3455440</v>
      </c>
      <c r="B475">
        <v>220</v>
      </c>
      <c r="C475">
        <v>8</v>
      </c>
      <c r="D475">
        <v>4500620</v>
      </c>
      <c r="F475" t="s">
        <v>80</v>
      </c>
      <c r="G475" t="s">
        <v>81</v>
      </c>
      <c r="H475" t="s">
        <v>14</v>
      </c>
      <c r="I475" t="s">
        <v>15</v>
      </c>
      <c r="J475" t="s">
        <v>6</v>
      </c>
      <c r="K475" t="s">
        <v>83</v>
      </c>
      <c r="L475" s="3">
        <v>46029</v>
      </c>
      <c r="M475" t="s">
        <v>193</v>
      </c>
      <c r="N475">
        <v>20523834</v>
      </c>
      <c r="O475">
        <v>4</v>
      </c>
      <c r="P475" t="s">
        <v>3136</v>
      </c>
      <c r="Q475">
        <v>1</v>
      </c>
      <c r="R475">
        <v>195.93299999999999</v>
      </c>
      <c r="S475" s="3">
        <v>46003</v>
      </c>
      <c r="T475">
        <v>5</v>
      </c>
      <c r="U475">
        <v>5</v>
      </c>
      <c r="V475">
        <v>36</v>
      </c>
      <c r="W475" t="s">
        <v>3070</v>
      </c>
      <c r="Y475">
        <v>161652</v>
      </c>
      <c r="Z475">
        <v>108240</v>
      </c>
      <c r="AA475" t="s">
        <v>98</v>
      </c>
      <c r="AB475" s="3">
        <v>45632</v>
      </c>
      <c r="AC475">
        <v>1837356</v>
      </c>
      <c r="AD475" t="s">
        <v>1499</v>
      </c>
      <c r="AH475" t="s">
        <v>1428</v>
      </c>
      <c r="AI475">
        <v>972446017</v>
      </c>
      <c r="AL475" t="s">
        <v>3137</v>
      </c>
      <c r="AO475" t="s">
        <v>3138</v>
      </c>
      <c r="AP475" t="s">
        <v>579</v>
      </c>
      <c r="AQ475" t="s">
        <v>188</v>
      </c>
      <c r="AR475" t="s">
        <v>3139</v>
      </c>
      <c r="AS475" t="s">
        <v>198</v>
      </c>
      <c r="AT475" t="s">
        <v>141</v>
      </c>
      <c r="AU475" t="s">
        <v>96</v>
      </c>
      <c r="AZ475" t="s">
        <v>98</v>
      </c>
      <c r="BA475" t="s">
        <v>99</v>
      </c>
      <c r="BB475" t="s">
        <v>3140</v>
      </c>
      <c r="BC475" t="s">
        <v>769</v>
      </c>
      <c r="BD475" t="s">
        <v>3141</v>
      </c>
      <c r="BE475">
        <v>2019</v>
      </c>
      <c r="BF475">
        <v>2019</v>
      </c>
    </row>
    <row r="476" spans="1:58">
      <c r="A476">
        <v>3455601</v>
      </c>
      <c r="B476">
        <v>257</v>
      </c>
      <c r="C476">
        <v>9</v>
      </c>
      <c r="D476">
        <v>4114223</v>
      </c>
      <c r="F476" t="s">
        <v>80</v>
      </c>
      <c r="G476" t="s">
        <v>81</v>
      </c>
      <c r="H476" t="s">
        <v>15</v>
      </c>
      <c r="I476" t="s">
        <v>16</v>
      </c>
      <c r="J476" t="s">
        <v>6</v>
      </c>
      <c r="K476" t="s">
        <v>83</v>
      </c>
      <c r="L476" s="3">
        <v>46029</v>
      </c>
      <c r="M476" t="s">
        <v>193</v>
      </c>
      <c r="N476">
        <v>20498809</v>
      </c>
      <c r="O476">
        <v>9</v>
      </c>
      <c r="P476" t="s">
        <v>3142</v>
      </c>
      <c r="Q476">
        <v>1</v>
      </c>
      <c r="R476">
        <v>176.40700000000001</v>
      </c>
      <c r="S476" s="3">
        <v>45788</v>
      </c>
      <c r="T476">
        <v>4</v>
      </c>
      <c r="U476">
        <v>4</v>
      </c>
      <c r="V476">
        <v>37</v>
      </c>
      <c r="W476" t="s">
        <v>3070</v>
      </c>
      <c r="X476" t="s">
        <v>87</v>
      </c>
      <c r="Y476">
        <v>193820</v>
      </c>
      <c r="Z476">
        <v>9721</v>
      </c>
      <c r="AA476" t="s">
        <v>98</v>
      </c>
      <c r="AB476" s="3">
        <v>45389</v>
      </c>
      <c r="AC476">
        <v>1791204</v>
      </c>
      <c r="AD476" t="s">
        <v>2581</v>
      </c>
      <c r="AH476" t="s">
        <v>1428</v>
      </c>
      <c r="AI476">
        <v>926361949</v>
      </c>
      <c r="AL476" t="s">
        <v>3143</v>
      </c>
      <c r="AO476" t="s">
        <v>3144</v>
      </c>
      <c r="AP476" t="s">
        <v>3145</v>
      </c>
      <c r="AQ476" t="s">
        <v>322</v>
      </c>
      <c r="AR476" t="s">
        <v>3146</v>
      </c>
      <c r="AS476" t="s">
        <v>131</v>
      </c>
      <c r="AT476" t="s">
        <v>141</v>
      </c>
      <c r="AU476" t="s">
        <v>96</v>
      </c>
      <c r="AZ476" t="s">
        <v>98</v>
      </c>
      <c r="BA476" t="s">
        <v>99</v>
      </c>
      <c r="BB476" t="s">
        <v>3147</v>
      </c>
      <c r="BC476" t="s">
        <v>468</v>
      </c>
      <c r="BD476" t="s">
        <v>3148</v>
      </c>
      <c r="BE476">
        <v>2018</v>
      </c>
      <c r="BF476">
        <v>2018</v>
      </c>
    </row>
    <row r="477" spans="1:58">
      <c r="A477">
        <v>3455677</v>
      </c>
      <c r="B477">
        <v>165</v>
      </c>
      <c r="C477">
        <v>6</v>
      </c>
      <c r="D477">
        <v>4784058</v>
      </c>
      <c r="F477" t="s">
        <v>80</v>
      </c>
      <c r="G477" t="s">
        <v>81</v>
      </c>
      <c r="H477" t="s">
        <v>12</v>
      </c>
      <c r="I477" t="s">
        <v>13</v>
      </c>
      <c r="J477" t="s">
        <v>6</v>
      </c>
      <c r="K477" t="s">
        <v>83</v>
      </c>
      <c r="L477" s="3">
        <v>46029</v>
      </c>
      <c r="M477" t="s">
        <v>193</v>
      </c>
      <c r="N477">
        <v>20030024</v>
      </c>
      <c r="O477">
        <v>6</v>
      </c>
      <c r="P477" t="s">
        <v>3149</v>
      </c>
      <c r="Q477">
        <v>1</v>
      </c>
      <c r="R477">
        <v>213.31399999999999</v>
      </c>
      <c r="S477" s="3">
        <v>46144</v>
      </c>
      <c r="T477">
        <v>7</v>
      </c>
      <c r="U477">
        <v>7</v>
      </c>
      <c r="V477">
        <v>37</v>
      </c>
      <c r="W477" t="s">
        <v>3070</v>
      </c>
      <c r="X477" t="s">
        <v>87</v>
      </c>
      <c r="Y477">
        <v>104542</v>
      </c>
      <c r="Z477">
        <v>90735</v>
      </c>
      <c r="AA477" t="s">
        <v>98</v>
      </c>
      <c r="AB477" s="3">
        <v>45389</v>
      </c>
      <c r="AC477">
        <v>1475161</v>
      </c>
      <c r="AD477" t="s">
        <v>1499</v>
      </c>
      <c r="AH477" t="s">
        <v>1428</v>
      </c>
      <c r="AI477">
        <v>931866452</v>
      </c>
      <c r="AL477" t="s">
        <v>3150</v>
      </c>
      <c r="AO477" t="s">
        <v>3151</v>
      </c>
      <c r="AP477" t="s">
        <v>3095</v>
      </c>
      <c r="AQ477" t="s">
        <v>724</v>
      </c>
      <c r="AR477" t="s">
        <v>3152</v>
      </c>
      <c r="AS477" t="s">
        <v>752</v>
      </c>
      <c r="AT477" t="s">
        <v>141</v>
      </c>
      <c r="AU477" t="s">
        <v>96</v>
      </c>
      <c r="AZ477" t="s">
        <v>98</v>
      </c>
      <c r="BA477" t="s">
        <v>99</v>
      </c>
      <c r="BB477" t="s">
        <v>3153</v>
      </c>
      <c r="BC477" t="s">
        <v>769</v>
      </c>
      <c r="BD477" t="s">
        <v>3104</v>
      </c>
      <c r="BE477">
        <v>2019</v>
      </c>
      <c r="BF477">
        <v>2019</v>
      </c>
    </row>
    <row r="478" spans="1:58">
      <c r="A478">
        <v>3455766</v>
      </c>
      <c r="B478">
        <v>165</v>
      </c>
      <c r="C478">
        <v>6</v>
      </c>
      <c r="D478">
        <v>3343489</v>
      </c>
      <c r="F478" t="s">
        <v>80</v>
      </c>
      <c r="G478" t="s">
        <v>81</v>
      </c>
      <c r="H478" t="s">
        <v>12</v>
      </c>
      <c r="I478" t="s">
        <v>13</v>
      </c>
      <c r="J478" t="s">
        <v>6</v>
      </c>
      <c r="K478" t="s">
        <v>83</v>
      </c>
      <c r="L478" s="3">
        <v>46302</v>
      </c>
      <c r="M478" t="s">
        <v>193</v>
      </c>
      <c r="N478">
        <v>6807692</v>
      </c>
      <c r="O478">
        <v>7</v>
      </c>
      <c r="P478" t="s">
        <v>3154</v>
      </c>
      <c r="Q478">
        <v>1</v>
      </c>
      <c r="R478">
        <v>225.84399999999999</v>
      </c>
      <c r="S478" s="3">
        <v>46144</v>
      </c>
      <c r="T478">
        <v>9</v>
      </c>
      <c r="U478">
        <v>9</v>
      </c>
      <c r="V478">
        <v>28</v>
      </c>
      <c r="W478" t="s">
        <v>3070</v>
      </c>
      <c r="X478" t="s">
        <v>1532</v>
      </c>
      <c r="Y478">
        <v>108958</v>
      </c>
      <c r="Z478">
        <v>95208</v>
      </c>
      <c r="AA478" t="s">
        <v>98</v>
      </c>
      <c r="AB478" t="s">
        <v>3155</v>
      </c>
      <c r="AC478">
        <v>1559230</v>
      </c>
      <c r="AD478" t="s">
        <v>3156</v>
      </c>
      <c r="AH478" t="s">
        <v>1428</v>
      </c>
      <c r="AI478">
        <v>996475285</v>
      </c>
      <c r="AL478" t="s">
        <v>3157</v>
      </c>
      <c r="AO478" t="s">
        <v>3158</v>
      </c>
      <c r="AP478" t="s">
        <v>855</v>
      </c>
      <c r="AQ478" t="s">
        <v>856</v>
      </c>
      <c r="AT478" t="s">
        <v>95</v>
      </c>
      <c r="AU478" t="s">
        <v>1777</v>
      </c>
      <c r="AZ478" t="s">
        <v>98</v>
      </c>
      <c r="BA478" t="s">
        <v>99</v>
      </c>
      <c r="BB478" t="s">
        <v>3159</v>
      </c>
      <c r="BC478" t="s">
        <v>2559</v>
      </c>
      <c r="BD478" t="s">
        <v>3160</v>
      </c>
      <c r="BE478">
        <v>2021</v>
      </c>
      <c r="BF478">
        <v>2021</v>
      </c>
    </row>
    <row r="479" spans="1:58">
      <c r="A479">
        <v>3455901</v>
      </c>
      <c r="B479">
        <v>43</v>
      </c>
      <c r="C479">
        <v>2</v>
      </c>
      <c r="D479">
        <v>4758382</v>
      </c>
      <c r="F479" t="s">
        <v>80</v>
      </c>
      <c r="G479" t="s">
        <v>81</v>
      </c>
      <c r="H479" t="s">
        <v>12</v>
      </c>
      <c r="I479" t="s">
        <v>19</v>
      </c>
      <c r="J479" t="s">
        <v>6</v>
      </c>
      <c r="K479" t="s">
        <v>83</v>
      </c>
      <c r="L479" s="3">
        <v>46029</v>
      </c>
      <c r="M479" t="s">
        <v>193</v>
      </c>
      <c r="N479">
        <v>15915568</v>
      </c>
      <c r="O479">
        <v>4</v>
      </c>
      <c r="P479" t="s">
        <v>3161</v>
      </c>
      <c r="Q479">
        <v>1</v>
      </c>
      <c r="R479">
        <v>207.155</v>
      </c>
      <c r="S479" s="3">
        <v>46209</v>
      </c>
      <c r="T479">
        <v>11</v>
      </c>
      <c r="U479">
        <v>7</v>
      </c>
      <c r="V479">
        <v>38</v>
      </c>
      <c r="W479" t="s">
        <v>3070</v>
      </c>
      <c r="X479" t="s">
        <v>87</v>
      </c>
      <c r="Y479">
        <v>10539</v>
      </c>
      <c r="Z479">
        <v>9721</v>
      </c>
      <c r="AA479" t="s">
        <v>98</v>
      </c>
      <c r="AB479" s="3">
        <v>45512</v>
      </c>
      <c r="AC479">
        <v>434570</v>
      </c>
      <c r="AD479" t="s">
        <v>1499</v>
      </c>
      <c r="AH479" t="s">
        <v>1789</v>
      </c>
      <c r="AI479">
        <v>979872085</v>
      </c>
      <c r="AL479" t="s">
        <v>3162</v>
      </c>
      <c r="AO479" t="s">
        <v>3163</v>
      </c>
      <c r="AP479" t="s">
        <v>509</v>
      </c>
      <c r="AQ479" t="s">
        <v>338</v>
      </c>
      <c r="AR479" t="s">
        <v>2520</v>
      </c>
      <c r="AS479" t="s">
        <v>449</v>
      </c>
      <c r="AT479" t="s">
        <v>141</v>
      </c>
      <c r="AU479" t="s">
        <v>96</v>
      </c>
      <c r="AZ479" t="s">
        <v>98</v>
      </c>
      <c r="BA479" t="s">
        <v>99</v>
      </c>
      <c r="BB479" t="s">
        <v>3164</v>
      </c>
      <c r="BC479" t="s">
        <v>164</v>
      </c>
      <c r="BD479" t="s">
        <v>3165</v>
      </c>
      <c r="BE479">
        <v>2017</v>
      </c>
      <c r="BF479">
        <v>2017</v>
      </c>
    </row>
    <row r="480" spans="1:58">
      <c r="A480">
        <v>3455937</v>
      </c>
      <c r="B480">
        <v>318</v>
      </c>
      <c r="C480">
        <v>11</v>
      </c>
      <c r="D480">
        <v>10192283</v>
      </c>
      <c r="F480" t="s">
        <v>80</v>
      </c>
      <c r="G480" t="s">
        <v>81</v>
      </c>
      <c r="H480" t="s">
        <v>17</v>
      </c>
      <c r="I480" t="s">
        <v>18</v>
      </c>
      <c r="J480" t="s">
        <v>6</v>
      </c>
      <c r="K480" t="s">
        <v>83</v>
      </c>
      <c r="L480" s="3">
        <v>46029</v>
      </c>
      <c r="M480" t="s">
        <v>193</v>
      </c>
      <c r="N480">
        <v>13946743</v>
      </c>
      <c r="O480">
        <v>4</v>
      </c>
      <c r="P480" t="s">
        <v>3166</v>
      </c>
      <c r="Q480">
        <v>1</v>
      </c>
      <c r="R480">
        <v>388.404</v>
      </c>
      <c r="S480" s="3">
        <v>45786</v>
      </c>
      <c r="T480">
        <v>3</v>
      </c>
      <c r="U480">
        <v>3</v>
      </c>
      <c r="V480">
        <v>39</v>
      </c>
      <c r="W480" t="s">
        <v>3070</v>
      </c>
      <c r="X480" t="s">
        <v>87</v>
      </c>
      <c r="Y480">
        <v>523770</v>
      </c>
      <c r="Z480">
        <v>9721</v>
      </c>
      <c r="AA480" t="s">
        <v>98</v>
      </c>
      <c r="AB480" t="s">
        <v>3167</v>
      </c>
      <c r="AC480">
        <v>4805935</v>
      </c>
      <c r="AD480" t="s">
        <v>3168</v>
      </c>
      <c r="AH480" t="s">
        <v>1428</v>
      </c>
      <c r="AI480">
        <v>940308069</v>
      </c>
      <c r="AL480" t="s">
        <v>3169</v>
      </c>
      <c r="AO480" t="s">
        <v>3170</v>
      </c>
      <c r="AP480" t="s">
        <v>3095</v>
      </c>
      <c r="AQ480" t="s">
        <v>724</v>
      </c>
      <c r="AR480" t="s">
        <v>2170</v>
      </c>
      <c r="AS480" t="s">
        <v>752</v>
      </c>
      <c r="AT480" t="s">
        <v>141</v>
      </c>
      <c r="AU480" t="s">
        <v>96</v>
      </c>
      <c r="AV480" t="s">
        <v>1478</v>
      </c>
      <c r="AZ480" t="s">
        <v>98</v>
      </c>
      <c r="BA480" t="s">
        <v>99</v>
      </c>
      <c r="BB480" t="s">
        <v>3171</v>
      </c>
      <c r="BC480" t="s">
        <v>804</v>
      </c>
      <c r="BD480" t="s">
        <v>3172</v>
      </c>
      <c r="BE480">
        <v>2021</v>
      </c>
      <c r="BF480">
        <v>2021</v>
      </c>
    </row>
    <row r="481" spans="1:58">
      <c r="A481">
        <v>3456057</v>
      </c>
      <c r="B481">
        <v>160</v>
      </c>
      <c r="C481">
        <v>6</v>
      </c>
      <c r="D481">
        <v>14043260</v>
      </c>
      <c r="F481" t="s">
        <v>80</v>
      </c>
      <c r="G481" t="s">
        <v>81</v>
      </c>
      <c r="H481" t="s">
        <v>12</v>
      </c>
      <c r="I481" t="s">
        <v>13</v>
      </c>
      <c r="J481" t="s">
        <v>6</v>
      </c>
      <c r="K481" t="s">
        <v>83</v>
      </c>
      <c r="L481" s="3">
        <v>46029</v>
      </c>
      <c r="M481" t="s">
        <v>193</v>
      </c>
      <c r="N481">
        <v>14615933</v>
      </c>
      <c r="O481">
        <v>8</v>
      </c>
      <c r="P481" t="s">
        <v>3173</v>
      </c>
      <c r="Q481">
        <v>1</v>
      </c>
      <c r="R481">
        <v>450.36399999999998</v>
      </c>
      <c r="S481" s="3">
        <v>46297</v>
      </c>
      <c r="T481">
        <v>7</v>
      </c>
      <c r="U481">
        <v>7</v>
      </c>
      <c r="V481">
        <v>27</v>
      </c>
      <c r="W481" t="s">
        <v>3070</v>
      </c>
      <c r="X481" t="s">
        <v>1449</v>
      </c>
      <c r="Y481">
        <v>171540</v>
      </c>
      <c r="Z481">
        <v>167880</v>
      </c>
      <c r="AA481" t="s">
        <v>98</v>
      </c>
      <c r="AB481" s="3">
        <v>45512</v>
      </c>
      <c r="AC481">
        <v>3041604</v>
      </c>
      <c r="AD481" t="s">
        <v>1983</v>
      </c>
      <c r="AH481" t="s">
        <v>1428</v>
      </c>
      <c r="AI481">
        <v>954084987</v>
      </c>
      <c r="AL481" t="s">
        <v>3174</v>
      </c>
      <c r="AO481" t="s">
        <v>3175</v>
      </c>
      <c r="AP481" t="s">
        <v>3176</v>
      </c>
      <c r="AQ481" t="s">
        <v>178</v>
      </c>
      <c r="AR481" t="s">
        <v>3177</v>
      </c>
      <c r="AS481" t="s">
        <v>323</v>
      </c>
      <c r="AT481" t="s">
        <v>141</v>
      </c>
      <c r="AU481" t="s">
        <v>96</v>
      </c>
      <c r="AZ481" t="s">
        <v>98</v>
      </c>
      <c r="BA481" t="s">
        <v>99</v>
      </c>
      <c r="BB481" t="s">
        <v>3178</v>
      </c>
      <c r="BC481" t="s">
        <v>2246</v>
      </c>
      <c r="BD481" t="s">
        <v>3179</v>
      </c>
      <c r="BE481">
        <v>2024</v>
      </c>
      <c r="BF481">
        <v>2024</v>
      </c>
    </row>
    <row r="482" spans="1:58">
      <c r="A482">
        <v>3456392</v>
      </c>
      <c r="B482">
        <v>318</v>
      </c>
      <c r="C482">
        <v>11</v>
      </c>
      <c r="D482">
        <v>5914470</v>
      </c>
      <c r="F482" t="s">
        <v>80</v>
      </c>
      <c r="G482" t="s">
        <v>81</v>
      </c>
      <c r="H482" t="s">
        <v>17</v>
      </c>
      <c r="I482" t="s">
        <v>18</v>
      </c>
      <c r="J482" t="s">
        <v>6</v>
      </c>
      <c r="K482" t="s">
        <v>83</v>
      </c>
      <c r="L482" s="3">
        <v>46029</v>
      </c>
      <c r="M482" t="s">
        <v>193</v>
      </c>
      <c r="N482">
        <v>16406426</v>
      </c>
      <c r="O482">
        <v>3</v>
      </c>
      <c r="P482" t="s">
        <v>3180</v>
      </c>
      <c r="Q482">
        <v>1</v>
      </c>
      <c r="R482">
        <v>293.94400000000002</v>
      </c>
      <c r="S482" s="3">
        <v>45786</v>
      </c>
      <c r="T482">
        <v>2</v>
      </c>
      <c r="U482">
        <v>2</v>
      </c>
      <c r="V482">
        <v>28</v>
      </c>
      <c r="W482" t="s">
        <v>3070</v>
      </c>
      <c r="X482" t="s">
        <v>87</v>
      </c>
      <c r="Y482">
        <v>474690</v>
      </c>
      <c r="Z482">
        <v>0</v>
      </c>
      <c r="AA482" t="s">
        <v>98</v>
      </c>
      <c r="AB482" s="3">
        <v>45605</v>
      </c>
      <c r="AC482">
        <v>3708074</v>
      </c>
      <c r="AD482">
        <v>2</v>
      </c>
      <c r="AH482" t="s">
        <v>1428</v>
      </c>
      <c r="AI482">
        <v>990153367</v>
      </c>
      <c r="AL482" t="s">
        <v>3181</v>
      </c>
      <c r="AO482" t="s">
        <v>3182</v>
      </c>
      <c r="AP482" t="s">
        <v>433</v>
      </c>
      <c r="AQ482" t="s">
        <v>434</v>
      </c>
      <c r="AR482" t="s">
        <v>2170</v>
      </c>
      <c r="AS482" t="s">
        <v>767</v>
      </c>
      <c r="AT482" t="s">
        <v>122</v>
      </c>
      <c r="AU482" t="s">
        <v>96</v>
      </c>
      <c r="AZ482" t="s">
        <v>111</v>
      </c>
      <c r="BA482" t="s">
        <v>99</v>
      </c>
      <c r="BB482" t="s">
        <v>3183</v>
      </c>
      <c r="BC482" t="s">
        <v>664</v>
      </c>
      <c r="BD482" t="s">
        <v>3184</v>
      </c>
      <c r="BE482">
        <v>2020</v>
      </c>
      <c r="BF482">
        <v>2020</v>
      </c>
    </row>
    <row r="483" spans="1:58">
      <c r="A483">
        <v>3456572</v>
      </c>
      <c r="B483">
        <v>288</v>
      </c>
      <c r="C483">
        <v>10</v>
      </c>
      <c r="D483">
        <v>4831184</v>
      </c>
      <c r="F483" t="s">
        <v>80</v>
      </c>
      <c r="G483" t="s">
        <v>81</v>
      </c>
      <c r="H483" t="s">
        <v>16</v>
      </c>
      <c r="I483" t="s">
        <v>17</v>
      </c>
      <c r="J483" t="s">
        <v>6</v>
      </c>
      <c r="K483" t="s">
        <v>83</v>
      </c>
      <c r="L483" s="3">
        <v>46029</v>
      </c>
      <c r="M483" t="s">
        <v>193</v>
      </c>
      <c r="N483">
        <v>19440584</v>
      </c>
      <c r="O483">
        <v>7</v>
      </c>
      <c r="P483" t="s">
        <v>3185</v>
      </c>
      <c r="Q483">
        <v>1</v>
      </c>
      <c r="R483">
        <v>264.92399999999998</v>
      </c>
      <c r="S483" s="3">
        <v>45787</v>
      </c>
      <c r="T483">
        <v>5</v>
      </c>
      <c r="U483">
        <v>5</v>
      </c>
      <c r="V483">
        <v>30</v>
      </c>
      <c r="W483" t="s">
        <v>3070</v>
      </c>
      <c r="X483" t="s">
        <v>87</v>
      </c>
      <c r="Y483">
        <v>348990</v>
      </c>
      <c r="Z483">
        <v>137796</v>
      </c>
      <c r="AA483" t="s">
        <v>98</v>
      </c>
      <c r="AB483" t="s">
        <v>3186</v>
      </c>
      <c r="AC483">
        <v>3136026</v>
      </c>
      <c r="AD483" t="s">
        <v>1671</v>
      </c>
      <c r="AH483" t="s">
        <v>1428</v>
      </c>
      <c r="AI483">
        <v>922548975</v>
      </c>
      <c r="AL483" t="s">
        <v>3187</v>
      </c>
      <c r="AO483" t="s">
        <v>3188</v>
      </c>
      <c r="AP483" t="s">
        <v>3095</v>
      </c>
      <c r="AQ483" t="s">
        <v>724</v>
      </c>
      <c r="AR483" t="s">
        <v>3189</v>
      </c>
      <c r="AS483" t="s">
        <v>284</v>
      </c>
      <c r="AT483" t="s">
        <v>141</v>
      </c>
      <c r="AU483" t="s">
        <v>96</v>
      </c>
      <c r="AZ483" t="s">
        <v>98</v>
      </c>
      <c r="BA483" t="s">
        <v>99</v>
      </c>
      <c r="BB483" t="s">
        <v>3190</v>
      </c>
      <c r="BC483" t="s">
        <v>1566</v>
      </c>
      <c r="BD483" t="s">
        <v>3191</v>
      </c>
      <c r="BE483">
        <v>2019</v>
      </c>
      <c r="BF483">
        <v>2019</v>
      </c>
    </row>
    <row r="484" spans="1:58">
      <c r="A484">
        <v>3457201</v>
      </c>
      <c r="B484">
        <v>68</v>
      </c>
      <c r="C484">
        <v>3</v>
      </c>
      <c r="D484">
        <v>12409556</v>
      </c>
      <c r="F484" t="s">
        <v>80</v>
      </c>
      <c r="G484" t="s">
        <v>81</v>
      </c>
      <c r="H484" t="s">
        <v>19</v>
      </c>
      <c r="I484" t="s">
        <v>22</v>
      </c>
      <c r="J484" t="s">
        <v>6</v>
      </c>
      <c r="K484" t="s">
        <v>83</v>
      </c>
      <c r="L484" s="3">
        <v>46029</v>
      </c>
      <c r="M484" t="s">
        <v>193</v>
      </c>
      <c r="N484">
        <v>12034672</v>
      </c>
      <c r="O484">
        <v>5</v>
      </c>
      <c r="P484" t="s">
        <v>3192</v>
      </c>
      <c r="Q484">
        <v>1</v>
      </c>
      <c r="R484">
        <v>412.01900000000001</v>
      </c>
      <c r="S484" t="s">
        <v>3193</v>
      </c>
      <c r="T484">
        <v>10</v>
      </c>
      <c r="U484">
        <v>10</v>
      </c>
      <c r="V484">
        <v>33</v>
      </c>
      <c r="W484" t="s">
        <v>3070</v>
      </c>
      <c r="X484" t="s">
        <v>1532</v>
      </c>
      <c r="Y484">
        <v>35693</v>
      </c>
      <c r="Z484">
        <v>73418</v>
      </c>
      <c r="AA484" t="s">
        <v>98</v>
      </c>
      <c r="AB484" s="3">
        <v>45963</v>
      </c>
      <c r="AC484">
        <v>1345168</v>
      </c>
      <c r="AD484" t="s">
        <v>1983</v>
      </c>
      <c r="AG484" t="s">
        <v>1523</v>
      </c>
      <c r="AH484" t="s">
        <v>1428</v>
      </c>
      <c r="AI484">
        <v>984458087</v>
      </c>
      <c r="AL484" t="s">
        <v>3194</v>
      </c>
      <c r="AO484" t="s">
        <v>3195</v>
      </c>
      <c r="AP484" t="s">
        <v>1442</v>
      </c>
      <c r="AQ484" t="s">
        <v>188</v>
      </c>
      <c r="AR484" t="s">
        <v>3196</v>
      </c>
      <c r="AS484" t="s">
        <v>284</v>
      </c>
      <c r="AT484" t="s">
        <v>141</v>
      </c>
      <c r="AU484" t="s">
        <v>96</v>
      </c>
      <c r="AV484" t="s">
        <v>1478</v>
      </c>
      <c r="AZ484" t="s">
        <v>98</v>
      </c>
      <c r="BA484" t="s">
        <v>99</v>
      </c>
      <c r="BB484" t="s">
        <v>3197</v>
      </c>
      <c r="BC484" t="s">
        <v>2246</v>
      </c>
      <c r="BD484" t="s">
        <v>3198</v>
      </c>
      <c r="BE484">
        <v>2025</v>
      </c>
      <c r="BF484">
        <v>2025</v>
      </c>
    </row>
    <row r="485" spans="1:58">
      <c r="A485">
        <v>3457369</v>
      </c>
      <c r="B485">
        <v>137</v>
      </c>
      <c r="C485">
        <v>5</v>
      </c>
      <c r="D485">
        <v>3514534</v>
      </c>
      <c r="F485" t="s">
        <v>80</v>
      </c>
      <c r="G485" t="s">
        <v>81</v>
      </c>
      <c r="H485" t="s">
        <v>12</v>
      </c>
      <c r="I485" t="s">
        <v>12</v>
      </c>
      <c r="J485" t="s">
        <v>6</v>
      </c>
      <c r="K485" t="s">
        <v>83</v>
      </c>
      <c r="L485" s="3">
        <v>46302</v>
      </c>
      <c r="M485" t="s">
        <v>193</v>
      </c>
      <c r="N485">
        <v>18522747</v>
      </c>
      <c r="O485">
        <v>2</v>
      </c>
      <c r="P485" t="s">
        <v>3199</v>
      </c>
      <c r="Q485">
        <v>1</v>
      </c>
      <c r="R485">
        <v>184.334</v>
      </c>
      <c r="S485" s="3">
        <v>46145</v>
      </c>
      <c r="T485">
        <v>9</v>
      </c>
      <c r="U485">
        <v>8</v>
      </c>
      <c r="V485">
        <v>35</v>
      </c>
      <c r="W485" t="s">
        <v>3070</v>
      </c>
      <c r="X485" t="s">
        <v>87</v>
      </c>
      <c r="Y485">
        <v>62995</v>
      </c>
      <c r="Z485">
        <v>67227</v>
      </c>
      <c r="AA485" t="s">
        <v>98</v>
      </c>
      <c r="AB485" t="s">
        <v>2903</v>
      </c>
      <c r="AC485">
        <v>1051892</v>
      </c>
      <c r="AD485" t="s">
        <v>3200</v>
      </c>
      <c r="AH485" t="s">
        <v>1439</v>
      </c>
      <c r="AI485">
        <v>956113878</v>
      </c>
      <c r="AL485" t="s">
        <v>3201</v>
      </c>
      <c r="AO485" t="s">
        <v>3202</v>
      </c>
      <c r="AP485" t="s">
        <v>3203</v>
      </c>
      <c r="AQ485" t="s">
        <v>724</v>
      </c>
      <c r="AT485" t="s">
        <v>95</v>
      </c>
      <c r="AU485" t="s">
        <v>1777</v>
      </c>
      <c r="AZ485" t="s">
        <v>98</v>
      </c>
      <c r="BA485" t="s">
        <v>99</v>
      </c>
      <c r="BB485" t="s">
        <v>3204</v>
      </c>
      <c r="BC485" t="s">
        <v>2932</v>
      </c>
      <c r="BD485" t="s">
        <v>3205</v>
      </c>
      <c r="BE485">
        <v>2022</v>
      </c>
      <c r="BF485">
        <v>2022</v>
      </c>
    </row>
    <row r="486" spans="1:58">
      <c r="A486">
        <v>3457500</v>
      </c>
      <c r="B486">
        <v>288</v>
      </c>
      <c r="C486">
        <v>10</v>
      </c>
      <c r="D486">
        <v>3871547</v>
      </c>
      <c r="F486" t="s">
        <v>80</v>
      </c>
      <c r="G486" t="s">
        <v>81</v>
      </c>
      <c r="H486" t="s">
        <v>16</v>
      </c>
      <c r="I486" t="s">
        <v>17</v>
      </c>
      <c r="J486" t="s">
        <v>6</v>
      </c>
      <c r="K486" t="s">
        <v>83</v>
      </c>
      <c r="L486" s="3">
        <v>46029</v>
      </c>
      <c r="M486" t="s">
        <v>193</v>
      </c>
      <c r="N486">
        <v>15084463</v>
      </c>
      <c r="O486">
        <v>0</v>
      </c>
      <c r="P486" t="s">
        <v>3206</v>
      </c>
      <c r="Q486">
        <v>1</v>
      </c>
      <c r="R486">
        <v>250.7</v>
      </c>
      <c r="S486" s="3">
        <v>45787</v>
      </c>
      <c r="T486">
        <v>3</v>
      </c>
      <c r="U486">
        <v>3</v>
      </c>
      <c r="V486">
        <v>23</v>
      </c>
      <c r="W486" t="s">
        <v>3070</v>
      </c>
      <c r="X486" t="s">
        <v>87</v>
      </c>
      <c r="Y486">
        <v>330685</v>
      </c>
      <c r="Z486">
        <v>113803</v>
      </c>
      <c r="AA486" t="s">
        <v>98</v>
      </c>
      <c r="AB486" t="s">
        <v>3207</v>
      </c>
      <c r="AC486">
        <v>2951488</v>
      </c>
      <c r="AD486" t="s">
        <v>3066</v>
      </c>
      <c r="AH486" t="s">
        <v>1428</v>
      </c>
      <c r="AI486">
        <v>966295204</v>
      </c>
      <c r="AL486" t="s">
        <v>3208</v>
      </c>
      <c r="AO486" t="s">
        <v>3209</v>
      </c>
      <c r="AP486" t="s">
        <v>187</v>
      </c>
      <c r="AQ486" t="s">
        <v>188</v>
      </c>
      <c r="AR486" t="s">
        <v>3210</v>
      </c>
      <c r="AS486" t="s">
        <v>162</v>
      </c>
      <c r="AT486" t="s">
        <v>141</v>
      </c>
      <c r="AU486" t="s">
        <v>96</v>
      </c>
      <c r="AZ486" t="s">
        <v>98</v>
      </c>
      <c r="BA486" t="s">
        <v>99</v>
      </c>
      <c r="BB486" t="s">
        <v>3211</v>
      </c>
      <c r="BC486" t="s">
        <v>2932</v>
      </c>
      <c r="BD486" t="s">
        <v>1598</v>
      </c>
      <c r="BE486">
        <v>2022</v>
      </c>
      <c r="BF486">
        <v>2022</v>
      </c>
    </row>
    <row r="487" spans="1:58">
      <c r="A487">
        <v>3458240</v>
      </c>
      <c r="B487">
        <v>120</v>
      </c>
      <c r="C487">
        <v>4</v>
      </c>
      <c r="D487">
        <v>10551888</v>
      </c>
      <c r="F487" t="s">
        <v>80</v>
      </c>
      <c r="G487" t="s">
        <v>81</v>
      </c>
      <c r="H487" t="s">
        <v>23</v>
      </c>
      <c r="I487" t="s">
        <v>23</v>
      </c>
      <c r="J487" t="s">
        <v>6</v>
      </c>
      <c r="K487" t="s">
        <v>83</v>
      </c>
      <c r="L487" s="3">
        <v>46302</v>
      </c>
      <c r="M487" t="s">
        <v>1559</v>
      </c>
      <c r="N487">
        <v>16699569</v>
      </c>
      <c r="O487">
        <v>8</v>
      </c>
      <c r="P487" t="s">
        <v>3212</v>
      </c>
      <c r="Q487">
        <v>1</v>
      </c>
      <c r="R487">
        <v>395.95100000000002</v>
      </c>
      <c r="S487" t="s">
        <v>3213</v>
      </c>
      <c r="T487">
        <v>8</v>
      </c>
      <c r="U487">
        <v>8</v>
      </c>
      <c r="V487">
        <v>48</v>
      </c>
      <c r="W487" t="s">
        <v>1425</v>
      </c>
      <c r="Y487">
        <v>85424</v>
      </c>
      <c r="Z487">
        <v>127665</v>
      </c>
      <c r="AA487" t="s">
        <v>98</v>
      </c>
      <c r="AB487" t="s">
        <v>3214</v>
      </c>
      <c r="AC487">
        <v>1796893</v>
      </c>
      <c r="AD487" t="s">
        <v>2751</v>
      </c>
      <c r="AH487" t="s">
        <v>1428</v>
      </c>
      <c r="AI487">
        <v>968574564</v>
      </c>
      <c r="AL487" t="s">
        <v>3215</v>
      </c>
      <c r="AO487" t="s">
        <v>3216</v>
      </c>
      <c r="AP487" t="s">
        <v>330</v>
      </c>
      <c r="AQ487" t="s">
        <v>92</v>
      </c>
      <c r="AT487" t="s">
        <v>95</v>
      </c>
      <c r="AU487" t="s">
        <v>1777</v>
      </c>
      <c r="AZ487" t="s">
        <v>98</v>
      </c>
      <c r="BA487" t="s">
        <v>99</v>
      </c>
      <c r="BC487" t="s">
        <v>1074</v>
      </c>
      <c r="BD487" t="s">
        <v>3217</v>
      </c>
      <c r="BE487">
        <v>2025</v>
      </c>
      <c r="BF487">
        <v>2025</v>
      </c>
    </row>
    <row r="488" spans="1:58">
      <c r="A488">
        <v>3462511</v>
      </c>
      <c r="B488">
        <v>304</v>
      </c>
      <c r="C488">
        <v>11</v>
      </c>
      <c r="D488">
        <v>24523747</v>
      </c>
      <c r="F488" t="s">
        <v>80</v>
      </c>
      <c r="G488" t="s">
        <v>81</v>
      </c>
      <c r="H488" t="s">
        <v>17</v>
      </c>
      <c r="I488" t="s">
        <v>18</v>
      </c>
      <c r="J488" t="s">
        <v>6</v>
      </c>
      <c r="K488" t="s">
        <v>83</v>
      </c>
      <c r="L488" s="3">
        <v>46029</v>
      </c>
      <c r="M488" t="s">
        <v>193</v>
      </c>
      <c r="N488">
        <v>76789764</v>
      </c>
      <c r="O488">
        <v>2</v>
      </c>
      <c r="P488" t="s">
        <v>3218</v>
      </c>
      <c r="Q488">
        <v>0</v>
      </c>
      <c r="R488">
        <v>978.19500000000005</v>
      </c>
      <c r="S488" t="s">
        <v>3219</v>
      </c>
      <c r="T488">
        <v>2</v>
      </c>
      <c r="U488">
        <v>2</v>
      </c>
      <c r="V488">
        <v>36</v>
      </c>
      <c r="W488" t="s">
        <v>1465</v>
      </c>
      <c r="Y488">
        <v>1186773</v>
      </c>
      <c r="Z488">
        <v>0</v>
      </c>
      <c r="AA488" t="s">
        <v>98</v>
      </c>
      <c r="AB488" t="s">
        <v>3220</v>
      </c>
      <c r="AC488">
        <v>11946918</v>
      </c>
      <c r="AD488" t="s">
        <v>1483</v>
      </c>
      <c r="AH488" t="s">
        <v>1428</v>
      </c>
      <c r="AI488">
        <v>921217914</v>
      </c>
      <c r="AL488" t="s">
        <v>3221</v>
      </c>
      <c r="AO488" t="s">
        <v>3222</v>
      </c>
      <c r="AP488" t="s">
        <v>715</v>
      </c>
      <c r="AQ488" t="s">
        <v>92</v>
      </c>
      <c r="AR488" t="s">
        <v>2612</v>
      </c>
      <c r="AS488" t="s">
        <v>367</v>
      </c>
      <c r="AT488" t="s">
        <v>122</v>
      </c>
      <c r="AU488" t="s">
        <v>96</v>
      </c>
      <c r="AZ488" t="s">
        <v>111</v>
      </c>
      <c r="BA488" t="s">
        <v>99</v>
      </c>
      <c r="BC488" t="s">
        <v>1566</v>
      </c>
      <c r="BD488" t="s">
        <v>3223</v>
      </c>
      <c r="BE488">
        <v>2023</v>
      </c>
      <c r="BF488">
        <v>2023</v>
      </c>
    </row>
    <row r="489" spans="1:58">
      <c r="A489">
        <v>3468638</v>
      </c>
      <c r="B489">
        <v>165</v>
      </c>
      <c r="C489">
        <v>6</v>
      </c>
      <c r="D489">
        <v>7376704</v>
      </c>
      <c r="F489" t="s">
        <v>80</v>
      </c>
      <c r="G489" t="s">
        <v>81</v>
      </c>
      <c r="H489" t="s">
        <v>12</v>
      </c>
      <c r="I489" t="s">
        <v>13</v>
      </c>
      <c r="J489" t="s">
        <v>6</v>
      </c>
      <c r="K489" t="s">
        <v>83</v>
      </c>
      <c r="L489" s="3">
        <v>46302</v>
      </c>
      <c r="M489" t="s">
        <v>193</v>
      </c>
      <c r="N489">
        <v>21240406</v>
      </c>
      <c r="O489">
        <v>3</v>
      </c>
      <c r="P489" t="s">
        <v>3224</v>
      </c>
      <c r="Q489">
        <v>1</v>
      </c>
      <c r="R489">
        <v>270.19799999999998</v>
      </c>
      <c r="S489" s="3">
        <v>46144</v>
      </c>
      <c r="T489">
        <v>6</v>
      </c>
      <c r="U489">
        <v>6</v>
      </c>
      <c r="V489">
        <v>37</v>
      </c>
      <c r="W489" t="s">
        <v>1448</v>
      </c>
      <c r="Y489">
        <v>129038</v>
      </c>
      <c r="Z489">
        <v>111042</v>
      </c>
      <c r="AA489" t="s">
        <v>98</v>
      </c>
      <c r="AB489" t="s">
        <v>3225</v>
      </c>
      <c r="AC489">
        <v>1861268</v>
      </c>
      <c r="AD489" t="s">
        <v>3066</v>
      </c>
      <c r="AH489" t="s">
        <v>1428</v>
      </c>
      <c r="AI489">
        <v>942522023</v>
      </c>
      <c r="AL489" t="s">
        <v>3226</v>
      </c>
      <c r="AO489" t="s">
        <v>3227</v>
      </c>
      <c r="AP489" t="s">
        <v>433</v>
      </c>
      <c r="AQ489" t="s">
        <v>434</v>
      </c>
      <c r="AT489" t="s">
        <v>95</v>
      </c>
      <c r="AU489" t="s">
        <v>1777</v>
      </c>
      <c r="AZ489" t="s">
        <v>98</v>
      </c>
      <c r="BA489" t="s">
        <v>99</v>
      </c>
      <c r="BC489" t="s">
        <v>2559</v>
      </c>
      <c r="BD489" t="s">
        <v>3068</v>
      </c>
      <c r="BE489">
        <v>0</v>
      </c>
      <c r="BF489">
        <v>0</v>
      </c>
    </row>
    <row r="490" spans="1:58">
      <c r="A490">
        <v>3470528</v>
      </c>
      <c r="B490">
        <v>138</v>
      </c>
      <c r="C490">
        <v>5</v>
      </c>
      <c r="D490">
        <v>8368733</v>
      </c>
      <c r="F490" t="s">
        <v>80</v>
      </c>
      <c r="G490" t="s">
        <v>81</v>
      </c>
      <c r="H490" t="s">
        <v>23</v>
      </c>
      <c r="I490" t="s">
        <v>12</v>
      </c>
      <c r="J490" t="s">
        <v>6</v>
      </c>
      <c r="K490" t="s">
        <v>83</v>
      </c>
      <c r="L490" s="3">
        <v>46302</v>
      </c>
      <c r="M490" t="s">
        <v>1559</v>
      </c>
      <c r="N490">
        <v>16416558</v>
      </c>
      <c r="O490">
        <v>2</v>
      </c>
      <c r="P490" t="s">
        <v>3228</v>
      </c>
      <c r="Q490">
        <v>1</v>
      </c>
      <c r="R490">
        <v>309.18</v>
      </c>
      <c r="S490" s="3">
        <v>46115</v>
      </c>
      <c r="T490">
        <v>7</v>
      </c>
      <c r="U490">
        <v>7</v>
      </c>
      <c r="V490">
        <v>48</v>
      </c>
      <c r="W490" t="s">
        <v>1425</v>
      </c>
      <c r="Y490">
        <v>86492</v>
      </c>
      <c r="Z490">
        <v>90529</v>
      </c>
      <c r="AA490" t="s">
        <v>98</v>
      </c>
      <c r="AB490" s="3">
        <v>45695</v>
      </c>
      <c r="AC490">
        <v>1722921</v>
      </c>
      <c r="AD490" t="s">
        <v>2751</v>
      </c>
      <c r="AH490" t="s">
        <v>1428</v>
      </c>
      <c r="AI490">
        <v>986011774</v>
      </c>
      <c r="AL490" t="s">
        <v>3229</v>
      </c>
      <c r="AO490" t="s">
        <v>3230</v>
      </c>
      <c r="AP490" t="s">
        <v>91</v>
      </c>
      <c r="AQ490" t="s">
        <v>92</v>
      </c>
      <c r="AT490" t="s">
        <v>95</v>
      </c>
      <c r="AU490" t="s">
        <v>1777</v>
      </c>
      <c r="AZ490" t="s">
        <v>98</v>
      </c>
      <c r="BA490" t="s">
        <v>99</v>
      </c>
      <c r="BC490" t="s">
        <v>421</v>
      </c>
      <c r="BD490" t="s">
        <v>3231</v>
      </c>
      <c r="BE490">
        <v>2025</v>
      </c>
      <c r="BF490">
        <v>2025</v>
      </c>
    </row>
    <row r="491" spans="1:58">
      <c r="A491">
        <v>3475457</v>
      </c>
      <c r="B491">
        <v>318</v>
      </c>
      <c r="C491">
        <v>11</v>
      </c>
      <c r="D491">
        <v>21983483</v>
      </c>
      <c r="F491" t="s">
        <v>80</v>
      </c>
      <c r="G491" t="s">
        <v>81</v>
      </c>
      <c r="H491" t="s">
        <v>17</v>
      </c>
      <c r="I491" t="s">
        <v>18</v>
      </c>
      <c r="J491" t="s">
        <v>6</v>
      </c>
      <c r="K491" t="s">
        <v>83</v>
      </c>
      <c r="L491" s="3">
        <v>46029</v>
      </c>
      <c r="M491" t="s">
        <v>193</v>
      </c>
      <c r="N491">
        <v>24745850</v>
      </c>
      <c r="O491">
        <v>6</v>
      </c>
      <c r="P491" t="s">
        <v>3232</v>
      </c>
      <c r="Q491">
        <v>1</v>
      </c>
      <c r="R491">
        <v>653.80999999999995</v>
      </c>
      <c r="S491" s="3">
        <v>45786</v>
      </c>
      <c r="T491">
        <v>0</v>
      </c>
      <c r="U491">
        <v>0</v>
      </c>
      <c r="V491">
        <v>48</v>
      </c>
      <c r="W491" t="s">
        <v>1448</v>
      </c>
      <c r="Y491">
        <v>865632</v>
      </c>
      <c r="Z491">
        <v>0</v>
      </c>
      <c r="AA491" t="s">
        <v>98</v>
      </c>
      <c r="AB491" s="3">
        <v>45845</v>
      </c>
      <c r="AC491">
        <v>8057542</v>
      </c>
      <c r="AD491" t="s">
        <v>3233</v>
      </c>
      <c r="AH491" t="s">
        <v>1428</v>
      </c>
      <c r="AI491">
        <v>967683176</v>
      </c>
      <c r="AL491" t="s">
        <v>3234</v>
      </c>
      <c r="AO491" t="s">
        <v>3235</v>
      </c>
      <c r="AP491" t="s">
        <v>952</v>
      </c>
      <c r="AQ491" t="s">
        <v>92</v>
      </c>
      <c r="AR491" t="s">
        <v>3236</v>
      </c>
      <c r="AS491" t="s">
        <v>217</v>
      </c>
      <c r="AT491" t="s">
        <v>122</v>
      </c>
      <c r="AU491" t="s">
        <v>96</v>
      </c>
      <c r="AZ491" t="s">
        <v>111</v>
      </c>
      <c r="BA491" t="s">
        <v>99</v>
      </c>
      <c r="BC491" t="s">
        <v>278</v>
      </c>
      <c r="BD491" t="s">
        <v>3237</v>
      </c>
      <c r="BE491">
        <v>0</v>
      </c>
      <c r="BF491">
        <v>0</v>
      </c>
    </row>
    <row r="492" spans="1:58">
      <c r="A492">
        <v>3479533</v>
      </c>
      <c r="B492">
        <v>349</v>
      </c>
      <c r="C492">
        <v>12</v>
      </c>
      <c r="D492">
        <v>30273797</v>
      </c>
      <c r="F492" t="s">
        <v>80</v>
      </c>
      <c r="G492" t="s">
        <v>81</v>
      </c>
      <c r="H492" t="s">
        <v>18</v>
      </c>
      <c r="I492" t="s">
        <v>20</v>
      </c>
      <c r="J492" t="s">
        <v>6</v>
      </c>
      <c r="K492" t="s">
        <v>83</v>
      </c>
      <c r="L492" s="3">
        <v>46029</v>
      </c>
      <c r="M492" t="s">
        <v>193</v>
      </c>
      <c r="N492">
        <v>17860699</v>
      </c>
      <c r="O492">
        <v>9</v>
      </c>
      <c r="P492" t="s">
        <v>3238</v>
      </c>
      <c r="Q492">
        <v>1</v>
      </c>
      <c r="R492">
        <v>895.52</v>
      </c>
      <c r="S492" s="3">
        <v>45785</v>
      </c>
      <c r="T492">
        <v>0</v>
      </c>
      <c r="U492">
        <v>0</v>
      </c>
      <c r="V492">
        <v>49</v>
      </c>
      <c r="W492" t="s">
        <v>2678</v>
      </c>
      <c r="Y492">
        <v>1411060</v>
      </c>
      <c r="Z492">
        <v>9721</v>
      </c>
      <c r="AA492" t="s">
        <v>98</v>
      </c>
      <c r="AB492" s="3">
        <v>45754</v>
      </c>
      <c r="AC492">
        <v>12167021</v>
      </c>
      <c r="AD492" s="4">
        <v>2157</v>
      </c>
      <c r="AH492" t="s">
        <v>1428</v>
      </c>
      <c r="AI492">
        <v>922465096</v>
      </c>
      <c r="AL492" t="s">
        <v>3239</v>
      </c>
      <c r="AO492" t="s">
        <v>3240</v>
      </c>
      <c r="AP492" t="s">
        <v>91</v>
      </c>
      <c r="AQ492" t="s">
        <v>92</v>
      </c>
      <c r="AR492" t="s">
        <v>2578</v>
      </c>
      <c r="AS492" t="s">
        <v>418</v>
      </c>
      <c r="AT492" t="s">
        <v>141</v>
      </c>
      <c r="AU492" t="s">
        <v>96</v>
      </c>
      <c r="AV492" t="s">
        <v>1478</v>
      </c>
      <c r="AZ492" t="s">
        <v>98</v>
      </c>
      <c r="BA492" t="s">
        <v>99</v>
      </c>
      <c r="BC492" t="s">
        <v>1045</v>
      </c>
      <c r="BD492" t="s">
        <v>3241</v>
      </c>
      <c r="BE492">
        <v>0</v>
      </c>
      <c r="BF492">
        <v>0</v>
      </c>
    </row>
    <row r="493" spans="1:58">
      <c r="A493">
        <v>3482625</v>
      </c>
      <c r="B493">
        <v>353</v>
      </c>
      <c r="C493">
        <v>12</v>
      </c>
      <c r="D493">
        <v>9100150</v>
      </c>
      <c r="F493" t="s">
        <v>80</v>
      </c>
      <c r="G493" t="s">
        <v>81</v>
      </c>
      <c r="H493" t="s">
        <v>20</v>
      </c>
      <c r="I493" t="s">
        <v>20</v>
      </c>
      <c r="J493" t="s">
        <v>6</v>
      </c>
      <c r="K493" t="s">
        <v>83</v>
      </c>
      <c r="L493" s="3">
        <v>46029</v>
      </c>
      <c r="M493" t="s">
        <v>193</v>
      </c>
      <c r="N493">
        <v>18226224</v>
      </c>
      <c r="O493">
        <v>2</v>
      </c>
      <c r="P493" t="s">
        <v>3242</v>
      </c>
      <c r="Q493">
        <v>1</v>
      </c>
      <c r="R493">
        <v>284.04199999999997</v>
      </c>
      <c r="S493" s="3">
        <v>45665</v>
      </c>
      <c r="T493">
        <v>0</v>
      </c>
      <c r="U493">
        <v>0</v>
      </c>
      <c r="V493">
        <v>50</v>
      </c>
      <c r="W493" t="s">
        <v>1391</v>
      </c>
      <c r="Y493">
        <v>457362</v>
      </c>
      <c r="Z493">
        <v>0</v>
      </c>
      <c r="AA493" t="s">
        <v>98</v>
      </c>
      <c r="AB493" s="3">
        <v>45754</v>
      </c>
      <c r="AC493">
        <v>3865866</v>
      </c>
      <c r="AD493" t="s">
        <v>1483</v>
      </c>
      <c r="AH493" t="s">
        <v>1428</v>
      </c>
      <c r="AI493">
        <v>937217733</v>
      </c>
      <c r="AL493" t="s">
        <v>3243</v>
      </c>
      <c r="AO493" t="s">
        <v>3244</v>
      </c>
      <c r="AP493" t="s">
        <v>688</v>
      </c>
      <c r="AQ493" t="s">
        <v>299</v>
      </c>
      <c r="AR493" t="s">
        <v>3245</v>
      </c>
      <c r="AS493" t="s">
        <v>180</v>
      </c>
      <c r="AT493" t="s">
        <v>122</v>
      </c>
      <c r="AU493" t="s">
        <v>96</v>
      </c>
      <c r="AZ493" t="s">
        <v>111</v>
      </c>
      <c r="BA493" t="s">
        <v>99</v>
      </c>
      <c r="BC493" t="s">
        <v>182</v>
      </c>
      <c r="BD493" t="s">
        <v>3246</v>
      </c>
      <c r="BE493">
        <v>2022</v>
      </c>
      <c r="BF493">
        <v>2022</v>
      </c>
    </row>
    <row r="494" spans="1:58">
      <c r="A494">
        <v>3484680</v>
      </c>
      <c r="B494">
        <v>336</v>
      </c>
      <c r="C494">
        <v>12</v>
      </c>
      <c r="D494">
        <v>12990275</v>
      </c>
      <c r="F494" t="s">
        <v>80</v>
      </c>
      <c r="G494" t="s">
        <v>81</v>
      </c>
      <c r="H494" t="s">
        <v>18</v>
      </c>
      <c r="I494" t="s">
        <v>20</v>
      </c>
      <c r="J494" t="s">
        <v>6</v>
      </c>
      <c r="K494" t="s">
        <v>83</v>
      </c>
      <c r="L494" s="3">
        <v>46029</v>
      </c>
      <c r="M494" t="s">
        <v>193</v>
      </c>
      <c r="N494">
        <v>77242522</v>
      </c>
      <c r="O494">
        <v>8</v>
      </c>
      <c r="P494" t="s">
        <v>3247</v>
      </c>
      <c r="Q494">
        <v>0</v>
      </c>
      <c r="R494">
        <v>437.53899999999999</v>
      </c>
      <c r="S494" t="s">
        <v>3248</v>
      </c>
      <c r="T494">
        <v>0</v>
      </c>
      <c r="U494">
        <v>0</v>
      </c>
      <c r="V494">
        <v>48</v>
      </c>
      <c r="W494" t="s">
        <v>1425</v>
      </c>
      <c r="Y494">
        <v>602897</v>
      </c>
      <c r="Z494">
        <v>0</v>
      </c>
      <c r="AA494" t="s">
        <v>98</v>
      </c>
      <c r="AB494" t="s">
        <v>3249</v>
      </c>
      <c r="AC494">
        <v>5853365</v>
      </c>
      <c r="AD494" t="s">
        <v>3250</v>
      </c>
      <c r="AH494" t="s">
        <v>1428</v>
      </c>
      <c r="AI494">
        <v>986769468</v>
      </c>
      <c r="AL494" t="s">
        <v>3251</v>
      </c>
      <c r="AO494" t="s">
        <v>3252</v>
      </c>
      <c r="AP494" t="s">
        <v>3084</v>
      </c>
      <c r="AQ494" t="s">
        <v>92</v>
      </c>
      <c r="AR494" t="s">
        <v>3253</v>
      </c>
      <c r="AS494" t="s">
        <v>217</v>
      </c>
      <c r="AT494" t="s">
        <v>122</v>
      </c>
      <c r="AU494" t="s">
        <v>96</v>
      </c>
      <c r="AZ494" t="s">
        <v>111</v>
      </c>
      <c r="BA494" t="s">
        <v>99</v>
      </c>
      <c r="BC494" t="s">
        <v>990</v>
      </c>
      <c r="BD494" t="s">
        <v>3254</v>
      </c>
      <c r="BE494">
        <v>2022</v>
      </c>
      <c r="BF494">
        <v>2022</v>
      </c>
    </row>
    <row r="495" spans="1:58">
      <c r="A495">
        <v>3487115</v>
      </c>
      <c r="B495">
        <v>318</v>
      </c>
      <c r="C495">
        <v>11</v>
      </c>
      <c r="D495">
        <v>13577336</v>
      </c>
      <c r="F495" t="s">
        <v>80</v>
      </c>
      <c r="G495" t="s">
        <v>81</v>
      </c>
      <c r="H495" t="s">
        <v>17</v>
      </c>
      <c r="I495" t="s">
        <v>18</v>
      </c>
      <c r="J495" t="s">
        <v>6</v>
      </c>
      <c r="K495" t="s">
        <v>83</v>
      </c>
      <c r="L495" s="3">
        <v>46029</v>
      </c>
      <c r="M495" t="s">
        <v>193</v>
      </c>
      <c r="N495">
        <v>76976731</v>
      </c>
      <c r="O495">
        <v>2</v>
      </c>
      <c r="P495" t="s">
        <v>1853</v>
      </c>
      <c r="Q495">
        <v>0</v>
      </c>
      <c r="R495">
        <v>457.31200000000001</v>
      </c>
      <c r="S495" s="3">
        <v>45786</v>
      </c>
      <c r="T495">
        <v>0</v>
      </c>
      <c r="U495">
        <v>0</v>
      </c>
      <c r="V495">
        <v>48</v>
      </c>
      <c r="W495" t="s">
        <v>1425</v>
      </c>
      <c r="X495" t="s">
        <v>87</v>
      </c>
      <c r="Y495">
        <v>590032</v>
      </c>
      <c r="Z495">
        <v>122259</v>
      </c>
      <c r="AA495" t="s">
        <v>98</v>
      </c>
      <c r="AB495" t="s">
        <v>3255</v>
      </c>
      <c r="AC495">
        <v>5742723</v>
      </c>
      <c r="AD495" t="s">
        <v>3250</v>
      </c>
      <c r="AH495" t="s">
        <v>1428</v>
      </c>
      <c r="AI495">
        <v>964538389</v>
      </c>
      <c r="AL495" t="s">
        <v>3256</v>
      </c>
      <c r="AO495" t="s">
        <v>3257</v>
      </c>
      <c r="AP495" t="s">
        <v>723</v>
      </c>
      <c r="AQ495" t="s">
        <v>724</v>
      </c>
      <c r="AR495" t="s">
        <v>3258</v>
      </c>
      <c r="AS495" t="s">
        <v>228</v>
      </c>
      <c r="AT495" t="s">
        <v>141</v>
      </c>
      <c r="AU495" t="s">
        <v>96</v>
      </c>
      <c r="AV495" t="s">
        <v>1478</v>
      </c>
      <c r="AZ495" t="s">
        <v>98</v>
      </c>
      <c r="BA495" t="s">
        <v>99</v>
      </c>
      <c r="BB495" t="s">
        <v>3259</v>
      </c>
      <c r="BC495" t="s">
        <v>278</v>
      </c>
      <c r="BD495" t="s">
        <v>3260</v>
      </c>
      <c r="BE495">
        <v>2019</v>
      </c>
      <c r="BF495">
        <v>2019</v>
      </c>
    </row>
    <row r="496" spans="1:58">
      <c r="A496">
        <v>3487480</v>
      </c>
      <c r="B496">
        <v>303</v>
      </c>
      <c r="C496">
        <v>11</v>
      </c>
      <c r="D496">
        <v>16151715</v>
      </c>
      <c r="F496" t="s">
        <v>80</v>
      </c>
      <c r="G496" t="s">
        <v>81</v>
      </c>
      <c r="H496" t="s">
        <v>17</v>
      </c>
      <c r="I496" t="s">
        <v>18</v>
      </c>
      <c r="J496" t="s">
        <v>6</v>
      </c>
      <c r="K496" t="s">
        <v>83</v>
      </c>
      <c r="L496" s="3">
        <v>46029</v>
      </c>
      <c r="M496" t="s">
        <v>193</v>
      </c>
      <c r="N496">
        <v>14415459</v>
      </c>
      <c r="O496">
        <v>2</v>
      </c>
      <c r="P496" t="s">
        <v>3261</v>
      </c>
      <c r="Q496">
        <v>1</v>
      </c>
      <c r="R496">
        <v>544.02200000000005</v>
      </c>
      <c r="S496" t="s">
        <v>3092</v>
      </c>
      <c r="T496">
        <v>1</v>
      </c>
      <c r="U496">
        <v>1</v>
      </c>
      <c r="V496">
        <v>48</v>
      </c>
      <c r="W496" t="s">
        <v>1425</v>
      </c>
      <c r="Y496">
        <v>639001</v>
      </c>
      <c r="Z496">
        <v>0</v>
      </c>
      <c r="AA496" t="s">
        <v>98</v>
      </c>
      <c r="AB496" t="s">
        <v>3255</v>
      </c>
      <c r="AC496">
        <v>6623243</v>
      </c>
      <c r="AD496" t="s">
        <v>3250</v>
      </c>
      <c r="AH496" t="s">
        <v>1428</v>
      </c>
      <c r="AI496">
        <v>981982613</v>
      </c>
      <c r="AL496" t="s">
        <v>3262</v>
      </c>
      <c r="AO496" t="s">
        <v>3263</v>
      </c>
      <c r="AP496" t="s">
        <v>952</v>
      </c>
      <c r="AQ496" t="s">
        <v>92</v>
      </c>
      <c r="AR496" t="s">
        <v>2612</v>
      </c>
      <c r="AS496" t="s">
        <v>346</v>
      </c>
      <c r="AT496" t="s">
        <v>122</v>
      </c>
      <c r="AU496" t="s">
        <v>96</v>
      </c>
      <c r="AZ496" t="s">
        <v>111</v>
      </c>
      <c r="BA496" t="s">
        <v>99</v>
      </c>
      <c r="BC496" t="s">
        <v>421</v>
      </c>
      <c r="BD496" t="s">
        <v>3264</v>
      </c>
      <c r="BE496">
        <v>2025</v>
      </c>
      <c r="BF496">
        <v>2025</v>
      </c>
    </row>
    <row r="497" spans="1:58">
      <c r="A497">
        <v>3494679</v>
      </c>
      <c r="B497">
        <v>305</v>
      </c>
      <c r="C497">
        <v>11</v>
      </c>
      <c r="D497">
        <v>45303275</v>
      </c>
      <c r="F497" t="s">
        <v>80</v>
      </c>
      <c r="G497" t="s">
        <v>81</v>
      </c>
      <c r="H497" t="s">
        <v>17</v>
      </c>
      <c r="I497" t="s">
        <v>18</v>
      </c>
      <c r="J497" t="s">
        <v>6</v>
      </c>
      <c r="K497" t="s">
        <v>83</v>
      </c>
      <c r="L497" s="3">
        <v>46029</v>
      </c>
      <c r="M497" t="s">
        <v>193</v>
      </c>
      <c r="N497">
        <v>76552224</v>
      </c>
      <c r="O497">
        <v>2</v>
      </c>
      <c r="P497" t="s">
        <v>3265</v>
      </c>
      <c r="Q497">
        <v>0</v>
      </c>
      <c r="R497" t="s">
        <v>3266</v>
      </c>
      <c r="S497" t="s">
        <v>3267</v>
      </c>
      <c r="T497">
        <v>0</v>
      </c>
      <c r="U497">
        <v>0</v>
      </c>
      <c r="V497">
        <v>48</v>
      </c>
      <c r="W497" t="s">
        <v>1425</v>
      </c>
      <c r="Y497">
        <v>1815844</v>
      </c>
      <c r="Z497">
        <v>260635</v>
      </c>
      <c r="AA497" t="s">
        <v>98</v>
      </c>
      <c r="AB497" t="s">
        <v>2654</v>
      </c>
      <c r="AC497">
        <v>18861434</v>
      </c>
      <c r="AD497" t="s">
        <v>3250</v>
      </c>
      <c r="AH497" t="s">
        <v>1428</v>
      </c>
      <c r="AI497">
        <v>928582025</v>
      </c>
      <c r="AK497">
        <v>56954183612</v>
      </c>
      <c r="AL497" t="s">
        <v>3268</v>
      </c>
      <c r="AO497" t="s">
        <v>3269</v>
      </c>
      <c r="AP497" t="s">
        <v>1306</v>
      </c>
      <c r="AQ497" t="s">
        <v>92</v>
      </c>
      <c r="AR497" t="s">
        <v>3270</v>
      </c>
      <c r="AS497" t="s">
        <v>346</v>
      </c>
      <c r="AT497" t="s">
        <v>141</v>
      </c>
      <c r="AU497" t="s">
        <v>96</v>
      </c>
      <c r="AV497" t="s">
        <v>1478</v>
      </c>
      <c r="AZ497" t="s">
        <v>98</v>
      </c>
      <c r="BA497" t="s">
        <v>99</v>
      </c>
      <c r="BC497" t="s">
        <v>348</v>
      </c>
      <c r="BD497" t="s">
        <v>3271</v>
      </c>
      <c r="BE497">
        <v>2025</v>
      </c>
      <c r="BF497">
        <v>2025</v>
      </c>
    </row>
    <row r="498" spans="1:58">
      <c r="A498">
        <v>3499321</v>
      </c>
      <c r="B498">
        <v>308</v>
      </c>
      <c r="C498">
        <v>11</v>
      </c>
      <c r="D498">
        <v>2281233</v>
      </c>
      <c r="F498" t="s">
        <v>80</v>
      </c>
      <c r="G498" t="s">
        <v>81</v>
      </c>
      <c r="H498" t="s">
        <v>17</v>
      </c>
      <c r="I498" t="s">
        <v>18</v>
      </c>
      <c r="J498" t="s">
        <v>6</v>
      </c>
      <c r="K498" t="s">
        <v>83</v>
      </c>
      <c r="L498" s="3">
        <v>46029</v>
      </c>
      <c r="M498" t="s">
        <v>193</v>
      </c>
      <c r="N498">
        <v>13085935</v>
      </c>
      <c r="O498">
        <v>6</v>
      </c>
      <c r="P498" t="s">
        <v>3272</v>
      </c>
      <c r="Q498">
        <v>1</v>
      </c>
      <c r="R498">
        <v>185.60499999999999</v>
      </c>
      <c r="S498" t="s">
        <v>3273</v>
      </c>
      <c r="T498">
        <v>1</v>
      </c>
      <c r="U498">
        <v>1</v>
      </c>
      <c r="V498">
        <v>16</v>
      </c>
      <c r="W498" t="s">
        <v>1391</v>
      </c>
      <c r="Y498">
        <v>278977</v>
      </c>
      <c r="Z498">
        <v>0</v>
      </c>
      <c r="AA498" t="s">
        <v>98</v>
      </c>
      <c r="AB498" t="s">
        <v>3274</v>
      </c>
      <c r="AC498">
        <v>2320632</v>
      </c>
      <c r="AD498" t="s">
        <v>3066</v>
      </c>
      <c r="AH498" t="s">
        <v>1428</v>
      </c>
      <c r="AI498">
        <v>993242804</v>
      </c>
      <c r="AL498" t="s">
        <v>3275</v>
      </c>
      <c r="AO498" t="s">
        <v>3276</v>
      </c>
      <c r="AP498" t="s">
        <v>330</v>
      </c>
      <c r="AQ498" t="s">
        <v>92</v>
      </c>
      <c r="AR498" t="s">
        <v>3277</v>
      </c>
      <c r="AS498" t="s">
        <v>171</v>
      </c>
      <c r="AT498" t="s">
        <v>122</v>
      </c>
      <c r="AU498" t="s">
        <v>96</v>
      </c>
      <c r="AZ498" t="s">
        <v>111</v>
      </c>
      <c r="BA498" t="s">
        <v>99</v>
      </c>
      <c r="BC498" t="s">
        <v>550</v>
      </c>
      <c r="BD498" t="s">
        <v>1063</v>
      </c>
      <c r="BE498">
        <v>2019</v>
      </c>
      <c r="BF498">
        <v>2019</v>
      </c>
    </row>
    <row r="499" spans="1:58">
      <c r="A499">
        <v>3501934</v>
      </c>
      <c r="B499">
        <v>318</v>
      </c>
      <c r="C499">
        <v>11</v>
      </c>
      <c r="D499">
        <v>12124760</v>
      </c>
      <c r="F499" t="s">
        <v>80</v>
      </c>
      <c r="G499" t="s">
        <v>81</v>
      </c>
      <c r="H499" t="s">
        <v>17</v>
      </c>
      <c r="I499" t="s">
        <v>18</v>
      </c>
      <c r="J499" t="s">
        <v>6</v>
      </c>
      <c r="K499" t="s">
        <v>83</v>
      </c>
      <c r="L499" s="3">
        <v>46029</v>
      </c>
      <c r="M499" t="s">
        <v>193</v>
      </c>
      <c r="N499">
        <v>17214942</v>
      </c>
      <c r="O499">
        <v>1</v>
      </c>
      <c r="P499" t="s">
        <v>3278</v>
      </c>
      <c r="Q499">
        <v>1</v>
      </c>
      <c r="R499">
        <v>386.976</v>
      </c>
      <c r="S499" s="3">
        <v>45786</v>
      </c>
      <c r="T499">
        <v>0</v>
      </c>
      <c r="U499">
        <v>0</v>
      </c>
      <c r="V499">
        <v>37</v>
      </c>
      <c r="W499" t="s">
        <v>1448</v>
      </c>
      <c r="Y499">
        <v>499285</v>
      </c>
      <c r="Z499">
        <v>107193</v>
      </c>
      <c r="AA499" t="s">
        <v>98</v>
      </c>
      <c r="AB499" t="s">
        <v>3279</v>
      </c>
      <c r="AC499">
        <v>4863214</v>
      </c>
      <c r="AD499" t="s">
        <v>3250</v>
      </c>
      <c r="AH499" t="s">
        <v>1428</v>
      </c>
      <c r="AI499">
        <v>995081932</v>
      </c>
      <c r="AL499" t="s">
        <v>3280</v>
      </c>
      <c r="AO499" t="s">
        <v>3281</v>
      </c>
      <c r="AP499" t="s">
        <v>3282</v>
      </c>
      <c r="AQ499" t="s">
        <v>149</v>
      </c>
      <c r="AR499" t="s">
        <v>3283</v>
      </c>
      <c r="AS499" t="s">
        <v>556</v>
      </c>
      <c r="AT499" t="s">
        <v>141</v>
      </c>
      <c r="AU499" t="s">
        <v>96</v>
      </c>
      <c r="AV499" t="s">
        <v>1478</v>
      </c>
      <c r="AZ499" t="s">
        <v>98</v>
      </c>
      <c r="BA499" t="s">
        <v>99</v>
      </c>
      <c r="BC499" t="s">
        <v>2932</v>
      </c>
      <c r="BD499" t="s">
        <v>3284</v>
      </c>
      <c r="BE499">
        <v>0</v>
      </c>
      <c r="BF499">
        <v>0</v>
      </c>
    </row>
    <row r="500" spans="1:58">
      <c r="A500">
        <v>3507891</v>
      </c>
      <c r="B500">
        <v>134</v>
      </c>
      <c r="C500">
        <v>5</v>
      </c>
      <c r="D500">
        <v>14855571</v>
      </c>
      <c r="F500" t="s">
        <v>80</v>
      </c>
      <c r="G500" t="s">
        <v>81</v>
      </c>
      <c r="H500" t="s">
        <v>23</v>
      </c>
      <c r="I500" t="s">
        <v>12</v>
      </c>
      <c r="J500" t="s">
        <v>6</v>
      </c>
      <c r="K500" t="s">
        <v>83</v>
      </c>
      <c r="L500" s="3">
        <v>46302</v>
      </c>
      <c r="M500" t="s">
        <v>1433</v>
      </c>
      <c r="N500">
        <v>27310192</v>
      </c>
      <c r="O500">
        <v>6</v>
      </c>
      <c r="P500" t="s">
        <v>3285</v>
      </c>
      <c r="Q500">
        <v>1</v>
      </c>
      <c r="R500">
        <v>462.54599999999999</v>
      </c>
      <c r="S500" s="3">
        <v>46237</v>
      </c>
      <c r="T500">
        <v>6</v>
      </c>
      <c r="U500">
        <v>6</v>
      </c>
      <c r="V500">
        <v>60</v>
      </c>
      <c r="W500" t="s">
        <v>1425</v>
      </c>
      <c r="Y500">
        <v>116235</v>
      </c>
      <c r="Z500">
        <v>123380</v>
      </c>
      <c r="AA500" t="s">
        <v>98</v>
      </c>
      <c r="AB500" s="3">
        <v>45816</v>
      </c>
      <c r="AC500">
        <v>2552345</v>
      </c>
      <c r="AD500" t="s">
        <v>3250</v>
      </c>
      <c r="AH500" t="s">
        <v>1428</v>
      </c>
      <c r="AI500">
        <v>947355829</v>
      </c>
      <c r="AL500" t="s">
        <v>3286</v>
      </c>
      <c r="AO500" t="s">
        <v>3287</v>
      </c>
      <c r="AP500" t="s">
        <v>408</v>
      </c>
      <c r="AQ500" t="s">
        <v>92</v>
      </c>
      <c r="AT500" t="s">
        <v>95</v>
      </c>
      <c r="AU500" t="s">
        <v>1777</v>
      </c>
      <c r="AZ500" t="s">
        <v>98</v>
      </c>
      <c r="BA500" t="s">
        <v>99</v>
      </c>
      <c r="BC500" t="s">
        <v>1337</v>
      </c>
      <c r="BD500" t="s">
        <v>1362</v>
      </c>
      <c r="BE500">
        <v>2025</v>
      </c>
      <c r="BF500">
        <v>2025</v>
      </c>
    </row>
    <row r="501" spans="1:58">
      <c r="A501">
        <v>3509994</v>
      </c>
      <c r="B501">
        <v>61</v>
      </c>
      <c r="C501">
        <v>3</v>
      </c>
      <c r="D501">
        <v>3807891</v>
      </c>
      <c r="F501" t="s">
        <v>80</v>
      </c>
      <c r="G501" t="s">
        <v>81</v>
      </c>
      <c r="H501" t="s">
        <v>12</v>
      </c>
      <c r="I501" t="s">
        <v>22</v>
      </c>
      <c r="J501" t="s">
        <v>6</v>
      </c>
      <c r="K501" t="s">
        <v>83</v>
      </c>
      <c r="L501" s="3">
        <v>46302</v>
      </c>
      <c r="M501" t="s">
        <v>193</v>
      </c>
      <c r="N501">
        <v>15974000</v>
      </c>
      <c r="O501">
        <v>5</v>
      </c>
      <c r="P501" t="s">
        <v>3288</v>
      </c>
      <c r="Q501">
        <v>1</v>
      </c>
      <c r="R501">
        <v>231.38200000000001</v>
      </c>
      <c r="S501" t="s">
        <v>2174</v>
      </c>
      <c r="T501">
        <v>8</v>
      </c>
      <c r="U501">
        <v>5</v>
      </c>
      <c r="V501">
        <v>24</v>
      </c>
      <c r="W501" t="s">
        <v>1391</v>
      </c>
      <c r="Y501">
        <v>18619</v>
      </c>
      <c r="Z501">
        <v>47623</v>
      </c>
      <c r="AA501" t="s">
        <v>98</v>
      </c>
      <c r="AB501" s="3">
        <v>45816</v>
      </c>
      <c r="AC501">
        <v>760388</v>
      </c>
      <c r="AD501" t="s">
        <v>3289</v>
      </c>
      <c r="AH501" t="s">
        <v>1789</v>
      </c>
      <c r="AI501">
        <v>954123178</v>
      </c>
      <c r="AL501" t="s">
        <v>3290</v>
      </c>
      <c r="AO501" t="s">
        <v>3291</v>
      </c>
      <c r="AP501" t="s">
        <v>800</v>
      </c>
      <c r="AQ501" t="s">
        <v>801</v>
      </c>
      <c r="AT501" t="s">
        <v>95</v>
      </c>
      <c r="AU501" t="s">
        <v>1777</v>
      </c>
      <c r="AZ501" t="s">
        <v>98</v>
      </c>
      <c r="BA501" t="s">
        <v>99</v>
      </c>
      <c r="BC501" t="s">
        <v>164</v>
      </c>
      <c r="BD501" t="s">
        <v>2708</v>
      </c>
      <c r="BE501">
        <v>2022</v>
      </c>
      <c r="BF501">
        <v>2022</v>
      </c>
    </row>
    <row r="502" spans="1:58">
      <c r="A502">
        <v>3514741</v>
      </c>
      <c r="B502">
        <v>288</v>
      </c>
      <c r="C502">
        <v>10</v>
      </c>
      <c r="D502">
        <v>10505876</v>
      </c>
      <c r="F502" t="s">
        <v>80</v>
      </c>
      <c r="G502" t="s">
        <v>81</v>
      </c>
      <c r="H502" t="s">
        <v>16</v>
      </c>
      <c r="I502" t="s">
        <v>17</v>
      </c>
      <c r="J502" t="s">
        <v>6</v>
      </c>
      <c r="K502" t="s">
        <v>83</v>
      </c>
      <c r="L502" s="3">
        <v>46029</v>
      </c>
      <c r="M502" t="s">
        <v>193</v>
      </c>
      <c r="N502">
        <v>11931626</v>
      </c>
      <c r="O502" t="s">
        <v>266</v>
      </c>
      <c r="P502" t="s">
        <v>3292</v>
      </c>
      <c r="Q502">
        <v>1</v>
      </c>
      <c r="R502">
        <v>353.85899999999998</v>
      </c>
      <c r="S502" s="3">
        <v>45787</v>
      </c>
      <c r="T502">
        <v>0</v>
      </c>
      <c r="U502">
        <v>0</v>
      </c>
      <c r="V502">
        <v>48</v>
      </c>
      <c r="W502" t="s">
        <v>1435</v>
      </c>
      <c r="Y502">
        <v>377445</v>
      </c>
      <c r="Z502">
        <v>9721</v>
      </c>
      <c r="AA502" t="s">
        <v>98</v>
      </c>
      <c r="AB502" s="3">
        <v>45999</v>
      </c>
      <c r="AC502">
        <v>3925756</v>
      </c>
      <c r="AD502" t="s">
        <v>3250</v>
      </c>
      <c r="AH502" t="s">
        <v>1428</v>
      </c>
      <c r="AI502">
        <v>963888043</v>
      </c>
      <c r="AL502" t="s">
        <v>3293</v>
      </c>
      <c r="AO502" t="s">
        <v>3294</v>
      </c>
      <c r="AP502" t="s">
        <v>433</v>
      </c>
      <c r="AQ502" t="s">
        <v>434</v>
      </c>
      <c r="AR502" t="s">
        <v>1550</v>
      </c>
      <c r="AS502" t="s">
        <v>284</v>
      </c>
      <c r="AT502" t="s">
        <v>141</v>
      </c>
      <c r="AU502" t="s">
        <v>96</v>
      </c>
      <c r="AZ502" t="s">
        <v>98</v>
      </c>
      <c r="BA502" t="s">
        <v>99</v>
      </c>
      <c r="BC502" t="s">
        <v>769</v>
      </c>
      <c r="BD502" t="s">
        <v>3295</v>
      </c>
      <c r="BE502">
        <v>2022</v>
      </c>
      <c r="BF502">
        <v>2022</v>
      </c>
    </row>
    <row r="503" spans="1:58">
      <c r="A503">
        <v>3518338</v>
      </c>
      <c r="B503">
        <v>307</v>
      </c>
      <c r="C503">
        <v>11</v>
      </c>
      <c r="D503">
        <v>13782921</v>
      </c>
      <c r="F503" t="s">
        <v>80</v>
      </c>
      <c r="G503" t="s">
        <v>81</v>
      </c>
      <c r="H503" t="s">
        <v>17</v>
      </c>
      <c r="I503" t="s">
        <v>18</v>
      </c>
      <c r="J503" t="s">
        <v>6</v>
      </c>
      <c r="K503" t="s">
        <v>83</v>
      </c>
      <c r="L503" s="3">
        <v>46029</v>
      </c>
      <c r="M503" t="s">
        <v>193</v>
      </c>
      <c r="N503">
        <v>18424948</v>
      </c>
      <c r="O503">
        <v>0</v>
      </c>
      <c r="P503" t="s">
        <v>3296</v>
      </c>
      <c r="Q503">
        <v>1</v>
      </c>
      <c r="R503">
        <v>412.54199999999997</v>
      </c>
      <c r="S503" t="s">
        <v>3297</v>
      </c>
      <c r="T503">
        <v>0</v>
      </c>
      <c r="U503">
        <v>0</v>
      </c>
      <c r="V503">
        <v>60</v>
      </c>
      <c r="W503" t="s">
        <v>1425</v>
      </c>
      <c r="Y503">
        <v>505565</v>
      </c>
      <c r="Z503">
        <v>0</v>
      </c>
      <c r="AA503" t="s">
        <v>98</v>
      </c>
      <c r="AB503" t="s">
        <v>3298</v>
      </c>
      <c r="AC503">
        <v>5043527</v>
      </c>
      <c r="AD503" t="s">
        <v>2735</v>
      </c>
      <c r="AH503" t="s">
        <v>1428</v>
      </c>
      <c r="AI503">
        <v>962801676</v>
      </c>
      <c r="AL503" t="s">
        <v>3299</v>
      </c>
      <c r="AO503" t="s">
        <v>3300</v>
      </c>
      <c r="AP503" t="s">
        <v>742</v>
      </c>
      <c r="AQ503" t="s">
        <v>92</v>
      </c>
      <c r="AR503" t="s">
        <v>3301</v>
      </c>
      <c r="AS503" t="s">
        <v>388</v>
      </c>
      <c r="AT503" t="s">
        <v>122</v>
      </c>
      <c r="AU503" t="s">
        <v>96</v>
      </c>
      <c r="AZ503" t="s">
        <v>111</v>
      </c>
      <c r="BA503" t="s">
        <v>99</v>
      </c>
      <c r="BC503" t="s">
        <v>1074</v>
      </c>
      <c r="BD503" t="s">
        <v>3302</v>
      </c>
      <c r="BE503">
        <v>2025</v>
      </c>
      <c r="BF503">
        <v>2025</v>
      </c>
    </row>
    <row r="504" spans="1:58">
      <c r="A504">
        <v>3524299</v>
      </c>
      <c r="B504">
        <v>28</v>
      </c>
      <c r="C504">
        <v>1</v>
      </c>
      <c r="D504">
        <v>6436678</v>
      </c>
      <c r="F504" t="s">
        <v>80</v>
      </c>
      <c r="G504" t="s">
        <v>81</v>
      </c>
      <c r="H504" t="s">
        <v>22</v>
      </c>
      <c r="I504" s="527">
        <v>46052</v>
      </c>
      <c r="J504" t="s">
        <v>6</v>
      </c>
      <c r="K504" t="s">
        <v>83</v>
      </c>
      <c r="L504" s="3">
        <v>46029</v>
      </c>
      <c r="M504" t="s">
        <v>193</v>
      </c>
      <c r="N504">
        <v>17174056</v>
      </c>
      <c r="O504">
        <v>8</v>
      </c>
      <c r="P504" t="s">
        <v>3303</v>
      </c>
      <c r="Q504">
        <v>1</v>
      </c>
      <c r="R504">
        <v>222.791</v>
      </c>
      <c r="S504" t="s">
        <v>3304</v>
      </c>
      <c r="T504">
        <v>9</v>
      </c>
      <c r="U504">
        <v>7</v>
      </c>
      <c r="V504">
        <v>60</v>
      </c>
      <c r="W504" t="s">
        <v>1425</v>
      </c>
      <c r="Y504">
        <v>5266</v>
      </c>
      <c r="Z504">
        <v>9721</v>
      </c>
      <c r="AA504" t="s">
        <v>98</v>
      </c>
      <c r="AB504" t="s">
        <v>3305</v>
      </c>
      <c r="AC504">
        <v>237778</v>
      </c>
      <c r="AD504" t="s">
        <v>3306</v>
      </c>
      <c r="AH504" t="s">
        <v>1789</v>
      </c>
      <c r="AI504">
        <v>987444382</v>
      </c>
      <c r="AK504">
        <v>56981646153</v>
      </c>
      <c r="AL504" t="s">
        <v>3307</v>
      </c>
      <c r="AO504" t="s">
        <v>3308</v>
      </c>
      <c r="AP504" t="s">
        <v>214</v>
      </c>
      <c r="AQ504" t="s">
        <v>215</v>
      </c>
      <c r="AR504" t="s">
        <v>3270</v>
      </c>
      <c r="AS504" t="s">
        <v>418</v>
      </c>
      <c r="AT504" t="s">
        <v>141</v>
      </c>
      <c r="AU504" t="s">
        <v>96</v>
      </c>
      <c r="AW504" t="s">
        <v>410</v>
      </c>
      <c r="AX504" t="s">
        <v>1527</v>
      </c>
      <c r="AY504" s="3">
        <v>46180</v>
      </c>
      <c r="AZ504" t="s">
        <v>98</v>
      </c>
      <c r="BA504" t="s">
        <v>285</v>
      </c>
      <c r="BC504" t="s">
        <v>200</v>
      </c>
      <c r="BD504" t="s">
        <v>3309</v>
      </c>
      <c r="BE504">
        <v>2023</v>
      </c>
      <c r="BF504">
        <v>2023</v>
      </c>
    </row>
    <row r="505" spans="1:58">
      <c r="A505">
        <v>3534190</v>
      </c>
      <c r="B505">
        <v>80</v>
      </c>
      <c r="C505">
        <v>3</v>
      </c>
      <c r="D505">
        <v>6649242</v>
      </c>
      <c r="F505" t="s">
        <v>80</v>
      </c>
      <c r="G505" t="s">
        <v>81</v>
      </c>
      <c r="H505" t="s">
        <v>12</v>
      </c>
      <c r="I505" t="s">
        <v>22</v>
      </c>
      <c r="J505" t="s">
        <v>6</v>
      </c>
      <c r="K505" t="s">
        <v>83</v>
      </c>
      <c r="L505" s="3">
        <v>46302</v>
      </c>
      <c r="M505" t="s">
        <v>193</v>
      </c>
      <c r="N505">
        <v>13478543</v>
      </c>
      <c r="O505">
        <v>8</v>
      </c>
      <c r="P505" t="s">
        <v>3310</v>
      </c>
      <c r="Q505">
        <v>1</v>
      </c>
      <c r="R505">
        <v>257.74900000000002</v>
      </c>
      <c r="S505" s="3">
        <v>46027</v>
      </c>
      <c r="T505">
        <v>7</v>
      </c>
      <c r="U505">
        <v>5</v>
      </c>
      <c r="V505">
        <v>48</v>
      </c>
      <c r="W505" t="s">
        <v>1435</v>
      </c>
      <c r="Y505">
        <v>33621</v>
      </c>
      <c r="Z505">
        <v>51388</v>
      </c>
      <c r="AA505" t="s">
        <v>98</v>
      </c>
      <c r="AB505" t="s">
        <v>3311</v>
      </c>
      <c r="AC505">
        <v>858256</v>
      </c>
      <c r="AD505" t="s">
        <v>2289</v>
      </c>
      <c r="AH505" t="s">
        <v>1439</v>
      </c>
      <c r="AI505">
        <v>945084240</v>
      </c>
      <c r="AL505" t="s">
        <v>3312</v>
      </c>
      <c r="AO505" t="s">
        <v>3313</v>
      </c>
      <c r="AP505" t="s">
        <v>330</v>
      </c>
      <c r="AQ505" t="s">
        <v>92</v>
      </c>
      <c r="AT505" t="s">
        <v>95</v>
      </c>
      <c r="AU505" t="s">
        <v>1777</v>
      </c>
      <c r="AZ505" t="s">
        <v>98</v>
      </c>
      <c r="BA505" t="s">
        <v>99</v>
      </c>
      <c r="BC505" t="s">
        <v>412</v>
      </c>
      <c r="BD505" t="s">
        <v>3314</v>
      </c>
      <c r="BE505">
        <v>2025</v>
      </c>
      <c r="BF505">
        <v>2025</v>
      </c>
    </row>
    <row r="506" spans="1:58">
      <c r="A506">
        <v>3534279</v>
      </c>
      <c r="B506">
        <v>257</v>
      </c>
      <c r="C506">
        <v>9</v>
      </c>
      <c r="D506">
        <v>3775155</v>
      </c>
      <c r="F506" t="s">
        <v>80</v>
      </c>
      <c r="G506" t="s">
        <v>81</v>
      </c>
      <c r="H506" t="s">
        <v>15</v>
      </c>
      <c r="I506" t="s">
        <v>16</v>
      </c>
      <c r="J506" t="s">
        <v>6</v>
      </c>
      <c r="K506" t="s">
        <v>83</v>
      </c>
      <c r="L506" s="3">
        <v>46029</v>
      </c>
      <c r="M506" t="s">
        <v>193</v>
      </c>
      <c r="N506">
        <v>26659746</v>
      </c>
      <c r="O506">
        <v>0</v>
      </c>
      <c r="P506" t="s">
        <v>3315</v>
      </c>
      <c r="Q506">
        <v>1</v>
      </c>
      <c r="R506">
        <v>270.14499999999998</v>
      </c>
      <c r="S506" s="3">
        <v>45788</v>
      </c>
      <c r="T506">
        <v>1</v>
      </c>
      <c r="U506">
        <v>1</v>
      </c>
      <c r="V506">
        <v>18</v>
      </c>
      <c r="W506" t="s">
        <v>1391</v>
      </c>
      <c r="Y506">
        <v>287752</v>
      </c>
      <c r="Z506">
        <v>140033</v>
      </c>
      <c r="AA506" t="s">
        <v>98</v>
      </c>
      <c r="AB506" t="s">
        <v>3316</v>
      </c>
      <c r="AC506">
        <v>2859090</v>
      </c>
      <c r="AD506" t="s">
        <v>1534</v>
      </c>
      <c r="AH506" t="s">
        <v>1428</v>
      </c>
      <c r="AI506">
        <v>945366916</v>
      </c>
      <c r="AL506" t="s">
        <v>3317</v>
      </c>
      <c r="AO506" t="s">
        <v>3318</v>
      </c>
      <c r="AP506" t="s">
        <v>800</v>
      </c>
      <c r="AQ506" t="s">
        <v>801</v>
      </c>
      <c r="AR506" t="s">
        <v>3052</v>
      </c>
      <c r="AS506" t="s">
        <v>189</v>
      </c>
      <c r="AT506" t="s">
        <v>141</v>
      </c>
      <c r="AU506" t="s">
        <v>96</v>
      </c>
      <c r="AZ506" t="s">
        <v>98</v>
      </c>
      <c r="BA506" t="s">
        <v>99</v>
      </c>
      <c r="BC506" t="s">
        <v>287</v>
      </c>
      <c r="BD506" t="s">
        <v>3319</v>
      </c>
      <c r="BE506">
        <v>2022</v>
      </c>
      <c r="BF506">
        <v>2022</v>
      </c>
    </row>
    <row r="507" spans="1:58">
      <c r="A507">
        <v>3535717</v>
      </c>
      <c r="B507">
        <v>80</v>
      </c>
      <c r="C507">
        <v>3</v>
      </c>
      <c r="D507">
        <v>50443673</v>
      </c>
      <c r="F507" t="s">
        <v>80</v>
      </c>
      <c r="G507" t="s">
        <v>81</v>
      </c>
      <c r="H507" t="s">
        <v>19</v>
      </c>
      <c r="I507" t="s">
        <v>22</v>
      </c>
      <c r="J507" t="s">
        <v>6</v>
      </c>
      <c r="K507" t="s">
        <v>83</v>
      </c>
      <c r="L507" s="3">
        <v>46029</v>
      </c>
      <c r="M507" t="s">
        <v>193</v>
      </c>
      <c r="N507">
        <v>76720634</v>
      </c>
      <c r="O507">
        <v>8</v>
      </c>
      <c r="P507" t="s">
        <v>3320</v>
      </c>
      <c r="Q507">
        <v>0</v>
      </c>
      <c r="R507" t="s">
        <v>3321</v>
      </c>
      <c r="S507" s="3">
        <v>46027</v>
      </c>
      <c r="T507">
        <v>7</v>
      </c>
      <c r="U507">
        <v>7</v>
      </c>
      <c r="V507">
        <v>49</v>
      </c>
      <c r="W507" t="s">
        <v>1448</v>
      </c>
      <c r="Y507">
        <v>137906</v>
      </c>
      <c r="Z507">
        <v>179012</v>
      </c>
      <c r="AA507" t="s">
        <v>98</v>
      </c>
      <c r="AB507" t="s">
        <v>3322</v>
      </c>
      <c r="AC507">
        <v>4162390</v>
      </c>
      <c r="AD507" t="s">
        <v>1983</v>
      </c>
      <c r="AG507" t="s">
        <v>1523</v>
      </c>
      <c r="AH507" t="s">
        <v>1428</v>
      </c>
      <c r="AI507">
        <v>990472995</v>
      </c>
      <c r="AL507" t="s">
        <v>3323</v>
      </c>
      <c r="AO507" t="s">
        <v>3324</v>
      </c>
      <c r="AP507" t="s">
        <v>614</v>
      </c>
      <c r="AQ507" t="s">
        <v>92</v>
      </c>
      <c r="AR507" t="s">
        <v>1928</v>
      </c>
      <c r="AS507" t="s">
        <v>767</v>
      </c>
      <c r="AT507" t="s">
        <v>141</v>
      </c>
      <c r="AU507" t="s">
        <v>96</v>
      </c>
      <c r="AZ507" t="s">
        <v>98</v>
      </c>
      <c r="BA507" t="s">
        <v>99</v>
      </c>
      <c r="BC507" t="s">
        <v>775</v>
      </c>
      <c r="BD507" t="s">
        <v>3325</v>
      </c>
      <c r="BE507">
        <v>0</v>
      </c>
      <c r="BF507">
        <v>0</v>
      </c>
    </row>
    <row r="508" spans="1:58">
      <c r="A508">
        <v>3535778</v>
      </c>
      <c r="B508">
        <v>169</v>
      </c>
      <c r="C508">
        <v>6</v>
      </c>
      <c r="D508">
        <v>7568627</v>
      </c>
      <c r="F508" t="s">
        <v>80</v>
      </c>
      <c r="G508" t="s">
        <v>81</v>
      </c>
      <c r="H508" t="s">
        <v>12</v>
      </c>
      <c r="I508" t="s">
        <v>13</v>
      </c>
      <c r="J508" t="s">
        <v>6</v>
      </c>
      <c r="K508" t="s">
        <v>83</v>
      </c>
      <c r="L508" s="3">
        <v>46029</v>
      </c>
      <c r="M508" t="s">
        <v>193</v>
      </c>
      <c r="N508">
        <v>26530441</v>
      </c>
      <c r="O508">
        <v>9</v>
      </c>
      <c r="P508" t="s">
        <v>3326</v>
      </c>
      <c r="Q508">
        <v>1</v>
      </c>
      <c r="R508">
        <v>266.72899999999998</v>
      </c>
      <c r="S508" s="3">
        <v>46024</v>
      </c>
      <c r="T508">
        <v>4</v>
      </c>
      <c r="U508">
        <v>4</v>
      </c>
      <c r="V508">
        <v>48</v>
      </c>
      <c r="W508" t="s">
        <v>1435</v>
      </c>
      <c r="Y508">
        <v>109082</v>
      </c>
      <c r="Z508">
        <v>81436</v>
      </c>
      <c r="AA508" t="s">
        <v>98</v>
      </c>
      <c r="AB508" t="s">
        <v>3327</v>
      </c>
      <c r="AC508">
        <v>1790892</v>
      </c>
      <c r="AD508" t="s">
        <v>2735</v>
      </c>
      <c r="AH508" t="s">
        <v>1428</v>
      </c>
      <c r="AI508">
        <v>966762786</v>
      </c>
      <c r="AL508" t="s">
        <v>3328</v>
      </c>
      <c r="AO508" t="s">
        <v>3329</v>
      </c>
      <c r="AP508" t="s">
        <v>780</v>
      </c>
      <c r="AQ508" t="s">
        <v>188</v>
      </c>
      <c r="AR508" t="s">
        <v>3330</v>
      </c>
      <c r="AS508" t="s">
        <v>3331</v>
      </c>
      <c r="AT508" t="s">
        <v>141</v>
      </c>
      <c r="AU508" t="s">
        <v>96</v>
      </c>
      <c r="AZ508" t="s">
        <v>98</v>
      </c>
      <c r="BA508" t="s">
        <v>99</v>
      </c>
      <c r="BC508" t="s">
        <v>412</v>
      </c>
      <c r="BD508" t="s">
        <v>3332</v>
      </c>
      <c r="BE508">
        <v>2025</v>
      </c>
      <c r="BF508">
        <v>2025</v>
      </c>
    </row>
    <row r="509" spans="1:58">
      <c r="A509">
        <v>3536778</v>
      </c>
      <c r="B509">
        <v>292</v>
      </c>
      <c r="C509">
        <v>10</v>
      </c>
      <c r="D509">
        <v>7962303</v>
      </c>
      <c r="F509" t="s">
        <v>80</v>
      </c>
      <c r="G509" t="s">
        <v>81</v>
      </c>
      <c r="H509" t="s">
        <v>17</v>
      </c>
      <c r="I509" t="s">
        <v>17</v>
      </c>
      <c r="J509" t="s">
        <v>6</v>
      </c>
      <c r="K509" t="s">
        <v>83</v>
      </c>
      <c r="L509" s="3">
        <v>46029</v>
      </c>
      <c r="M509" t="s">
        <v>193</v>
      </c>
      <c r="N509">
        <v>10165472</v>
      </c>
      <c r="O509">
        <v>9</v>
      </c>
      <c r="P509" t="s">
        <v>3333</v>
      </c>
      <c r="Q509">
        <v>1</v>
      </c>
      <c r="R509">
        <v>268.18599999999998</v>
      </c>
      <c r="S509" s="3">
        <v>45667</v>
      </c>
      <c r="T509">
        <v>0</v>
      </c>
      <c r="U509">
        <v>0</v>
      </c>
      <c r="V509">
        <v>48</v>
      </c>
      <c r="W509" t="s">
        <v>1425</v>
      </c>
      <c r="Y509">
        <v>284208</v>
      </c>
      <c r="Z509">
        <v>9721</v>
      </c>
      <c r="AA509" t="s">
        <v>98</v>
      </c>
      <c r="AB509" t="s">
        <v>3327</v>
      </c>
      <c r="AC509">
        <v>2975789</v>
      </c>
      <c r="AD509" t="s">
        <v>3250</v>
      </c>
      <c r="AH509" t="s">
        <v>1428</v>
      </c>
      <c r="AI509">
        <v>953455589</v>
      </c>
      <c r="AL509" t="s">
        <v>3334</v>
      </c>
      <c r="AO509" t="s">
        <v>3335</v>
      </c>
      <c r="AP509" t="s">
        <v>1021</v>
      </c>
      <c r="AQ509" t="s">
        <v>215</v>
      </c>
      <c r="AR509" t="s">
        <v>2170</v>
      </c>
      <c r="AS509" t="s">
        <v>560</v>
      </c>
      <c r="AT509" t="s">
        <v>141</v>
      </c>
      <c r="AU509" t="s">
        <v>96</v>
      </c>
      <c r="AV509" t="s">
        <v>1478</v>
      </c>
      <c r="AZ509" t="s">
        <v>98</v>
      </c>
      <c r="BA509" t="s">
        <v>99</v>
      </c>
      <c r="BC509" t="s">
        <v>550</v>
      </c>
      <c r="BD509" t="s">
        <v>3336</v>
      </c>
      <c r="BE509">
        <v>2023</v>
      </c>
      <c r="BF509">
        <v>2023</v>
      </c>
    </row>
    <row r="510" spans="1:58">
      <c r="A510">
        <v>3547176</v>
      </c>
      <c r="B510">
        <v>283</v>
      </c>
      <c r="C510">
        <v>10</v>
      </c>
      <c r="D510">
        <v>21961236</v>
      </c>
      <c r="F510" t="s">
        <v>80</v>
      </c>
      <c r="G510" t="s">
        <v>81</v>
      </c>
      <c r="H510" t="s">
        <v>16</v>
      </c>
      <c r="I510" t="s">
        <v>17</v>
      </c>
      <c r="J510" t="s">
        <v>6</v>
      </c>
      <c r="K510" t="s">
        <v>83</v>
      </c>
      <c r="L510" s="3">
        <v>46029</v>
      </c>
      <c r="M510" t="s">
        <v>193</v>
      </c>
      <c r="N510">
        <v>19142335</v>
      </c>
      <c r="O510">
        <v>6</v>
      </c>
      <c r="P510" t="s">
        <v>3337</v>
      </c>
      <c r="Q510">
        <v>1</v>
      </c>
      <c r="R510">
        <v>744.10400000000004</v>
      </c>
      <c r="S510" s="3">
        <v>45940</v>
      </c>
      <c r="T510">
        <v>0</v>
      </c>
      <c r="U510">
        <v>0</v>
      </c>
      <c r="V510">
        <v>48</v>
      </c>
      <c r="W510" t="s">
        <v>1425</v>
      </c>
      <c r="X510" t="s">
        <v>87</v>
      </c>
      <c r="Y510">
        <v>780412</v>
      </c>
      <c r="Z510">
        <v>9721</v>
      </c>
      <c r="AA510" t="s">
        <v>98</v>
      </c>
      <c r="AB510" s="3">
        <v>45939</v>
      </c>
      <c r="AC510">
        <v>8231173</v>
      </c>
      <c r="AD510" t="s">
        <v>2735</v>
      </c>
      <c r="AH510" t="s">
        <v>1428</v>
      </c>
      <c r="AI510">
        <v>939647922</v>
      </c>
      <c r="AL510" t="s">
        <v>3338</v>
      </c>
      <c r="AO510" t="s">
        <v>3339</v>
      </c>
      <c r="AP510" t="s">
        <v>2967</v>
      </c>
      <c r="AQ510" t="s">
        <v>92</v>
      </c>
      <c r="AR510" t="s">
        <v>2552</v>
      </c>
      <c r="AS510" t="s">
        <v>171</v>
      </c>
      <c r="AT510" t="s">
        <v>141</v>
      </c>
      <c r="AU510" t="s">
        <v>96</v>
      </c>
      <c r="AV510" t="s">
        <v>1478</v>
      </c>
      <c r="AZ510" t="s">
        <v>98</v>
      </c>
      <c r="BA510" t="s">
        <v>99</v>
      </c>
      <c r="BB510" t="s">
        <v>3340</v>
      </c>
      <c r="BC510" t="s">
        <v>769</v>
      </c>
      <c r="BD510" t="s">
        <v>3341</v>
      </c>
      <c r="BE510">
        <v>2023</v>
      </c>
      <c r="BF510">
        <v>2023</v>
      </c>
    </row>
    <row r="511" spans="1:58">
      <c r="A511">
        <v>3548610</v>
      </c>
      <c r="B511">
        <v>249</v>
      </c>
      <c r="C511">
        <v>9</v>
      </c>
      <c r="D511">
        <v>31157932</v>
      </c>
      <c r="F511" t="s">
        <v>80</v>
      </c>
      <c r="G511" t="s">
        <v>81</v>
      </c>
      <c r="H511" t="s">
        <v>15</v>
      </c>
      <c r="I511" t="s">
        <v>16</v>
      </c>
      <c r="J511" t="s">
        <v>6</v>
      </c>
      <c r="K511" t="s">
        <v>83</v>
      </c>
      <c r="L511" s="3">
        <v>46029</v>
      </c>
      <c r="M511" t="s">
        <v>193</v>
      </c>
      <c r="N511">
        <v>18881592</v>
      </c>
      <c r="O511">
        <v>8</v>
      </c>
      <c r="P511" t="s">
        <v>3342</v>
      </c>
      <c r="Q511">
        <v>1</v>
      </c>
      <c r="R511" t="s">
        <v>3343</v>
      </c>
      <c r="S511" t="s">
        <v>3344</v>
      </c>
      <c r="T511">
        <v>1</v>
      </c>
      <c r="U511">
        <v>1</v>
      </c>
      <c r="V511">
        <v>48</v>
      </c>
      <c r="W511" t="s">
        <v>1425</v>
      </c>
      <c r="Y511">
        <v>849505</v>
      </c>
      <c r="Z511">
        <v>210277</v>
      </c>
      <c r="AA511" t="s">
        <v>98</v>
      </c>
      <c r="AB511" s="3">
        <v>45939</v>
      </c>
      <c r="AC511">
        <v>10561190</v>
      </c>
      <c r="AD511" t="s">
        <v>2735</v>
      </c>
      <c r="AH511" t="s">
        <v>1428</v>
      </c>
      <c r="AI511">
        <v>954297725</v>
      </c>
      <c r="AL511" t="s">
        <v>3345</v>
      </c>
      <c r="AO511" t="s">
        <v>3346</v>
      </c>
      <c r="AP511" t="s">
        <v>958</v>
      </c>
      <c r="AQ511" t="s">
        <v>92</v>
      </c>
      <c r="AR511" t="s">
        <v>3347</v>
      </c>
      <c r="AS511" t="s">
        <v>3348</v>
      </c>
      <c r="AT511" t="s">
        <v>141</v>
      </c>
      <c r="AU511" t="s">
        <v>96</v>
      </c>
      <c r="AV511" t="s">
        <v>1478</v>
      </c>
      <c r="AZ511" t="s">
        <v>98</v>
      </c>
      <c r="BA511" t="s">
        <v>99</v>
      </c>
      <c r="BC511" t="s">
        <v>769</v>
      </c>
      <c r="BD511" t="s">
        <v>3349</v>
      </c>
      <c r="BE511">
        <v>2022</v>
      </c>
      <c r="BF511">
        <v>2022</v>
      </c>
    </row>
    <row r="512" spans="1:58">
      <c r="A512">
        <v>3550864</v>
      </c>
      <c r="B512">
        <v>246</v>
      </c>
      <c r="C512">
        <v>9</v>
      </c>
      <c r="D512">
        <v>22594629</v>
      </c>
      <c r="F512" t="s">
        <v>80</v>
      </c>
      <c r="G512" t="s">
        <v>81</v>
      </c>
      <c r="H512" t="s">
        <v>15</v>
      </c>
      <c r="I512" t="s">
        <v>16</v>
      </c>
      <c r="J512" t="s">
        <v>6</v>
      </c>
      <c r="K512" t="s">
        <v>83</v>
      </c>
      <c r="L512" s="3">
        <v>46029</v>
      </c>
      <c r="M512" t="s">
        <v>193</v>
      </c>
      <c r="N512">
        <v>26470983</v>
      </c>
      <c r="O512">
        <v>0</v>
      </c>
      <c r="P512" t="s">
        <v>3350</v>
      </c>
      <c r="Q512">
        <v>1</v>
      </c>
      <c r="R512">
        <v>665.21199999999999</v>
      </c>
      <c r="S512" t="s">
        <v>3351</v>
      </c>
      <c r="T512">
        <v>1</v>
      </c>
      <c r="U512">
        <v>1</v>
      </c>
      <c r="V512">
        <v>49</v>
      </c>
      <c r="W512" t="s">
        <v>2678</v>
      </c>
      <c r="Y512">
        <v>537470</v>
      </c>
      <c r="Z512">
        <v>0</v>
      </c>
      <c r="AA512" t="s">
        <v>98</v>
      </c>
      <c r="AB512" s="3">
        <v>46000</v>
      </c>
      <c r="AC512">
        <v>6524378</v>
      </c>
      <c r="AD512" s="4">
        <v>2137</v>
      </c>
      <c r="AH512" t="s">
        <v>1428</v>
      </c>
      <c r="AI512">
        <v>973439660</v>
      </c>
      <c r="AL512" t="s">
        <v>3352</v>
      </c>
      <c r="AO512" t="s">
        <v>3353</v>
      </c>
      <c r="AP512" t="s">
        <v>517</v>
      </c>
      <c r="AQ512" t="s">
        <v>92</v>
      </c>
      <c r="AR512" t="s">
        <v>3354</v>
      </c>
      <c r="AS512" t="s">
        <v>449</v>
      </c>
      <c r="AT512" t="s">
        <v>122</v>
      </c>
      <c r="AU512" t="s">
        <v>96</v>
      </c>
      <c r="AZ512" t="s">
        <v>111</v>
      </c>
      <c r="BA512" t="s">
        <v>99</v>
      </c>
      <c r="BC512" t="s">
        <v>1045</v>
      </c>
      <c r="BD512" t="s">
        <v>3355</v>
      </c>
      <c r="BE512">
        <v>0</v>
      </c>
      <c r="BF512">
        <v>0</v>
      </c>
    </row>
    <row r="513" spans="1:58">
      <c r="A513">
        <v>3554448</v>
      </c>
      <c r="B513">
        <v>276</v>
      </c>
      <c r="C513">
        <v>10</v>
      </c>
      <c r="D513">
        <v>10181041</v>
      </c>
      <c r="F513" t="s">
        <v>80</v>
      </c>
      <c r="G513" t="s">
        <v>81</v>
      </c>
      <c r="H513" t="s">
        <v>16</v>
      </c>
      <c r="I513" t="s">
        <v>17</v>
      </c>
      <c r="J513" t="s">
        <v>6</v>
      </c>
      <c r="K513" t="s">
        <v>83</v>
      </c>
      <c r="L513" s="3">
        <v>46029</v>
      </c>
      <c r="M513" t="s">
        <v>193</v>
      </c>
      <c r="N513">
        <v>18120806</v>
      </c>
      <c r="O513">
        <v>6</v>
      </c>
      <c r="P513" t="s">
        <v>3356</v>
      </c>
      <c r="Q513">
        <v>1</v>
      </c>
      <c r="R513">
        <v>413.678</v>
      </c>
      <c r="S513" t="s">
        <v>3357</v>
      </c>
      <c r="T513">
        <v>0</v>
      </c>
      <c r="U513">
        <v>0</v>
      </c>
      <c r="V513">
        <v>36</v>
      </c>
      <c r="W513" t="s">
        <v>1425</v>
      </c>
      <c r="Y513">
        <v>405980</v>
      </c>
      <c r="Z513">
        <v>9721</v>
      </c>
      <c r="AA513" t="s">
        <v>98</v>
      </c>
      <c r="AB513" t="s">
        <v>3297</v>
      </c>
      <c r="AC513">
        <v>4552481</v>
      </c>
      <c r="AD513" t="s">
        <v>3250</v>
      </c>
      <c r="AH513" t="s">
        <v>1428</v>
      </c>
      <c r="AI513">
        <v>935302796</v>
      </c>
      <c r="AL513" t="s">
        <v>3358</v>
      </c>
      <c r="AO513" t="s">
        <v>3359</v>
      </c>
      <c r="AP513" t="s">
        <v>330</v>
      </c>
      <c r="AQ513" t="s">
        <v>92</v>
      </c>
      <c r="AR513" t="s">
        <v>2552</v>
      </c>
      <c r="AS513" t="s">
        <v>131</v>
      </c>
      <c r="AT513" t="s">
        <v>141</v>
      </c>
      <c r="AU513" t="s">
        <v>96</v>
      </c>
      <c r="AZ513" t="s">
        <v>98</v>
      </c>
      <c r="BA513" t="s">
        <v>99</v>
      </c>
      <c r="BC513" t="s">
        <v>421</v>
      </c>
      <c r="BD513" t="s">
        <v>3360</v>
      </c>
      <c r="BE513">
        <v>2026</v>
      </c>
      <c r="BF513">
        <v>2026</v>
      </c>
    </row>
    <row r="514" spans="1:58">
      <c r="A514">
        <v>3557635</v>
      </c>
      <c r="B514">
        <v>106</v>
      </c>
      <c r="C514">
        <v>4</v>
      </c>
      <c r="D514">
        <v>5393438</v>
      </c>
      <c r="F514" t="s">
        <v>80</v>
      </c>
      <c r="G514" t="s">
        <v>81</v>
      </c>
      <c r="H514" t="s">
        <v>22</v>
      </c>
      <c r="I514" t="s">
        <v>23</v>
      </c>
      <c r="J514" t="s">
        <v>6</v>
      </c>
      <c r="K514" t="s">
        <v>83</v>
      </c>
      <c r="L514" s="3">
        <v>46029</v>
      </c>
      <c r="M514" t="s">
        <v>193</v>
      </c>
      <c r="N514">
        <v>10877099</v>
      </c>
      <c r="O514">
        <v>6</v>
      </c>
      <c r="P514" t="s">
        <v>3361</v>
      </c>
      <c r="Q514">
        <v>1</v>
      </c>
      <c r="R514">
        <v>208.02500000000001</v>
      </c>
      <c r="S514" s="3">
        <v>46146</v>
      </c>
      <c r="T514">
        <v>5</v>
      </c>
      <c r="U514">
        <v>5</v>
      </c>
      <c r="V514">
        <v>42</v>
      </c>
      <c r="W514" t="s">
        <v>1391</v>
      </c>
      <c r="Y514">
        <v>43781</v>
      </c>
      <c r="Z514">
        <v>9721</v>
      </c>
      <c r="AA514" t="s">
        <v>98</v>
      </c>
      <c r="AB514" t="s">
        <v>3362</v>
      </c>
      <c r="AC514">
        <v>885602</v>
      </c>
      <c r="AD514" t="s">
        <v>3363</v>
      </c>
      <c r="AH514" t="s">
        <v>1428</v>
      </c>
      <c r="AI514">
        <v>995622360</v>
      </c>
      <c r="AL514" t="s">
        <v>3364</v>
      </c>
      <c r="AO514" t="s">
        <v>3365</v>
      </c>
      <c r="AP514" t="s">
        <v>330</v>
      </c>
      <c r="AQ514" t="s">
        <v>92</v>
      </c>
      <c r="AR514" t="s">
        <v>3366</v>
      </c>
      <c r="AS514" t="s">
        <v>121</v>
      </c>
      <c r="AT514" t="s">
        <v>141</v>
      </c>
      <c r="AU514" t="s">
        <v>96</v>
      </c>
      <c r="AV514" t="s">
        <v>1478</v>
      </c>
      <c r="AZ514" t="s">
        <v>98</v>
      </c>
      <c r="BA514" t="s">
        <v>99</v>
      </c>
      <c r="BC514" t="s">
        <v>164</v>
      </c>
      <c r="BD514" t="s">
        <v>3367</v>
      </c>
      <c r="BE514">
        <v>2022</v>
      </c>
      <c r="BF514">
        <v>2022</v>
      </c>
    </row>
    <row r="515" spans="1:58">
      <c r="A515">
        <v>3559382</v>
      </c>
      <c r="B515">
        <v>198</v>
      </c>
      <c r="C515">
        <v>7</v>
      </c>
      <c r="D515">
        <v>9566857</v>
      </c>
      <c r="F515" t="s">
        <v>80</v>
      </c>
      <c r="G515" t="s">
        <v>81</v>
      </c>
      <c r="H515" t="s">
        <v>13</v>
      </c>
      <c r="I515" t="s">
        <v>14</v>
      </c>
      <c r="J515" t="s">
        <v>6</v>
      </c>
      <c r="K515" t="s">
        <v>83</v>
      </c>
      <c r="L515" s="3">
        <v>46029</v>
      </c>
      <c r="M515" t="s">
        <v>193</v>
      </c>
      <c r="N515">
        <v>15437007</v>
      </c>
      <c r="O515">
        <v>2</v>
      </c>
      <c r="P515" t="s">
        <v>3368</v>
      </c>
      <c r="Q515">
        <v>1</v>
      </c>
      <c r="R515">
        <v>326.37</v>
      </c>
      <c r="S515" s="3">
        <v>46082</v>
      </c>
      <c r="T515">
        <v>2</v>
      </c>
      <c r="U515">
        <v>2</v>
      </c>
      <c r="V515">
        <v>48</v>
      </c>
      <c r="W515" t="s">
        <v>1425</v>
      </c>
      <c r="Y515">
        <v>166975</v>
      </c>
      <c r="Z515">
        <v>0</v>
      </c>
      <c r="AA515" t="s">
        <v>98</v>
      </c>
      <c r="AB515" t="s">
        <v>2505</v>
      </c>
      <c r="AC515">
        <v>2451565</v>
      </c>
      <c r="AD515" t="s">
        <v>3250</v>
      </c>
      <c r="AH515" t="s">
        <v>1428</v>
      </c>
      <c r="AI515">
        <v>948902099</v>
      </c>
      <c r="AL515" t="s">
        <v>3369</v>
      </c>
      <c r="AO515" t="s">
        <v>3370</v>
      </c>
      <c r="AP515" t="s">
        <v>517</v>
      </c>
      <c r="AQ515" t="s">
        <v>92</v>
      </c>
      <c r="AR515" t="s">
        <v>2236</v>
      </c>
      <c r="AS515" t="s">
        <v>367</v>
      </c>
      <c r="AT515" t="s">
        <v>74</v>
      </c>
      <c r="AU515" t="s">
        <v>96</v>
      </c>
      <c r="AZ515" t="s">
        <v>111</v>
      </c>
      <c r="BA515" t="s">
        <v>99</v>
      </c>
      <c r="BC515" t="s">
        <v>421</v>
      </c>
      <c r="BD515" t="s">
        <v>3371</v>
      </c>
      <c r="BE515">
        <v>2026</v>
      </c>
      <c r="BF515">
        <v>2026</v>
      </c>
    </row>
    <row r="516" spans="1:58">
      <c r="A516">
        <v>3564341</v>
      </c>
      <c r="B516">
        <v>252</v>
      </c>
      <c r="C516">
        <v>9</v>
      </c>
      <c r="D516">
        <v>11106568</v>
      </c>
      <c r="F516" t="s">
        <v>80</v>
      </c>
      <c r="G516" t="s">
        <v>81</v>
      </c>
      <c r="H516" t="s">
        <v>15</v>
      </c>
      <c r="I516" t="s">
        <v>16</v>
      </c>
      <c r="J516" t="s">
        <v>6</v>
      </c>
      <c r="K516" t="s">
        <v>83</v>
      </c>
      <c r="L516" s="3">
        <v>46029</v>
      </c>
      <c r="M516" t="s">
        <v>193</v>
      </c>
      <c r="N516">
        <v>26224361</v>
      </c>
      <c r="O516">
        <v>3</v>
      </c>
      <c r="P516" t="s">
        <v>3372</v>
      </c>
      <c r="Q516">
        <v>1</v>
      </c>
      <c r="R516">
        <v>330.09100000000001</v>
      </c>
      <c r="S516" s="3">
        <v>45941</v>
      </c>
      <c r="T516">
        <v>0</v>
      </c>
      <c r="U516">
        <v>0</v>
      </c>
      <c r="V516">
        <v>60</v>
      </c>
      <c r="W516" t="s">
        <v>1425</v>
      </c>
      <c r="Y516">
        <v>274500</v>
      </c>
      <c r="Z516">
        <v>118577</v>
      </c>
      <c r="AA516" t="s">
        <v>98</v>
      </c>
      <c r="AB516" t="s">
        <v>3373</v>
      </c>
      <c r="AC516">
        <v>3363896</v>
      </c>
      <c r="AD516" t="s">
        <v>3250</v>
      </c>
      <c r="AH516" t="s">
        <v>1428</v>
      </c>
      <c r="AI516">
        <v>975696792</v>
      </c>
      <c r="AL516" t="s">
        <v>3374</v>
      </c>
      <c r="AO516" t="s">
        <v>3375</v>
      </c>
      <c r="AP516" t="s">
        <v>408</v>
      </c>
      <c r="AQ516" t="s">
        <v>92</v>
      </c>
      <c r="AR516" t="s">
        <v>1816</v>
      </c>
      <c r="AS516" t="s">
        <v>131</v>
      </c>
      <c r="AT516" t="s">
        <v>141</v>
      </c>
      <c r="AU516" t="s">
        <v>96</v>
      </c>
      <c r="AV516" t="s">
        <v>1478</v>
      </c>
      <c r="AZ516" t="s">
        <v>98</v>
      </c>
      <c r="BA516" t="s">
        <v>99</v>
      </c>
      <c r="BC516" t="s">
        <v>1337</v>
      </c>
      <c r="BD516" t="s">
        <v>3376</v>
      </c>
      <c r="BE516">
        <v>2026</v>
      </c>
      <c r="BF516">
        <v>2026</v>
      </c>
    </row>
    <row r="517" spans="1:58">
      <c r="A517">
        <v>3569368</v>
      </c>
      <c r="B517">
        <v>138</v>
      </c>
      <c r="C517">
        <v>5</v>
      </c>
      <c r="D517">
        <v>4967358</v>
      </c>
      <c r="F517" t="s">
        <v>80</v>
      </c>
      <c r="G517" t="s">
        <v>81</v>
      </c>
      <c r="H517" t="s">
        <v>23</v>
      </c>
      <c r="I517" t="s">
        <v>12</v>
      </c>
      <c r="J517" t="s">
        <v>6</v>
      </c>
      <c r="K517" t="s">
        <v>83</v>
      </c>
      <c r="L517" s="3">
        <v>46302</v>
      </c>
      <c r="M517" t="s">
        <v>1559</v>
      </c>
      <c r="N517">
        <v>13019348</v>
      </c>
      <c r="O517" t="s">
        <v>266</v>
      </c>
      <c r="P517" t="s">
        <v>3377</v>
      </c>
      <c r="Q517">
        <v>1</v>
      </c>
      <c r="R517">
        <v>228.94900000000001</v>
      </c>
      <c r="S517" s="3">
        <v>46115</v>
      </c>
      <c r="T517">
        <v>4</v>
      </c>
      <c r="U517">
        <v>4</v>
      </c>
      <c r="V517">
        <v>36</v>
      </c>
      <c r="W517" t="s">
        <v>1425</v>
      </c>
      <c r="Y517">
        <v>76195</v>
      </c>
      <c r="Z517">
        <v>9721</v>
      </c>
      <c r="AA517" t="s">
        <v>98</v>
      </c>
      <c r="AB517" s="3">
        <v>45757</v>
      </c>
      <c r="AC517">
        <v>1230661</v>
      </c>
      <c r="AD517" t="s">
        <v>3306</v>
      </c>
      <c r="AH517" t="s">
        <v>1428</v>
      </c>
      <c r="AI517">
        <v>973657359</v>
      </c>
      <c r="AL517" t="s">
        <v>3378</v>
      </c>
      <c r="AO517" t="s">
        <v>3379</v>
      </c>
      <c r="AP517" t="s">
        <v>1849</v>
      </c>
      <c r="AQ517" t="s">
        <v>188</v>
      </c>
      <c r="AT517" t="s">
        <v>95</v>
      </c>
      <c r="AU517" t="s">
        <v>1777</v>
      </c>
      <c r="AZ517" t="s">
        <v>98</v>
      </c>
      <c r="BA517" t="s">
        <v>99</v>
      </c>
      <c r="BC517" t="s">
        <v>1337</v>
      </c>
      <c r="BD517" t="s">
        <v>3380</v>
      </c>
      <c r="BE517">
        <v>2026</v>
      </c>
      <c r="BF517">
        <v>2026</v>
      </c>
    </row>
    <row r="518" spans="1:58">
      <c r="A518">
        <v>3572112</v>
      </c>
      <c r="B518">
        <v>227</v>
      </c>
      <c r="C518">
        <v>8</v>
      </c>
      <c r="D518">
        <v>14827671</v>
      </c>
      <c r="F518" t="s">
        <v>80</v>
      </c>
      <c r="G518" t="s">
        <v>81</v>
      </c>
      <c r="H518" t="s">
        <v>14</v>
      </c>
      <c r="I518" t="s">
        <v>15</v>
      </c>
      <c r="J518" t="s">
        <v>6</v>
      </c>
      <c r="K518" t="s">
        <v>83</v>
      </c>
      <c r="L518" s="3">
        <v>46029</v>
      </c>
      <c r="M518" t="s">
        <v>193</v>
      </c>
      <c r="N518">
        <v>12036969</v>
      </c>
      <c r="O518">
        <v>5</v>
      </c>
      <c r="P518" t="s">
        <v>3381</v>
      </c>
      <c r="Q518">
        <v>1</v>
      </c>
      <c r="R518">
        <v>423.44499999999999</v>
      </c>
      <c r="S518" s="3">
        <v>45789</v>
      </c>
      <c r="T518">
        <v>0</v>
      </c>
      <c r="U518">
        <v>0</v>
      </c>
      <c r="V518">
        <v>49</v>
      </c>
      <c r="W518" t="s">
        <v>1448</v>
      </c>
      <c r="Y518">
        <v>288997</v>
      </c>
      <c r="Z518">
        <v>0</v>
      </c>
      <c r="AA518" t="s">
        <v>98</v>
      </c>
      <c r="AB518" s="3">
        <v>45818</v>
      </c>
      <c r="AC518">
        <v>3676557</v>
      </c>
      <c r="AD518" t="s">
        <v>3250</v>
      </c>
      <c r="AH518" t="s">
        <v>1428</v>
      </c>
      <c r="AI518">
        <v>56998427878</v>
      </c>
      <c r="AL518" t="s">
        <v>3382</v>
      </c>
      <c r="AO518" t="s">
        <v>3383</v>
      </c>
      <c r="AP518" t="s">
        <v>620</v>
      </c>
      <c r="AQ518" t="s">
        <v>92</v>
      </c>
      <c r="AR518" t="s">
        <v>1682</v>
      </c>
      <c r="AS518" t="s">
        <v>767</v>
      </c>
      <c r="AT518" t="s">
        <v>74</v>
      </c>
      <c r="AU518" t="s">
        <v>96</v>
      </c>
      <c r="AZ518" t="s">
        <v>111</v>
      </c>
      <c r="BA518" t="s">
        <v>99</v>
      </c>
      <c r="BC518" t="s">
        <v>287</v>
      </c>
      <c r="BD518" t="s">
        <v>3384</v>
      </c>
      <c r="BE518">
        <v>0</v>
      </c>
      <c r="BF518">
        <v>0</v>
      </c>
    </row>
    <row r="519" spans="1:58">
      <c r="A519">
        <v>3572113</v>
      </c>
      <c r="B519">
        <v>165</v>
      </c>
      <c r="C519">
        <v>6</v>
      </c>
      <c r="D519">
        <v>14167926</v>
      </c>
      <c r="F519" t="s">
        <v>80</v>
      </c>
      <c r="G519" t="s">
        <v>81</v>
      </c>
      <c r="H519" t="s">
        <v>12</v>
      </c>
      <c r="I519" t="s">
        <v>13</v>
      </c>
      <c r="J519" t="s">
        <v>6</v>
      </c>
      <c r="K519" t="s">
        <v>83</v>
      </c>
      <c r="L519" s="3">
        <v>46029</v>
      </c>
      <c r="M519" t="s">
        <v>193</v>
      </c>
      <c r="N519">
        <v>13653141</v>
      </c>
      <c r="O519">
        <v>7</v>
      </c>
      <c r="P519" t="s">
        <v>3385</v>
      </c>
      <c r="Q519">
        <v>1</v>
      </c>
      <c r="R519">
        <v>421.07600000000002</v>
      </c>
      <c r="S519" s="3">
        <v>46144</v>
      </c>
      <c r="T519">
        <v>1</v>
      </c>
      <c r="U519">
        <v>1</v>
      </c>
      <c r="V519">
        <v>60</v>
      </c>
      <c r="W519" t="s">
        <v>1448</v>
      </c>
      <c r="Y519">
        <v>162111</v>
      </c>
      <c r="Z519">
        <v>144562</v>
      </c>
      <c r="AA519" t="s">
        <v>98</v>
      </c>
      <c r="AB519" s="3">
        <v>45698</v>
      </c>
      <c r="AC519">
        <v>2833129</v>
      </c>
      <c r="AD519" t="s">
        <v>3250</v>
      </c>
      <c r="AH519" t="s">
        <v>1428</v>
      </c>
      <c r="AI519">
        <v>56945590669</v>
      </c>
      <c r="AL519" t="s">
        <v>3386</v>
      </c>
      <c r="AO519" t="s">
        <v>3387</v>
      </c>
      <c r="AP519" t="s">
        <v>1849</v>
      </c>
      <c r="AQ519" t="s">
        <v>188</v>
      </c>
      <c r="AR519" t="s">
        <v>3388</v>
      </c>
      <c r="AS519" t="s">
        <v>121</v>
      </c>
      <c r="AT519" t="s">
        <v>141</v>
      </c>
      <c r="AU519" t="s">
        <v>96</v>
      </c>
      <c r="AV519" t="s">
        <v>1478</v>
      </c>
      <c r="AZ519" t="s">
        <v>98</v>
      </c>
      <c r="BA519" t="s">
        <v>99</v>
      </c>
      <c r="BC519" t="s">
        <v>2932</v>
      </c>
      <c r="BD519" t="s">
        <v>2997</v>
      </c>
      <c r="BE519">
        <v>0</v>
      </c>
      <c r="BF519">
        <v>0</v>
      </c>
    </row>
    <row r="520" spans="1:58">
      <c r="A520">
        <v>3575468</v>
      </c>
      <c r="B520">
        <v>196</v>
      </c>
      <c r="C520">
        <v>7</v>
      </c>
      <c r="D520">
        <v>24913683</v>
      </c>
      <c r="F520" t="s">
        <v>80</v>
      </c>
      <c r="G520" t="s">
        <v>81</v>
      </c>
      <c r="H520" t="s">
        <v>13</v>
      </c>
      <c r="I520" t="s">
        <v>14</v>
      </c>
      <c r="J520" t="s">
        <v>6</v>
      </c>
      <c r="K520" t="s">
        <v>83</v>
      </c>
      <c r="L520" s="3">
        <v>46029</v>
      </c>
      <c r="M520" t="s">
        <v>193</v>
      </c>
      <c r="N520">
        <v>11643628</v>
      </c>
      <c r="O520">
        <v>0</v>
      </c>
      <c r="P520" t="s">
        <v>3389</v>
      </c>
      <c r="Q520">
        <v>1</v>
      </c>
      <c r="R520">
        <v>704.16800000000001</v>
      </c>
      <c r="S520" s="3">
        <v>46143</v>
      </c>
      <c r="T520">
        <v>0</v>
      </c>
      <c r="U520">
        <v>0</v>
      </c>
      <c r="V520">
        <v>60</v>
      </c>
      <c r="W520" t="s">
        <v>1448</v>
      </c>
      <c r="Y520">
        <v>368206</v>
      </c>
      <c r="Z520">
        <v>172627</v>
      </c>
      <c r="AA520" t="s">
        <v>98</v>
      </c>
      <c r="AB520" s="3">
        <v>45910</v>
      </c>
      <c r="AC520">
        <v>5470009</v>
      </c>
      <c r="AD520" t="s">
        <v>1619</v>
      </c>
      <c r="AH520" t="s">
        <v>1428</v>
      </c>
      <c r="AI520">
        <v>930536698</v>
      </c>
      <c r="AL520" t="s">
        <v>3390</v>
      </c>
      <c r="AO520">
        <v>2025</v>
      </c>
      <c r="AP520" t="s">
        <v>3391</v>
      </c>
      <c r="AQ520" t="s">
        <v>299</v>
      </c>
      <c r="AR520" t="s">
        <v>3392</v>
      </c>
      <c r="AS520" t="s">
        <v>556</v>
      </c>
      <c r="AT520" t="s">
        <v>141</v>
      </c>
      <c r="AU520" t="s">
        <v>96</v>
      </c>
      <c r="AZ520" t="s">
        <v>98</v>
      </c>
      <c r="BA520" t="s">
        <v>99</v>
      </c>
      <c r="BC520" t="s">
        <v>182</v>
      </c>
      <c r="BD520" t="s">
        <v>2652</v>
      </c>
      <c r="BE520">
        <v>0</v>
      </c>
      <c r="BF520">
        <v>0</v>
      </c>
    </row>
    <row r="521" spans="1:58">
      <c r="A521">
        <v>3587724</v>
      </c>
      <c r="B521">
        <v>227</v>
      </c>
      <c r="C521">
        <v>8</v>
      </c>
      <c r="D521">
        <v>20181623</v>
      </c>
      <c r="F521" t="s">
        <v>80</v>
      </c>
      <c r="G521" t="s">
        <v>81</v>
      </c>
      <c r="H521" t="s">
        <v>14</v>
      </c>
      <c r="I521" t="s">
        <v>15</v>
      </c>
      <c r="J521" t="s">
        <v>6</v>
      </c>
      <c r="K521" t="s">
        <v>83</v>
      </c>
      <c r="L521" s="3">
        <v>46029</v>
      </c>
      <c r="M521" t="s">
        <v>193</v>
      </c>
      <c r="N521">
        <v>17755417</v>
      </c>
      <c r="O521">
        <v>0</v>
      </c>
      <c r="P521" t="s">
        <v>3393</v>
      </c>
      <c r="Q521">
        <v>1</v>
      </c>
      <c r="R521">
        <v>572.91999999999996</v>
      </c>
      <c r="S521" s="3">
        <v>45789</v>
      </c>
      <c r="T521">
        <v>0</v>
      </c>
      <c r="U521">
        <v>0</v>
      </c>
      <c r="V521">
        <v>49</v>
      </c>
      <c r="W521" t="s">
        <v>2678</v>
      </c>
      <c r="Y521">
        <v>393806</v>
      </c>
      <c r="Z521">
        <v>106116</v>
      </c>
      <c r="AA521" t="s">
        <v>98</v>
      </c>
      <c r="AB521" t="s">
        <v>3394</v>
      </c>
      <c r="AC521">
        <v>5083282</v>
      </c>
      <c r="AD521" t="s">
        <v>1499</v>
      </c>
      <c r="AH521" t="s">
        <v>1428</v>
      </c>
      <c r="AI521">
        <v>974271832</v>
      </c>
      <c r="AL521" t="s">
        <v>3395</v>
      </c>
      <c r="AO521" t="s">
        <v>3396</v>
      </c>
      <c r="AP521" t="s">
        <v>509</v>
      </c>
      <c r="AQ521" t="s">
        <v>338</v>
      </c>
      <c r="AR521" t="s">
        <v>3397</v>
      </c>
      <c r="AS521" t="s">
        <v>284</v>
      </c>
      <c r="AT521" t="s">
        <v>141</v>
      </c>
      <c r="AU521" t="s">
        <v>96</v>
      </c>
      <c r="AV521" t="s">
        <v>1478</v>
      </c>
      <c r="AZ521" t="s">
        <v>98</v>
      </c>
      <c r="BA521" t="s">
        <v>99</v>
      </c>
      <c r="BC521" t="s">
        <v>1045</v>
      </c>
      <c r="BD521" t="s">
        <v>2785</v>
      </c>
      <c r="BE521">
        <v>0</v>
      </c>
      <c r="BF521">
        <v>0</v>
      </c>
    </row>
    <row r="522" spans="1:58">
      <c r="A522">
        <v>3590667</v>
      </c>
      <c r="B522">
        <v>200</v>
      </c>
      <c r="C522">
        <v>7</v>
      </c>
      <c r="D522">
        <v>29871444</v>
      </c>
      <c r="F522" t="s">
        <v>80</v>
      </c>
      <c r="G522" t="s">
        <v>81</v>
      </c>
      <c r="H522" t="s">
        <v>13</v>
      </c>
      <c r="I522" t="s">
        <v>14</v>
      </c>
      <c r="J522" t="s">
        <v>6</v>
      </c>
      <c r="K522" t="s">
        <v>83</v>
      </c>
      <c r="L522" s="3">
        <v>46029</v>
      </c>
      <c r="M522" t="s">
        <v>193</v>
      </c>
      <c r="N522">
        <v>14101125</v>
      </c>
      <c r="O522">
        <v>1</v>
      </c>
      <c r="P522" t="s">
        <v>3398</v>
      </c>
      <c r="Q522">
        <v>1</v>
      </c>
      <c r="R522">
        <v>851.90700000000004</v>
      </c>
      <c r="S522" s="3">
        <v>46023</v>
      </c>
      <c r="T522">
        <v>1</v>
      </c>
      <c r="U522">
        <v>1</v>
      </c>
      <c r="V522">
        <v>49</v>
      </c>
      <c r="W522" t="s">
        <v>1448</v>
      </c>
      <c r="Y522">
        <v>465457</v>
      </c>
      <c r="Z522">
        <v>145955</v>
      </c>
      <c r="AA522" t="s">
        <v>98</v>
      </c>
      <c r="AB522" t="s">
        <v>3394</v>
      </c>
      <c r="AC522">
        <v>6574761</v>
      </c>
      <c r="AD522" t="s">
        <v>1499</v>
      </c>
      <c r="AH522" t="s">
        <v>1428</v>
      </c>
      <c r="AI522">
        <v>957329159</v>
      </c>
      <c r="AO522" t="s">
        <v>3399</v>
      </c>
      <c r="AP522" t="s">
        <v>608</v>
      </c>
      <c r="AQ522" t="s">
        <v>92</v>
      </c>
      <c r="AR522" t="s">
        <v>3400</v>
      </c>
      <c r="AS522" t="s">
        <v>560</v>
      </c>
      <c r="AT522" t="s">
        <v>141</v>
      </c>
      <c r="AU522" t="s">
        <v>96</v>
      </c>
      <c r="AV522" t="s">
        <v>1478</v>
      </c>
      <c r="AZ522" t="s">
        <v>98</v>
      </c>
      <c r="BA522" t="s">
        <v>99</v>
      </c>
      <c r="BC522" t="s">
        <v>133</v>
      </c>
      <c r="BD522" t="s">
        <v>3401</v>
      </c>
      <c r="BE522">
        <v>0</v>
      </c>
      <c r="BF522">
        <v>0</v>
      </c>
    </row>
    <row r="523" spans="1:58">
      <c r="A523">
        <v>3595358</v>
      </c>
      <c r="B523">
        <v>227</v>
      </c>
      <c r="C523">
        <v>8</v>
      </c>
      <c r="D523">
        <v>23170072</v>
      </c>
      <c r="F523" t="s">
        <v>80</v>
      </c>
      <c r="G523" t="s">
        <v>81</v>
      </c>
      <c r="H523" t="s">
        <v>14</v>
      </c>
      <c r="I523" t="s">
        <v>15</v>
      </c>
      <c r="J523" t="s">
        <v>6</v>
      </c>
      <c r="K523" t="s">
        <v>83</v>
      </c>
      <c r="L523" s="3">
        <v>46029</v>
      </c>
      <c r="M523" t="s">
        <v>193</v>
      </c>
      <c r="N523">
        <v>18119175</v>
      </c>
      <c r="O523">
        <v>9</v>
      </c>
      <c r="P523" t="s">
        <v>3402</v>
      </c>
      <c r="Q523">
        <v>1</v>
      </c>
      <c r="R523">
        <v>690.25099999999998</v>
      </c>
      <c r="S523" s="3">
        <v>45789</v>
      </c>
      <c r="T523">
        <v>0</v>
      </c>
      <c r="U523">
        <v>0</v>
      </c>
      <c r="V523">
        <v>60</v>
      </c>
      <c r="W523" t="s">
        <v>1425</v>
      </c>
      <c r="Y523">
        <v>474458</v>
      </c>
      <c r="Z523">
        <v>171136</v>
      </c>
      <c r="AA523" t="s">
        <v>98</v>
      </c>
      <c r="AB523" t="s">
        <v>2700</v>
      </c>
      <c r="AC523">
        <v>6167602</v>
      </c>
      <c r="AD523" t="s">
        <v>2688</v>
      </c>
      <c r="AH523" t="s">
        <v>1428</v>
      </c>
      <c r="AI523">
        <v>942739640</v>
      </c>
      <c r="AL523" t="s">
        <v>3403</v>
      </c>
      <c r="AO523" t="s">
        <v>3404</v>
      </c>
      <c r="AP523" t="s">
        <v>2540</v>
      </c>
      <c r="AQ523" t="s">
        <v>160</v>
      </c>
      <c r="AR523" t="s">
        <v>3405</v>
      </c>
      <c r="AS523" t="s">
        <v>217</v>
      </c>
      <c r="AT523" t="s">
        <v>141</v>
      </c>
      <c r="AU523" t="s">
        <v>96</v>
      </c>
      <c r="AZ523" t="s">
        <v>98</v>
      </c>
      <c r="BA523" t="s">
        <v>99</v>
      </c>
      <c r="BC523" t="s">
        <v>101</v>
      </c>
      <c r="BD523" t="s">
        <v>3406</v>
      </c>
      <c r="BE523">
        <v>2026</v>
      </c>
      <c r="BF523">
        <v>2026</v>
      </c>
    </row>
    <row r="524" spans="1:58">
      <c r="A524">
        <v>3595383</v>
      </c>
      <c r="B524">
        <v>242</v>
      </c>
      <c r="C524">
        <v>9</v>
      </c>
      <c r="D524">
        <v>14077740</v>
      </c>
      <c r="F524" t="s">
        <v>80</v>
      </c>
      <c r="G524" t="s">
        <v>81</v>
      </c>
      <c r="H524" t="s">
        <v>15</v>
      </c>
      <c r="I524" t="s">
        <v>16</v>
      </c>
      <c r="J524" t="s">
        <v>6</v>
      </c>
      <c r="K524" t="s">
        <v>83</v>
      </c>
      <c r="L524" s="3">
        <v>46029</v>
      </c>
      <c r="M524" t="s">
        <v>193</v>
      </c>
      <c r="N524">
        <v>77302208</v>
      </c>
      <c r="O524">
        <v>9</v>
      </c>
      <c r="P524" t="s">
        <v>3407</v>
      </c>
      <c r="Q524">
        <v>0</v>
      </c>
      <c r="R524">
        <v>387.97199999999998</v>
      </c>
      <c r="S524" t="s">
        <v>3408</v>
      </c>
      <c r="T524">
        <v>0</v>
      </c>
      <c r="U524">
        <v>0</v>
      </c>
      <c r="V524">
        <v>37</v>
      </c>
      <c r="W524" t="s">
        <v>1448</v>
      </c>
      <c r="Y524">
        <v>300320</v>
      </c>
      <c r="Z524">
        <v>9721</v>
      </c>
      <c r="AA524" t="s">
        <v>98</v>
      </c>
      <c r="AB524" t="s">
        <v>1513</v>
      </c>
      <c r="AC524">
        <v>3801789</v>
      </c>
      <c r="AD524" t="s">
        <v>1977</v>
      </c>
      <c r="AH524" t="s">
        <v>1428</v>
      </c>
      <c r="AI524">
        <v>962373053</v>
      </c>
      <c r="AL524" t="s">
        <v>3409</v>
      </c>
      <c r="AO524" t="s">
        <v>3410</v>
      </c>
      <c r="AP524" t="s">
        <v>3411</v>
      </c>
      <c r="AQ524" t="s">
        <v>160</v>
      </c>
      <c r="AR524" t="s">
        <v>3412</v>
      </c>
      <c r="AS524" t="s">
        <v>180</v>
      </c>
      <c r="AT524" t="s">
        <v>141</v>
      </c>
      <c r="AU524" t="s">
        <v>96</v>
      </c>
      <c r="AV524" t="s">
        <v>1478</v>
      </c>
      <c r="AZ524" t="s">
        <v>98</v>
      </c>
      <c r="BA524" t="s">
        <v>99</v>
      </c>
      <c r="BC524" t="s">
        <v>2932</v>
      </c>
      <c r="BD524" t="s">
        <v>3413</v>
      </c>
      <c r="BE524">
        <v>0</v>
      </c>
      <c r="BF524">
        <v>0</v>
      </c>
    </row>
    <row r="525" spans="1:58">
      <c r="A525">
        <v>3595438</v>
      </c>
      <c r="B525">
        <v>231</v>
      </c>
      <c r="C525">
        <v>8</v>
      </c>
      <c r="D525">
        <v>13113219</v>
      </c>
      <c r="F525" t="s">
        <v>80</v>
      </c>
      <c r="G525" t="s">
        <v>81</v>
      </c>
      <c r="H525" t="s">
        <v>15</v>
      </c>
      <c r="I525" t="s">
        <v>15</v>
      </c>
      <c r="J525" t="s">
        <v>6</v>
      </c>
      <c r="K525" t="s">
        <v>83</v>
      </c>
      <c r="L525" s="3">
        <v>46029</v>
      </c>
      <c r="M525" t="s">
        <v>193</v>
      </c>
      <c r="N525">
        <v>12021188</v>
      </c>
      <c r="O525">
        <v>9</v>
      </c>
      <c r="P525" t="s">
        <v>3414</v>
      </c>
      <c r="Q525">
        <v>1</v>
      </c>
      <c r="R525">
        <v>374.214</v>
      </c>
      <c r="S525" s="3">
        <v>45669</v>
      </c>
      <c r="T525">
        <v>0</v>
      </c>
      <c r="U525">
        <v>0</v>
      </c>
      <c r="V525">
        <v>49</v>
      </c>
      <c r="W525" t="s">
        <v>1448</v>
      </c>
      <c r="Y525">
        <v>265664</v>
      </c>
      <c r="Z525">
        <v>0</v>
      </c>
      <c r="AA525" t="s">
        <v>98</v>
      </c>
      <c r="AB525" t="s">
        <v>3415</v>
      </c>
      <c r="AC525">
        <v>3259376</v>
      </c>
      <c r="AD525" t="s">
        <v>2688</v>
      </c>
      <c r="AH525" t="s">
        <v>1428</v>
      </c>
      <c r="AI525">
        <v>955211264</v>
      </c>
      <c r="AL525" t="s">
        <v>3416</v>
      </c>
      <c r="AO525" t="s">
        <v>3417</v>
      </c>
      <c r="AP525" t="s">
        <v>408</v>
      </c>
      <c r="AQ525" t="s">
        <v>92</v>
      </c>
      <c r="AR525" t="s">
        <v>1816</v>
      </c>
      <c r="AS525" t="s">
        <v>346</v>
      </c>
      <c r="AT525" t="s">
        <v>122</v>
      </c>
      <c r="AU525" t="s">
        <v>96</v>
      </c>
      <c r="AZ525" t="s">
        <v>111</v>
      </c>
      <c r="BA525" t="s">
        <v>99</v>
      </c>
      <c r="BC525" t="s">
        <v>287</v>
      </c>
      <c r="BD525" t="s">
        <v>3418</v>
      </c>
      <c r="BE525">
        <v>0</v>
      </c>
      <c r="BF525">
        <v>0</v>
      </c>
    </row>
    <row r="526" spans="1:58">
      <c r="A526">
        <v>3606496</v>
      </c>
      <c r="B526">
        <v>196</v>
      </c>
      <c r="C526">
        <v>7</v>
      </c>
      <c r="D526">
        <v>14170641</v>
      </c>
      <c r="F526" t="s">
        <v>80</v>
      </c>
      <c r="G526" t="s">
        <v>81</v>
      </c>
      <c r="H526" t="s">
        <v>13</v>
      </c>
      <c r="I526" t="s">
        <v>14</v>
      </c>
      <c r="J526" t="s">
        <v>6</v>
      </c>
      <c r="K526" t="s">
        <v>83</v>
      </c>
      <c r="L526" s="3">
        <v>46029</v>
      </c>
      <c r="M526" t="s">
        <v>193</v>
      </c>
      <c r="N526">
        <v>18750480</v>
      </c>
      <c r="O526">
        <v>5</v>
      </c>
      <c r="P526" t="s">
        <v>3419</v>
      </c>
      <c r="Q526">
        <v>1</v>
      </c>
      <c r="R526">
        <v>405.96100000000001</v>
      </c>
      <c r="S526" s="3">
        <v>46143</v>
      </c>
      <c r="T526">
        <v>0</v>
      </c>
      <c r="U526">
        <v>0</v>
      </c>
      <c r="V526">
        <v>49</v>
      </c>
      <c r="W526" t="s">
        <v>1448</v>
      </c>
      <c r="Y526">
        <v>213781</v>
      </c>
      <c r="Z526">
        <v>0</v>
      </c>
      <c r="AA526" t="s">
        <v>98</v>
      </c>
      <c r="AB526" s="3">
        <v>45849</v>
      </c>
      <c r="AC526">
        <v>3055508</v>
      </c>
      <c r="AD526" t="s">
        <v>2688</v>
      </c>
      <c r="AH526" t="s">
        <v>1428</v>
      </c>
      <c r="AI526">
        <v>961311978</v>
      </c>
      <c r="AL526" t="s">
        <v>3420</v>
      </c>
      <c r="AO526" t="s">
        <v>3421</v>
      </c>
      <c r="AP526" t="s">
        <v>682</v>
      </c>
      <c r="AQ526" t="s">
        <v>92</v>
      </c>
      <c r="AR526" t="s">
        <v>2718</v>
      </c>
      <c r="AS526" t="s">
        <v>396</v>
      </c>
      <c r="AT526" t="s">
        <v>122</v>
      </c>
      <c r="AU526" t="s">
        <v>96</v>
      </c>
      <c r="AZ526" t="s">
        <v>111</v>
      </c>
      <c r="BA526" t="s">
        <v>99</v>
      </c>
      <c r="BC526" t="s">
        <v>287</v>
      </c>
      <c r="BD526" t="s">
        <v>3422</v>
      </c>
      <c r="BE526">
        <v>0</v>
      </c>
      <c r="BF526">
        <v>0</v>
      </c>
    </row>
    <row r="527" spans="1:58">
      <c r="A527">
        <v>3611204</v>
      </c>
      <c r="B527">
        <v>214</v>
      </c>
      <c r="C527">
        <v>8</v>
      </c>
      <c r="D527">
        <v>16126083</v>
      </c>
      <c r="F527" t="s">
        <v>80</v>
      </c>
      <c r="G527" t="s">
        <v>81</v>
      </c>
      <c r="H527" t="s">
        <v>14</v>
      </c>
      <c r="I527" t="s">
        <v>15</v>
      </c>
      <c r="J527" t="s">
        <v>6</v>
      </c>
      <c r="K527" t="s">
        <v>83</v>
      </c>
      <c r="L527" s="3">
        <v>46029</v>
      </c>
      <c r="M527" t="s">
        <v>193</v>
      </c>
      <c r="N527">
        <v>18248683</v>
      </c>
      <c r="O527">
        <v>3</v>
      </c>
      <c r="P527" t="s">
        <v>3423</v>
      </c>
      <c r="Q527">
        <v>1</v>
      </c>
      <c r="R527">
        <v>542.08199999999999</v>
      </c>
      <c r="S527" t="s">
        <v>3424</v>
      </c>
      <c r="T527">
        <v>0</v>
      </c>
      <c r="U527">
        <v>0</v>
      </c>
      <c r="V527">
        <v>48</v>
      </c>
      <c r="W527" t="s">
        <v>1425</v>
      </c>
      <c r="Y527">
        <v>319188</v>
      </c>
      <c r="Z527">
        <v>0</v>
      </c>
      <c r="AA527" t="s">
        <v>98</v>
      </c>
      <c r="AB527" t="s">
        <v>3425</v>
      </c>
      <c r="AC527">
        <v>4655844</v>
      </c>
      <c r="AD527" t="s">
        <v>1752</v>
      </c>
      <c r="AH527" t="s">
        <v>1428</v>
      </c>
      <c r="AI527">
        <v>959893289</v>
      </c>
      <c r="AL527" t="s">
        <v>3426</v>
      </c>
      <c r="AO527" t="s">
        <v>3427</v>
      </c>
      <c r="AP527" t="s">
        <v>107</v>
      </c>
      <c r="AQ527" t="s">
        <v>92</v>
      </c>
      <c r="AR527" t="s">
        <v>2350</v>
      </c>
      <c r="AS527" t="s">
        <v>767</v>
      </c>
      <c r="AT527" t="s">
        <v>122</v>
      </c>
      <c r="AU527" t="s">
        <v>96</v>
      </c>
      <c r="AZ527" t="s">
        <v>111</v>
      </c>
      <c r="BA527" t="s">
        <v>99</v>
      </c>
      <c r="BC527" t="s">
        <v>910</v>
      </c>
      <c r="BD527" t="s">
        <v>3428</v>
      </c>
      <c r="BE527">
        <v>2019</v>
      </c>
      <c r="BF527">
        <v>2019</v>
      </c>
    </row>
    <row r="528" spans="1:58">
      <c r="A528">
        <v>3611521</v>
      </c>
      <c r="B528">
        <v>199</v>
      </c>
      <c r="C528">
        <v>7</v>
      </c>
      <c r="D528">
        <v>6369942</v>
      </c>
      <c r="F528" t="s">
        <v>80</v>
      </c>
      <c r="G528" t="s">
        <v>81</v>
      </c>
      <c r="H528" t="s">
        <v>13</v>
      </c>
      <c r="I528" t="s">
        <v>14</v>
      </c>
      <c r="J528" t="s">
        <v>6</v>
      </c>
      <c r="K528" t="s">
        <v>83</v>
      </c>
      <c r="L528" s="3">
        <v>46029</v>
      </c>
      <c r="M528" t="s">
        <v>193</v>
      </c>
      <c r="N528">
        <v>27831688</v>
      </c>
      <c r="O528">
        <v>2</v>
      </c>
      <c r="P528" t="s">
        <v>3429</v>
      </c>
      <c r="Q528">
        <v>1</v>
      </c>
      <c r="R528">
        <v>174.58699999999999</v>
      </c>
      <c r="S528" s="3">
        <v>46054</v>
      </c>
      <c r="T528">
        <v>0</v>
      </c>
      <c r="U528">
        <v>0</v>
      </c>
      <c r="V528">
        <v>55</v>
      </c>
      <c r="W528" t="s">
        <v>1391</v>
      </c>
      <c r="Y528">
        <v>115156</v>
      </c>
      <c r="Z528">
        <v>74165</v>
      </c>
      <c r="AA528" t="s">
        <v>98</v>
      </c>
      <c r="AB528" s="3">
        <v>46002</v>
      </c>
      <c r="AC528">
        <v>1411430</v>
      </c>
      <c r="AD528" t="s">
        <v>3430</v>
      </c>
      <c r="AH528" t="s">
        <v>1428</v>
      </c>
      <c r="AI528">
        <v>950681382</v>
      </c>
      <c r="AL528" t="s">
        <v>3431</v>
      </c>
      <c r="AO528" t="s">
        <v>3432</v>
      </c>
      <c r="AP528" t="s">
        <v>800</v>
      </c>
      <c r="AQ528" t="s">
        <v>801</v>
      </c>
      <c r="AR528" t="s">
        <v>3433</v>
      </c>
      <c r="AS528" t="s">
        <v>180</v>
      </c>
      <c r="AT528" t="s">
        <v>141</v>
      </c>
      <c r="AU528" t="s">
        <v>96</v>
      </c>
      <c r="AV528" t="s">
        <v>1478</v>
      </c>
      <c r="AZ528" t="s">
        <v>98</v>
      </c>
      <c r="BA528" t="s">
        <v>99</v>
      </c>
      <c r="BC528" t="s">
        <v>475</v>
      </c>
      <c r="BD528" t="s">
        <v>3434</v>
      </c>
      <c r="BE528">
        <v>2018</v>
      </c>
      <c r="BF528">
        <v>2018</v>
      </c>
    </row>
    <row r="529" spans="1:58">
      <c r="A529">
        <v>3613859</v>
      </c>
      <c r="B529">
        <v>179</v>
      </c>
      <c r="C529">
        <v>6</v>
      </c>
      <c r="D529">
        <v>9266524</v>
      </c>
      <c r="F529" t="s">
        <v>80</v>
      </c>
      <c r="G529" t="s">
        <v>81</v>
      </c>
      <c r="H529" t="s">
        <v>13</v>
      </c>
      <c r="I529" t="s">
        <v>13</v>
      </c>
      <c r="J529" t="s">
        <v>6</v>
      </c>
      <c r="K529" t="s">
        <v>83</v>
      </c>
      <c r="L529" s="3">
        <v>46029</v>
      </c>
      <c r="M529" t="s">
        <v>193</v>
      </c>
      <c r="N529">
        <v>6697911</v>
      </c>
      <c r="O529">
        <v>3</v>
      </c>
      <c r="P529" t="s">
        <v>3435</v>
      </c>
      <c r="Q529">
        <v>1</v>
      </c>
      <c r="R529">
        <v>311.49700000000001</v>
      </c>
      <c r="S529" t="s">
        <v>3436</v>
      </c>
      <c r="T529">
        <v>1</v>
      </c>
      <c r="U529">
        <v>1</v>
      </c>
      <c r="V529">
        <v>48</v>
      </c>
      <c r="W529" t="s">
        <v>1425</v>
      </c>
      <c r="Y529">
        <v>131323</v>
      </c>
      <c r="Z529">
        <v>0</v>
      </c>
      <c r="AA529" t="s">
        <v>98</v>
      </c>
      <c r="AB529" t="s">
        <v>3437</v>
      </c>
      <c r="AC529">
        <v>2000305</v>
      </c>
      <c r="AD529" t="s">
        <v>1752</v>
      </c>
      <c r="AH529" t="s">
        <v>1428</v>
      </c>
      <c r="AI529">
        <v>940304418</v>
      </c>
      <c r="AL529" t="s">
        <v>3438</v>
      </c>
      <c r="AO529" t="s">
        <v>3439</v>
      </c>
      <c r="AP529" t="s">
        <v>614</v>
      </c>
      <c r="AQ529" t="s">
        <v>92</v>
      </c>
      <c r="AR529" t="s">
        <v>2391</v>
      </c>
      <c r="AS529" t="s">
        <v>767</v>
      </c>
      <c r="AT529" t="s">
        <v>74</v>
      </c>
      <c r="AU529" t="s">
        <v>96</v>
      </c>
      <c r="AZ529" t="s">
        <v>111</v>
      </c>
      <c r="BA529" t="s">
        <v>99</v>
      </c>
      <c r="BC529" t="s">
        <v>421</v>
      </c>
      <c r="BD529" t="s">
        <v>3371</v>
      </c>
      <c r="BE529">
        <v>2026</v>
      </c>
      <c r="BF529">
        <v>2026</v>
      </c>
    </row>
    <row r="530" spans="1:58">
      <c r="A530">
        <v>3620841</v>
      </c>
      <c r="B530">
        <v>137</v>
      </c>
      <c r="C530">
        <v>5</v>
      </c>
      <c r="D530">
        <v>9606091</v>
      </c>
      <c r="F530" t="s">
        <v>80</v>
      </c>
      <c r="G530" t="s">
        <v>81</v>
      </c>
      <c r="H530" t="s">
        <v>23</v>
      </c>
      <c r="I530" t="s">
        <v>12</v>
      </c>
      <c r="J530" t="s">
        <v>6</v>
      </c>
      <c r="K530" t="s">
        <v>83</v>
      </c>
      <c r="L530" s="3">
        <v>46302</v>
      </c>
      <c r="M530" t="s">
        <v>1559</v>
      </c>
      <c r="N530">
        <v>26607064</v>
      </c>
      <c r="O530">
        <v>0</v>
      </c>
      <c r="P530" t="s">
        <v>3440</v>
      </c>
      <c r="Q530">
        <v>1</v>
      </c>
      <c r="R530">
        <v>308.86500000000001</v>
      </c>
      <c r="S530" s="3">
        <v>46145</v>
      </c>
      <c r="T530">
        <v>1</v>
      </c>
      <c r="U530">
        <v>1</v>
      </c>
      <c r="V530">
        <v>37</v>
      </c>
      <c r="W530" t="s">
        <v>1448</v>
      </c>
      <c r="Y530">
        <v>83610</v>
      </c>
      <c r="Z530">
        <v>9721</v>
      </c>
      <c r="AA530" t="s">
        <v>98</v>
      </c>
      <c r="AB530" t="s">
        <v>3344</v>
      </c>
      <c r="AC530">
        <v>1637656</v>
      </c>
      <c r="AD530" t="s">
        <v>2688</v>
      </c>
      <c r="AH530" t="s">
        <v>1428</v>
      </c>
      <c r="AI530">
        <v>56949934232</v>
      </c>
      <c r="AO530" t="s">
        <v>3441</v>
      </c>
      <c r="AP530" t="s">
        <v>608</v>
      </c>
      <c r="AQ530" t="s">
        <v>92</v>
      </c>
      <c r="AT530" t="s">
        <v>95</v>
      </c>
      <c r="AU530" t="s">
        <v>1777</v>
      </c>
      <c r="AZ530" t="s">
        <v>98</v>
      </c>
      <c r="BA530" t="s">
        <v>99</v>
      </c>
      <c r="BC530" t="s">
        <v>113</v>
      </c>
      <c r="BD530" t="s">
        <v>3442</v>
      </c>
      <c r="BE530">
        <v>0</v>
      </c>
      <c r="BF530">
        <v>0</v>
      </c>
    </row>
    <row r="531" spans="1:58">
      <c r="A531">
        <v>3627975</v>
      </c>
      <c r="B531">
        <v>169</v>
      </c>
      <c r="C531">
        <v>6</v>
      </c>
      <c r="D531">
        <v>9470196</v>
      </c>
      <c r="F531" t="s">
        <v>80</v>
      </c>
      <c r="G531" t="s">
        <v>81</v>
      </c>
      <c r="H531" t="s">
        <v>12</v>
      </c>
      <c r="I531" t="s">
        <v>13</v>
      </c>
      <c r="J531" t="s">
        <v>6</v>
      </c>
      <c r="K531" t="s">
        <v>83</v>
      </c>
      <c r="L531" s="3">
        <v>46029</v>
      </c>
      <c r="M531" t="s">
        <v>193</v>
      </c>
      <c r="N531">
        <v>16630217</v>
      </c>
      <c r="O531" t="s">
        <v>266</v>
      </c>
      <c r="P531" t="s">
        <v>3443</v>
      </c>
      <c r="Q531">
        <v>1</v>
      </c>
      <c r="R531">
        <v>318.34300000000002</v>
      </c>
      <c r="S531" s="3">
        <v>46024</v>
      </c>
      <c r="T531">
        <v>1</v>
      </c>
      <c r="U531">
        <v>1</v>
      </c>
      <c r="V531">
        <v>48</v>
      </c>
      <c r="W531" t="s">
        <v>1448</v>
      </c>
      <c r="Y531">
        <v>127754</v>
      </c>
      <c r="Z531">
        <v>43816</v>
      </c>
      <c r="AA531" t="s">
        <v>98</v>
      </c>
      <c r="AB531" t="s">
        <v>3444</v>
      </c>
      <c r="AC531">
        <v>2081628</v>
      </c>
      <c r="AD531" t="s">
        <v>1752</v>
      </c>
      <c r="AH531" t="s">
        <v>1428</v>
      </c>
      <c r="AI531">
        <v>975754602</v>
      </c>
      <c r="AL531" t="s">
        <v>3445</v>
      </c>
      <c r="AO531" t="s">
        <v>3446</v>
      </c>
      <c r="AP531" t="s">
        <v>129</v>
      </c>
      <c r="AQ531" t="s">
        <v>92</v>
      </c>
      <c r="AR531" t="s">
        <v>3196</v>
      </c>
      <c r="AS531" t="s">
        <v>346</v>
      </c>
      <c r="AT531" t="s">
        <v>141</v>
      </c>
      <c r="AU531" t="s">
        <v>96</v>
      </c>
      <c r="AV531" t="s">
        <v>1478</v>
      </c>
      <c r="AZ531" t="s">
        <v>98</v>
      </c>
      <c r="BA531" t="s">
        <v>99</v>
      </c>
      <c r="BC531" t="s">
        <v>191</v>
      </c>
      <c r="BD531">
        <v>2008</v>
      </c>
      <c r="BE531">
        <v>0</v>
      </c>
      <c r="BF531">
        <v>0</v>
      </c>
    </row>
    <row r="532" spans="1:58">
      <c r="A532">
        <v>3628464</v>
      </c>
      <c r="B532">
        <v>165</v>
      </c>
      <c r="C532">
        <v>6</v>
      </c>
      <c r="D532">
        <v>18965717</v>
      </c>
      <c r="F532" t="s">
        <v>80</v>
      </c>
      <c r="G532" t="s">
        <v>81</v>
      </c>
      <c r="H532" t="s">
        <v>12</v>
      </c>
      <c r="I532" t="s">
        <v>13</v>
      </c>
      <c r="J532" t="s">
        <v>6</v>
      </c>
      <c r="K532" t="s">
        <v>83</v>
      </c>
      <c r="L532" s="3">
        <v>46302</v>
      </c>
      <c r="M532" t="s">
        <v>193</v>
      </c>
      <c r="N532">
        <v>10600908</v>
      </c>
      <c r="O532">
        <v>2</v>
      </c>
      <c r="P532" t="s">
        <v>3447</v>
      </c>
      <c r="Q532">
        <v>1</v>
      </c>
      <c r="R532">
        <v>769.42</v>
      </c>
      <c r="S532" s="3">
        <v>46144</v>
      </c>
      <c r="T532">
        <v>1</v>
      </c>
      <c r="U532">
        <v>1</v>
      </c>
      <c r="V532">
        <v>36</v>
      </c>
      <c r="W532" t="s">
        <v>1425</v>
      </c>
      <c r="Y532">
        <v>295871</v>
      </c>
      <c r="Z532">
        <v>224831</v>
      </c>
      <c r="AA532" t="s">
        <v>98</v>
      </c>
      <c r="AB532" s="3">
        <v>45759</v>
      </c>
      <c r="AC532">
        <v>5137222</v>
      </c>
      <c r="AD532" t="s">
        <v>1752</v>
      </c>
      <c r="AH532" t="s">
        <v>1428</v>
      </c>
      <c r="AI532">
        <v>957431813</v>
      </c>
      <c r="AK532">
        <v>56957431813</v>
      </c>
      <c r="AL532" t="s">
        <v>3448</v>
      </c>
      <c r="AO532" t="s">
        <v>3449</v>
      </c>
      <c r="AP532" t="s">
        <v>214</v>
      </c>
      <c r="AQ532" t="s">
        <v>215</v>
      </c>
      <c r="AT532" t="s">
        <v>95</v>
      </c>
      <c r="AU532" t="s">
        <v>1777</v>
      </c>
      <c r="AZ532" t="s">
        <v>98</v>
      </c>
      <c r="BA532" t="s">
        <v>99</v>
      </c>
      <c r="BC532" t="s">
        <v>375</v>
      </c>
      <c r="BD532" t="s">
        <v>1011</v>
      </c>
      <c r="BE532">
        <v>2019</v>
      </c>
      <c r="BF532">
        <v>2019</v>
      </c>
    </row>
    <row r="533" spans="1:58">
      <c r="A533">
        <v>3632660</v>
      </c>
      <c r="B533">
        <v>69</v>
      </c>
      <c r="C533">
        <v>3</v>
      </c>
      <c r="D533">
        <v>11368089</v>
      </c>
      <c r="F533" t="s">
        <v>80</v>
      </c>
      <c r="G533" t="s">
        <v>81</v>
      </c>
      <c r="H533" t="s">
        <v>19</v>
      </c>
      <c r="I533" t="s">
        <v>22</v>
      </c>
      <c r="J533" t="s">
        <v>6</v>
      </c>
      <c r="K533" t="s">
        <v>83</v>
      </c>
      <c r="L533" s="3">
        <v>46029</v>
      </c>
      <c r="M533" t="s">
        <v>1559</v>
      </c>
      <c r="N533">
        <v>7944304</v>
      </c>
      <c r="O533">
        <v>2</v>
      </c>
      <c r="P533" t="s">
        <v>3450</v>
      </c>
      <c r="Q533">
        <v>1</v>
      </c>
      <c r="R533">
        <v>351.23700000000002</v>
      </c>
      <c r="S533" s="3">
        <v>46361</v>
      </c>
      <c r="T533">
        <v>4</v>
      </c>
      <c r="U533">
        <v>4</v>
      </c>
      <c r="V533">
        <v>37</v>
      </c>
      <c r="W533" t="s">
        <v>1435</v>
      </c>
      <c r="Y533">
        <v>28977</v>
      </c>
      <c r="Z533">
        <v>64738</v>
      </c>
      <c r="AA533" t="s">
        <v>98</v>
      </c>
      <c r="AB533" s="3">
        <v>45942</v>
      </c>
      <c r="AC533">
        <v>1147426</v>
      </c>
      <c r="AD533" t="s">
        <v>1752</v>
      </c>
      <c r="AG533" t="s">
        <v>1523</v>
      </c>
      <c r="AH533" t="s">
        <v>1428</v>
      </c>
      <c r="AI533">
        <v>994465802</v>
      </c>
      <c r="AK533">
        <v>5694465802</v>
      </c>
      <c r="AL533" t="s">
        <v>3451</v>
      </c>
      <c r="AO533" t="s">
        <v>3452</v>
      </c>
      <c r="AP533" t="s">
        <v>3453</v>
      </c>
      <c r="AQ533" t="s">
        <v>188</v>
      </c>
      <c r="AR533" t="s">
        <v>3454</v>
      </c>
      <c r="AS533" t="s">
        <v>367</v>
      </c>
      <c r="AT533" t="s">
        <v>141</v>
      </c>
      <c r="AU533" t="s">
        <v>96</v>
      </c>
      <c r="AV533" t="s">
        <v>1478</v>
      </c>
      <c r="AZ533" t="s">
        <v>98</v>
      </c>
      <c r="BA533" t="s">
        <v>99</v>
      </c>
      <c r="BC533" t="s">
        <v>3455</v>
      </c>
      <c r="BD533" t="s">
        <v>3456</v>
      </c>
      <c r="BE533">
        <v>2026</v>
      </c>
      <c r="BF533">
        <v>2026</v>
      </c>
    </row>
    <row r="534" spans="1:58">
      <c r="A534">
        <v>3650548</v>
      </c>
      <c r="B534">
        <v>137</v>
      </c>
      <c r="C534">
        <v>5</v>
      </c>
      <c r="D534">
        <v>19474707</v>
      </c>
      <c r="F534" t="s">
        <v>80</v>
      </c>
      <c r="G534" t="s">
        <v>81</v>
      </c>
      <c r="H534" t="s">
        <v>23</v>
      </c>
      <c r="I534" t="s">
        <v>12</v>
      </c>
      <c r="J534" t="s">
        <v>6</v>
      </c>
      <c r="K534" t="s">
        <v>83</v>
      </c>
      <c r="L534" s="3">
        <v>46029</v>
      </c>
      <c r="M534" t="s">
        <v>193</v>
      </c>
      <c r="N534">
        <v>15532522</v>
      </c>
      <c r="O534">
        <v>4</v>
      </c>
      <c r="P534" t="s">
        <v>3457</v>
      </c>
      <c r="Q534">
        <v>1</v>
      </c>
      <c r="R534">
        <v>657.24800000000005</v>
      </c>
      <c r="S534" s="3">
        <v>46145</v>
      </c>
      <c r="T534">
        <v>0</v>
      </c>
      <c r="U534">
        <v>0</v>
      </c>
      <c r="V534">
        <v>48</v>
      </c>
      <c r="W534" t="s">
        <v>1448</v>
      </c>
      <c r="Y534">
        <v>177498</v>
      </c>
      <c r="Z534">
        <v>71230</v>
      </c>
      <c r="AA534" t="s">
        <v>98</v>
      </c>
      <c r="AB534" t="s">
        <v>3458</v>
      </c>
      <c r="AC534">
        <v>3534968</v>
      </c>
      <c r="AD534" t="s">
        <v>2688</v>
      </c>
      <c r="AH534" t="s">
        <v>1428</v>
      </c>
      <c r="AI534">
        <v>981472024</v>
      </c>
      <c r="AL534" t="s">
        <v>3459</v>
      </c>
      <c r="AO534" t="s">
        <v>3460</v>
      </c>
      <c r="AP534" t="s">
        <v>1212</v>
      </c>
      <c r="AQ534" t="s">
        <v>299</v>
      </c>
      <c r="AR534" t="s">
        <v>3461</v>
      </c>
      <c r="AS534" t="s">
        <v>3462</v>
      </c>
      <c r="AT534" t="s">
        <v>141</v>
      </c>
      <c r="AU534" t="s">
        <v>96</v>
      </c>
      <c r="AZ534" t="s">
        <v>98</v>
      </c>
      <c r="BA534" t="s">
        <v>99</v>
      </c>
      <c r="BC534" t="s">
        <v>133</v>
      </c>
      <c r="BD534" t="s">
        <v>3463</v>
      </c>
      <c r="BE534">
        <v>0</v>
      </c>
      <c r="BF534">
        <v>0</v>
      </c>
    </row>
    <row r="535" spans="1:58">
      <c r="A535">
        <v>3655453</v>
      </c>
      <c r="B535">
        <v>106</v>
      </c>
      <c r="C535">
        <v>4</v>
      </c>
      <c r="D535">
        <v>6060316</v>
      </c>
      <c r="F535" t="s">
        <v>80</v>
      </c>
      <c r="G535" t="s">
        <v>81</v>
      </c>
      <c r="H535" t="s">
        <v>22</v>
      </c>
      <c r="I535" t="s">
        <v>23</v>
      </c>
      <c r="J535" t="s">
        <v>6</v>
      </c>
      <c r="K535" t="s">
        <v>83</v>
      </c>
      <c r="L535" s="3">
        <v>46302</v>
      </c>
      <c r="M535" t="s">
        <v>193</v>
      </c>
      <c r="N535">
        <v>9432604</v>
      </c>
      <c r="O535">
        <v>4</v>
      </c>
      <c r="P535" t="s">
        <v>3464</v>
      </c>
      <c r="Q535">
        <v>1</v>
      </c>
      <c r="R535">
        <v>242.42599999999999</v>
      </c>
      <c r="S535" s="3">
        <v>46146</v>
      </c>
      <c r="T535">
        <v>1</v>
      </c>
      <c r="U535">
        <v>1</v>
      </c>
      <c r="V535">
        <v>36</v>
      </c>
      <c r="W535" t="s">
        <v>1448</v>
      </c>
      <c r="Y535">
        <v>51153</v>
      </c>
      <c r="Z535">
        <v>66509</v>
      </c>
      <c r="AA535" t="s">
        <v>98</v>
      </c>
      <c r="AB535" s="3">
        <v>46174</v>
      </c>
      <c r="AC535">
        <v>1087366</v>
      </c>
      <c r="AD535">
        <v>2</v>
      </c>
      <c r="AH535" t="s">
        <v>1428</v>
      </c>
      <c r="AI535">
        <v>997210493</v>
      </c>
      <c r="AL535" t="s">
        <v>3465</v>
      </c>
      <c r="AO535" t="s">
        <v>3466</v>
      </c>
      <c r="AP535" t="s">
        <v>541</v>
      </c>
      <c r="AQ535" t="s">
        <v>188</v>
      </c>
      <c r="AT535" t="s">
        <v>95</v>
      </c>
      <c r="AU535" t="s">
        <v>1777</v>
      </c>
      <c r="AZ535" t="s">
        <v>98</v>
      </c>
      <c r="BA535" t="s">
        <v>99</v>
      </c>
      <c r="BC535" t="s">
        <v>278</v>
      </c>
      <c r="BD535" t="s">
        <v>3467</v>
      </c>
      <c r="BE535">
        <v>0</v>
      </c>
      <c r="BF535">
        <v>0</v>
      </c>
    </row>
    <row r="536" spans="1:58">
      <c r="A536">
        <v>3656732</v>
      </c>
      <c r="B536">
        <v>161</v>
      </c>
      <c r="C536">
        <v>6</v>
      </c>
      <c r="D536">
        <v>14105160</v>
      </c>
      <c r="F536" t="s">
        <v>80</v>
      </c>
      <c r="G536" t="s">
        <v>81</v>
      </c>
      <c r="H536" t="s">
        <v>12</v>
      </c>
      <c r="I536" t="s">
        <v>13</v>
      </c>
      <c r="J536" t="s">
        <v>6</v>
      </c>
      <c r="K536" t="s">
        <v>83</v>
      </c>
      <c r="L536" s="3">
        <v>46029</v>
      </c>
      <c r="M536" t="s">
        <v>193</v>
      </c>
      <c r="N536">
        <v>17377854</v>
      </c>
      <c r="O536">
        <v>6</v>
      </c>
      <c r="P536" t="s">
        <v>3468</v>
      </c>
      <c r="Q536">
        <v>1</v>
      </c>
      <c r="R536">
        <v>476.03199999999998</v>
      </c>
      <c r="S536" s="3">
        <v>46267</v>
      </c>
      <c r="T536">
        <v>0</v>
      </c>
      <c r="U536">
        <v>0</v>
      </c>
      <c r="V536">
        <v>48</v>
      </c>
      <c r="W536" t="s">
        <v>1425</v>
      </c>
      <c r="Y536">
        <v>176098</v>
      </c>
      <c r="Z536">
        <v>9721</v>
      </c>
      <c r="AA536" t="s">
        <v>98</v>
      </c>
      <c r="AB536" s="3">
        <v>46266</v>
      </c>
      <c r="AC536">
        <v>3042011</v>
      </c>
      <c r="AD536" t="s">
        <v>2688</v>
      </c>
      <c r="AH536" t="s">
        <v>1428</v>
      </c>
      <c r="AI536">
        <v>940325100</v>
      </c>
      <c r="AL536" t="s">
        <v>3469</v>
      </c>
      <c r="AO536" t="s">
        <v>3470</v>
      </c>
      <c r="AP536" t="s">
        <v>3471</v>
      </c>
      <c r="AQ536" t="s">
        <v>149</v>
      </c>
      <c r="AR536" t="s">
        <v>3472</v>
      </c>
      <c r="AS536" t="s">
        <v>418</v>
      </c>
      <c r="AT536" t="s">
        <v>141</v>
      </c>
      <c r="AU536" t="s">
        <v>96</v>
      </c>
      <c r="AZ536" t="s">
        <v>98</v>
      </c>
      <c r="BA536" t="s">
        <v>99</v>
      </c>
      <c r="BC536" t="s">
        <v>2886</v>
      </c>
      <c r="BD536" t="s">
        <v>3473</v>
      </c>
      <c r="BE536">
        <v>2024</v>
      </c>
      <c r="BF536">
        <v>2024</v>
      </c>
    </row>
    <row r="537" spans="1:58">
      <c r="A537">
        <v>3662424</v>
      </c>
      <c r="B537">
        <v>146</v>
      </c>
      <c r="C537">
        <v>5</v>
      </c>
      <c r="D537">
        <v>9416435</v>
      </c>
      <c r="F537" t="s">
        <v>80</v>
      </c>
      <c r="G537" t="s">
        <v>81</v>
      </c>
      <c r="H537" t="s">
        <v>12</v>
      </c>
      <c r="I537" t="s">
        <v>12</v>
      </c>
      <c r="J537" t="s">
        <v>6</v>
      </c>
      <c r="K537" t="s">
        <v>83</v>
      </c>
      <c r="L537" s="3">
        <v>46029</v>
      </c>
      <c r="M537" t="s">
        <v>193</v>
      </c>
      <c r="N537">
        <v>19914942</v>
      </c>
      <c r="O537">
        <v>3</v>
      </c>
      <c r="P537" t="s">
        <v>3474</v>
      </c>
      <c r="Q537">
        <v>1</v>
      </c>
      <c r="R537">
        <v>280.52199999999999</v>
      </c>
      <c r="S537" t="s">
        <v>3475</v>
      </c>
      <c r="T537">
        <v>0</v>
      </c>
      <c r="U537">
        <v>0</v>
      </c>
      <c r="V537">
        <v>60</v>
      </c>
      <c r="W537" t="s">
        <v>1425</v>
      </c>
      <c r="Y537">
        <v>83041</v>
      </c>
      <c r="Z537">
        <v>84390</v>
      </c>
      <c r="AA537" t="s">
        <v>98</v>
      </c>
      <c r="AB537" t="s">
        <v>3476</v>
      </c>
      <c r="AC537">
        <v>1570041</v>
      </c>
      <c r="AD537" t="s">
        <v>2688</v>
      </c>
      <c r="AH537" t="s">
        <v>1428</v>
      </c>
      <c r="AI537">
        <v>929385199</v>
      </c>
      <c r="AL537" t="s">
        <v>3477</v>
      </c>
      <c r="AO537" t="s">
        <v>3478</v>
      </c>
      <c r="AP537" t="s">
        <v>447</v>
      </c>
      <c r="AQ537" t="s">
        <v>92</v>
      </c>
      <c r="AR537" t="s">
        <v>3479</v>
      </c>
      <c r="AS537" t="s">
        <v>162</v>
      </c>
      <c r="AT537" t="s">
        <v>141</v>
      </c>
      <c r="AU537" t="s">
        <v>96</v>
      </c>
      <c r="AZ537" t="s">
        <v>98</v>
      </c>
      <c r="BA537" t="s">
        <v>99</v>
      </c>
      <c r="BC537" t="s">
        <v>1337</v>
      </c>
      <c r="BD537" t="s">
        <v>3380</v>
      </c>
      <c r="BE537">
        <v>2026</v>
      </c>
      <c r="BF537">
        <v>2026</v>
      </c>
    </row>
    <row r="538" spans="1:58">
      <c r="A538">
        <v>3669768</v>
      </c>
      <c r="B538">
        <v>122</v>
      </c>
      <c r="C538">
        <v>5</v>
      </c>
      <c r="D538">
        <v>3261982</v>
      </c>
      <c r="F538" t="s">
        <v>80</v>
      </c>
      <c r="G538" t="s">
        <v>81</v>
      </c>
      <c r="H538" t="s">
        <v>23</v>
      </c>
      <c r="I538" t="s">
        <v>12</v>
      </c>
      <c r="J538" t="s">
        <v>6</v>
      </c>
      <c r="K538" t="s">
        <v>83</v>
      </c>
      <c r="L538" s="3">
        <v>46302</v>
      </c>
      <c r="M538" t="s">
        <v>193</v>
      </c>
      <c r="N538">
        <v>17016683</v>
      </c>
      <c r="O538">
        <v>3</v>
      </c>
      <c r="P538" t="s">
        <v>3480</v>
      </c>
      <c r="Q538">
        <v>1</v>
      </c>
      <c r="R538">
        <v>220.86799999999999</v>
      </c>
      <c r="S538" t="s">
        <v>3481</v>
      </c>
      <c r="T538">
        <v>1</v>
      </c>
      <c r="U538">
        <v>1</v>
      </c>
      <c r="V538">
        <v>18</v>
      </c>
      <c r="W538" t="s">
        <v>1391</v>
      </c>
      <c r="Y538">
        <v>58841</v>
      </c>
      <c r="Z538">
        <v>77661</v>
      </c>
      <c r="AA538" t="s">
        <v>98</v>
      </c>
      <c r="AB538" t="s">
        <v>3482</v>
      </c>
      <c r="AC538">
        <v>1240842</v>
      </c>
      <c r="AD538" t="s">
        <v>1451</v>
      </c>
      <c r="AH538" t="s">
        <v>1428</v>
      </c>
      <c r="AI538">
        <v>940944162</v>
      </c>
      <c r="AJ538">
        <v>934327745</v>
      </c>
      <c r="AK538">
        <v>83545956</v>
      </c>
      <c r="AL538" t="s">
        <v>3483</v>
      </c>
      <c r="AO538" t="s">
        <v>3484</v>
      </c>
      <c r="AP538" t="s">
        <v>3485</v>
      </c>
      <c r="AQ538" t="s">
        <v>215</v>
      </c>
      <c r="AT538" t="s">
        <v>95</v>
      </c>
      <c r="AU538" t="s">
        <v>1777</v>
      </c>
      <c r="AZ538" t="s">
        <v>98</v>
      </c>
      <c r="BA538" t="s">
        <v>99</v>
      </c>
      <c r="BC538" t="s">
        <v>468</v>
      </c>
      <c r="BD538" t="s">
        <v>2004</v>
      </c>
      <c r="BE538">
        <v>2022</v>
      </c>
      <c r="BF538">
        <v>2022</v>
      </c>
    </row>
    <row r="539" spans="1:58">
      <c r="A539">
        <v>3681968</v>
      </c>
      <c r="B539">
        <v>141</v>
      </c>
      <c r="C539">
        <v>5</v>
      </c>
      <c r="D539">
        <v>11878640</v>
      </c>
      <c r="F539" t="s">
        <v>80</v>
      </c>
      <c r="G539" t="s">
        <v>81</v>
      </c>
      <c r="H539" t="s">
        <v>12</v>
      </c>
      <c r="I539" t="s">
        <v>12</v>
      </c>
      <c r="J539" t="s">
        <v>6</v>
      </c>
      <c r="K539" t="s">
        <v>83</v>
      </c>
      <c r="L539" s="3">
        <v>46029</v>
      </c>
      <c r="M539" t="s">
        <v>193</v>
      </c>
      <c r="N539">
        <v>14381063</v>
      </c>
      <c r="O539">
        <v>1</v>
      </c>
      <c r="P539" t="s">
        <v>3486</v>
      </c>
      <c r="Q539">
        <v>1</v>
      </c>
      <c r="R539">
        <v>402.47899999999998</v>
      </c>
      <c r="S539" s="3">
        <v>46025</v>
      </c>
      <c r="T539">
        <v>0</v>
      </c>
      <c r="U539">
        <v>0</v>
      </c>
      <c r="V539">
        <v>48</v>
      </c>
      <c r="W539" t="s">
        <v>1448</v>
      </c>
      <c r="Y539">
        <v>115439</v>
      </c>
      <c r="Z539">
        <v>81777</v>
      </c>
      <c r="AA539" t="s">
        <v>98</v>
      </c>
      <c r="AB539" t="s">
        <v>3487</v>
      </c>
      <c r="AC539">
        <v>2209611</v>
      </c>
      <c r="AD539" t="s">
        <v>2735</v>
      </c>
      <c r="AH539" t="s">
        <v>1428</v>
      </c>
      <c r="AI539">
        <v>957322117</v>
      </c>
      <c r="AL539" t="s">
        <v>3488</v>
      </c>
      <c r="AO539" t="s">
        <v>3489</v>
      </c>
      <c r="AP539" t="s">
        <v>517</v>
      </c>
      <c r="AQ539" t="s">
        <v>92</v>
      </c>
      <c r="AR539" t="s">
        <v>3490</v>
      </c>
      <c r="AS539" t="s">
        <v>140</v>
      </c>
      <c r="AT539" t="s">
        <v>141</v>
      </c>
      <c r="AU539" t="s">
        <v>96</v>
      </c>
      <c r="AZ539" t="s">
        <v>98</v>
      </c>
      <c r="BA539" t="s">
        <v>99</v>
      </c>
      <c r="BC539" t="s">
        <v>804</v>
      </c>
      <c r="BD539" t="s">
        <v>3491</v>
      </c>
      <c r="BE539">
        <v>0</v>
      </c>
      <c r="BF539">
        <v>0</v>
      </c>
    </row>
    <row r="540" spans="1:58">
      <c r="A540">
        <v>3685968</v>
      </c>
      <c r="B540">
        <v>134</v>
      </c>
      <c r="C540">
        <v>5</v>
      </c>
      <c r="D540">
        <v>19785870</v>
      </c>
      <c r="F540" t="s">
        <v>80</v>
      </c>
      <c r="G540" t="s">
        <v>81</v>
      </c>
      <c r="H540" t="s">
        <v>23</v>
      </c>
      <c r="I540" t="s">
        <v>12</v>
      </c>
      <c r="J540" t="s">
        <v>6</v>
      </c>
      <c r="K540" t="s">
        <v>83</v>
      </c>
      <c r="L540" s="3">
        <v>46029</v>
      </c>
      <c r="M540" t="s">
        <v>193</v>
      </c>
      <c r="N540">
        <v>19613416</v>
      </c>
      <c r="O540">
        <v>6</v>
      </c>
      <c r="P540" t="s">
        <v>3492</v>
      </c>
      <c r="Q540">
        <v>1</v>
      </c>
      <c r="R540">
        <v>807.70500000000004</v>
      </c>
      <c r="S540" s="3">
        <v>46237</v>
      </c>
      <c r="T540">
        <v>0</v>
      </c>
      <c r="U540">
        <v>0</v>
      </c>
      <c r="V540">
        <v>36</v>
      </c>
      <c r="W540" t="s">
        <v>1425</v>
      </c>
      <c r="Y540">
        <v>211598</v>
      </c>
      <c r="Z540">
        <v>9721</v>
      </c>
      <c r="AA540" t="s">
        <v>98</v>
      </c>
      <c r="AB540" s="3">
        <v>46144</v>
      </c>
      <c r="AC540">
        <v>4259844</v>
      </c>
      <c r="AD540" t="s">
        <v>2735</v>
      </c>
      <c r="AH540" t="s">
        <v>1428</v>
      </c>
      <c r="AI540">
        <v>986085160</v>
      </c>
      <c r="AL540" t="s">
        <v>3493</v>
      </c>
      <c r="AO540" t="s">
        <v>3494</v>
      </c>
      <c r="AP540" t="s">
        <v>501</v>
      </c>
      <c r="AQ540" t="s">
        <v>188</v>
      </c>
      <c r="AR540" t="s">
        <v>3490</v>
      </c>
      <c r="AS540" t="s">
        <v>556</v>
      </c>
      <c r="AT540" t="s">
        <v>141</v>
      </c>
      <c r="AU540" t="s">
        <v>96</v>
      </c>
      <c r="AZ540" t="s">
        <v>98</v>
      </c>
      <c r="BA540" t="s">
        <v>99</v>
      </c>
      <c r="BC540" t="s">
        <v>191</v>
      </c>
      <c r="BD540" t="s">
        <v>3023</v>
      </c>
      <c r="BE540">
        <v>2026</v>
      </c>
      <c r="BF540">
        <v>2026</v>
      </c>
    </row>
    <row r="541" spans="1:58">
      <c r="A541">
        <v>3686784</v>
      </c>
      <c r="B541">
        <v>106</v>
      </c>
      <c r="C541">
        <v>4</v>
      </c>
      <c r="D541">
        <v>3358575</v>
      </c>
      <c r="F541" t="s">
        <v>80</v>
      </c>
      <c r="G541" t="s">
        <v>81</v>
      </c>
      <c r="H541" t="s">
        <v>22</v>
      </c>
      <c r="I541" t="s">
        <v>23</v>
      </c>
      <c r="J541" t="s">
        <v>6</v>
      </c>
      <c r="K541" t="s">
        <v>83</v>
      </c>
      <c r="L541" s="3">
        <v>46302</v>
      </c>
      <c r="M541" t="s">
        <v>193</v>
      </c>
      <c r="N541">
        <v>16977782</v>
      </c>
      <c r="O541">
        <v>9</v>
      </c>
      <c r="P541" t="s">
        <v>3495</v>
      </c>
      <c r="Q541">
        <v>1</v>
      </c>
      <c r="R541">
        <v>126.27200000000001</v>
      </c>
      <c r="S541" s="3">
        <v>46146</v>
      </c>
      <c r="T541">
        <v>1</v>
      </c>
      <c r="U541">
        <v>1</v>
      </c>
      <c r="V541">
        <v>36</v>
      </c>
      <c r="W541" t="s">
        <v>1391</v>
      </c>
      <c r="Y541">
        <v>26781</v>
      </c>
      <c r="Z541">
        <v>36769</v>
      </c>
      <c r="AA541" t="s">
        <v>98</v>
      </c>
      <c r="AB541" s="3">
        <v>46144</v>
      </c>
      <c r="AC541">
        <v>568638</v>
      </c>
      <c r="AD541" t="s">
        <v>1451</v>
      </c>
      <c r="AH541" t="s">
        <v>1428</v>
      </c>
      <c r="AI541">
        <v>939488395</v>
      </c>
      <c r="AK541">
        <v>5639488395</v>
      </c>
      <c r="AL541" t="s">
        <v>3496</v>
      </c>
      <c r="AO541" t="s">
        <v>3497</v>
      </c>
      <c r="AP541" t="s">
        <v>1306</v>
      </c>
      <c r="AQ541" t="s">
        <v>92</v>
      </c>
      <c r="AT541" t="s">
        <v>95</v>
      </c>
      <c r="AU541" t="s">
        <v>1777</v>
      </c>
      <c r="AZ541" t="s">
        <v>98</v>
      </c>
      <c r="BA541" t="s">
        <v>99</v>
      </c>
      <c r="BC541" t="s">
        <v>200</v>
      </c>
      <c r="BD541" t="s">
        <v>201</v>
      </c>
      <c r="BE541">
        <v>2022</v>
      </c>
      <c r="BF541">
        <v>2022</v>
      </c>
    </row>
    <row r="542" spans="1:58">
      <c r="A542">
        <v>3692816</v>
      </c>
      <c r="B542">
        <v>106</v>
      </c>
      <c r="C542">
        <v>4</v>
      </c>
      <c r="D542">
        <v>23708288</v>
      </c>
      <c r="F542" t="s">
        <v>80</v>
      </c>
      <c r="G542" t="s">
        <v>81</v>
      </c>
      <c r="H542" t="s">
        <v>22</v>
      </c>
      <c r="I542" t="s">
        <v>23</v>
      </c>
      <c r="J542" t="s">
        <v>6</v>
      </c>
      <c r="K542" t="s">
        <v>83</v>
      </c>
      <c r="L542" s="3">
        <v>46302</v>
      </c>
      <c r="M542" t="s">
        <v>193</v>
      </c>
      <c r="N542">
        <v>17189864</v>
      </c>
      <c r="O542">
        <v>1</v>
      </c>
      <c r="P542" t="s">
        <v>3498</v>
      </c>
      <c r="Q542">
        <v>1</v>
      </c>
      <c r="R542">
        <v>781.23299999999995</v>
      </c>
      <c r="S542" s="3">
        <v>46146</v>
      </c>
      <c r="T542">
        <v>0</v>
      </c>
      <c r="U542">
        <v>0</v>
      </c>
      <c r="V542">
        <v>48</v>
      </c>
      <c r="W542" t="s">
        <v>2678</v>
      </c>
      <c r="Y542">
        <v>136442</v>
      </c>
      <c r="Z542">
        <v>171160</v>
      </c>
      <c r="AA542" t="s">
        <v>98</v>
      </c>
      <c r="AB542" s="3">
        <v>46175</v>
      </c>
      <c r="AC542">
        <v>3432534</v>
      </c>
      <c r="AD542" t="s">
        <v>1499</v>
      </c>
      <c r="AH542" t="s">
        <v>1428</v>
      </c>
      <c r="AI542">
        <v>957889852</v>
      </c>
      <c r="AL542" t="s">
        <v>3499</v>
      </c>
      <c r="AO542" t="s">
        <v>3500</v>
      </c>
      <c r="AP542" t="s">
        <v>876</v>
      </c>
      <c r="AQ542" t="s">
        <v>299</v>
      </c>
      <c r="AT542" t="s">
        <v>95</v>
      </c>
      <c r="AU542" t="s">
        <v>1777</v>
      </c>
      <c r="AZ542" t="s">
        <v>98</v>
      </c>
      <c r="BA542" t="s">
        <v>99</v>
      </c>
      <c r="BC542" t="s">
        <v>1045</v>
      </c>
      <c r="BD542" t="s">
        <v>3501</v>
      </c>
      <c r="BE542">
        <v>0</v>
      </c>
      <c r="BF542">
        <v>0</v>
      </c>
    </row>
    <row r="543" spans="1:58">
      <c r="A543">
        <v>3701563</v>
      </c>
      <c r="B543">
        <v>106</v>
      </c>
      <c r="C543">
        <v>4</v>
      </c>
      <c r="D543">
        <v>9644931</v>
      </c>
      <c r="F543" t="s">
        <v>80</v>
      </c>
      <c r="G543" t="s">
        <v>81</v>
      </c>
      <c r="H543" t="s">
        <v>22</v>
      </c>
      <c r="I543" t="s">
        <v>23</v>
      </c>
      <c r="J543" t="s">
        <v>6</v>
      </c>
      <c r="K543" t="s">
        <v>83</v>
      </c>
      <c r="L543" s="3">
        <v>46302</v>
      </c>
      <c r="M543" t="s">
        <v>1559</v>
      </c>
      <c r="N543">
        <v>17979545</v>
      </c>
      <c r="O543">
        <v>0</v>
      </c>
      <c r="P543" t="s">
        <v>3502</v>
      </c>
      <c r="Q543">
        <v>1</v>
      </c>
      <c r="R543">
        <v>361.45100000000002</v>
      </c>
      <c r="S543" s="3">
        <v>46146</v>
      </c>
      <c r="T543">
        <v>0</v>
      </c>
      <c r="U543">
        <v>0</v>
      </c>
      <c r="V543">
        <v>36</v>
      </c>
      <c r="W543" t="s">
        <v>1448</v>
      </c>
      <c r="Y543">
        <v>71128</v>
      </c>
      <c r="Z543">
        <v>92004</v>
      </c>
      <c r="AA543" t="s">
        <v>98</v>
      </c>
      <c r="AB543" t="s">
        <v>3503</v>
      </c>
      <c r="AC543">
        <v>1608936</v>
      </c>
      <c r="AD543" t="s">
        <v>1983</v>
      </c>
      <c r="AH543" t="s">
        <v>1428</v>
      </c>
      <c r="AI543">
        <v>56987667692</v>
      </c>
      <c r="AL543" t="s">
        <v>3504</v>
      </c>
      <c r="AO543" t="s">
        <v>3505</v>
      </c>
      <c r="AP543" t="s">
        <v>593</v>
      </c>
      <c r="AQ543" t="s">
        <v>215</v>
      </c>
      <c r="AT543" t="s">
        <v>95</v>
      </c>
      <c r="AU543" t="s">
        <v>1777</v>
      </c>
      <c r="AZ543" t="s">
        <v>98</v>
      </c>
      <c r="BA543" t="s">
        <v>99</v>
      </c>
      <c r="BC543" t="s">
        <v>287</v>
      </c>
      <c r="BD543" t="s">
        <v>3506</v>
      </c>
      <c r="BE543">
        <v>0</v>
      </c>
      <c r="BF543">
        <v>0</v>
      </c>
    </row>
    <row r="544" spans="1:58">
      <c r="A544">
        <v>3708468</v>
      </c>
      <c r="B544">
        <v>108</v>
      </c>
      <c r="C544">
        <v>4</v>
      </c>
      <c r="D544">
        <v>20339483</v>
      </c>
      <c r="F544" t="s">
        <v>80</v>
      </c>
      <c r="G544" t="s">
        <v>81</v>
      </c>
      <c r="H544" t="s">
        <v>22</v>
      </c>
      <c r="I544" t="s">
        <v>23</v>
      </c>
      <c r="J544" t="s">
        <v>6</v>
      </c>
      <c r="K544" t="s">
        <v>83</v>
      </c>
      <c r="L544" s="3">
        <v>46302</v>
      </c>
      <c r="M544" t="s">
        <v>193</v>
      </c>
      <c r="N544">
        <v>17581688</v>
      </c>
      <c r="O544">
        <v>7</v>
      </c>
      <c r="P544" t="s">
        <v>3507</v>
      </c>
      <c r="Q544">
        <v>1</v>
      </c>
      <c r="R544">
        <v>726.43399999999997</v>
      </c>
      <c r="S544" s="3">
        <v>46085</v>
      </c>
      <c r="T544">
        <v>0</v>
      </c>
      <c r="U544">
        <v>0</v>
      </c>
      <c r="V544">
        <v>48</v>
      </c>
      <c r="W544" t="s">
        <v>1425</v>
      </c>
      <c r="Y544">
        <v>144367</v>
      </c>
      <c r="Z544">
        <v>9721</v>
      </c>
      <c r="AA544" t="s">
        <v>98</v>
      </c>
      <c r="AB544" s="3">
        <v>46056</v>
      </c>
      <c r="AC544">
        <v>3059824</v>
      </c>
      <c r="AD544" t="s">
        <v>3508</v>
      </c>
      <c r="AH544" t="s">
        <v>1428</v>
      </c>
      <c r="AI544">
        <v>984932999</v>
      </c>
      <c r="AL544" t="s">
        <v>3509</v>
      </c>
      <c r="AO544" t="s">
        <v>3510</v>
      </c>
      <c r="AP544" t="s">
        <v>682</v>
      </c>
      <c r="AQ544" t="s">
        <v>92</v>
      </c>
      <c r="AT544" t="s">
        <v>95</v>
      </c>
      <c r="AU544" t="s">
        <v>1777</v>
      </c>
      <c r="AZ544" t="s">
        <v>98</v>
      </c>
      <c r="BA544" t="s">
        <v>99</v>
      </c>
      <c r="BC544" t="s">
        <v>191</v>
      </c>
      <c r="BD544" t="s">
        <v>3511</v>
      </c>
      <c r="BE544">
        <v>2026</v>
      </c>
      <c r="BF544">
        <v>2026</v>
      </c>
    </row>
    <row r="545" spans="1:58">
      <c r="A545">
        <v>3723250</v>
      </c>
      <c r="B545">
        <v>91</v>
      </c>
      <c r="C545">
        <v>4</v>
      </c>
      <c r="D545">
        <v>8356649</v>
      </c>
      <c r="F545" t="s">
        <v>80</v>
      </c>
      <c r="G545" t="s">
        <v>81</v>
      </c>
      <c r="H545" t="s">
        <v>22</v>
      </c>
      <c r="I545" t="s">
        <v>23</v>
      </c>
      <c r="J545" t="s">
        <v>6</v>
      </c>
      <c r="K545" t="s">
        <v>83</v>
      </c>
      <c r="L545" s="3">
        <v>46302</v>
      </c>
      <c r="M545" t="s">
        <v>1559</v>
      </c>
      <c r="N545">
        <v>8021359</v>
      </c>
      <c r="O545" t="s">
        <v>266</v>
      </c>
      <c r="P545" t="s">
        <v>3512</v>
      </c>
      <c r="Q545">
        <v>1</v>
      </c>
      <c r="R545">
        <v>481.12200000000001</v>
      </c>
      <c r="S545" t="s">
        <v>2199</v>
      </c>
      <c r="T545">
        <v>0</v>
      </c>
      <c r="U545">
        <v>0</v>
      </c>
      <c r="V545">
        <v>24</v>
      </c>
      <c r="W545" t="s">
        <v>1425</v>
      </c>
      <c r="Y545">
        <v>74198</v>
      </c>
      <c r="Z545">
        <v>117638</v>
      </c>
      <c r="AA545" t="s">
        <v>98</v>
      </c>
      <c r="AB545" t="s">
        <v>3513</v>
      </c>
      <c r="AC545">
        <v>2116324</v>
      </c>
      <c r="AD545" t="s">
        <v>3514</v>
      </c>
      <c r="AH545" t="s">
        <v>1428</v>
      </c>
      <c r="AI545">
        <v>995371519</v>
      </c>
      <c r="AL545" t="s">
        <v>3515</v>
      </c>
      <c r="AO545" t="s">
        <v>3516</v>
      </c>
      <c r="AP545" t="s">
        <v>177</v>
      </c>
      <c r="AQ545" t="s">
        <v>178</v>
      </c>
      <c r="AT545" t="s">
        <v>95</v>
      </c>
      <c r="AU545" t="s">
        <v>1777</v>
      </c>
      <c r="AZ545" t="s">
        <v>98</v>
      </c>
      <c r="BA545" t="s">
        <v>99</v>
      </c>
      <c r="BC545" t="s">
        <v>287</v>
      </c>
      <c r="BD545" t="s">
        <v>3517</v>
      </c>
      <c r="BE545">
        <v>2020</v>
      </c>
      <c r="BF545">
        <v>2020</v>
      </c>
    </row>
    <row r="546" spans="1:58">
      <c r="A546">
        <v>3728601</v>
      </c>
      <c r="B546">
        <v>88</v>
      </c>
      <c r="C546">
        <v>3</v>
      </c>
      <c r="D546">
        <v>12538556</v>
      </c>
      <c r="F546" t="s">
        <v>80</v>
      </c>
      <c r="G546" t="s">
        <v>81</v>
      </c>
      <c r="H546" t="s">
        <v>22</v>
      </c>
      <c r="I546" t="s">
        <v>22</v>
      </c>
      <c r="J546" t="s">
        <v>6</v>
      </c>
      <c r="K546" t="s">
        <v>83</v>
      </c>
      <c r="L546" s="3">
        <v>46302</v>
      </c>
      <c r="M546" t="s">
        <v>1559</v>
      </c>
      <c r="N546">
        <v>20782949</v>
      </c>
      <c r="O546">
        <v>8</v>
      </c>
      <c r="P546" t="s">
        <v>3518</v>
      </c>
      <c r="Q546">
        <v>1</v>
      </c>
      <c r="R546">
        <v>418.15</v>
      </c>
      <c r="S546" t="s">
        <v>3519</v>
      </c>
      <c r="T546">
        <v>0</v>
      </c>
      <c r="U546">
        <v>0</v>
      </c>
      <c r="V546">
        <v>48</v>
      </c>
      <c r="W546" t="s">
        <v>1425</v>
      </c>
      <c r="X546" t="s">
        <v>87</v>
      </c>
      <c r="Y546">
        <v>61021</v>
      </c>
      <c r="Z546">
        <v>104149</v>
      </c>
      <c r="AA546" t="s">
        <v>98</v>
      </c>
      <c r="AB546" t="s">
        <v>3520</v>
      </c>
      <c r="AC546">
        <v>1419620</v>
      </c>
      <c r="AD546" t="s">
        <v>2991</v>
      </c>
      <c r="AH546" t="s">
        <v>1428</v>
      </c>
      <c r="AI546">
        <v>937452815</v>
      </c>
      <c r="AL546" t="s">
        <v>3521</v>
      </c>
      <c r="AO546" t="s">
        <v>3522</v>
      </c>
      <c r="AP546" t="s">
        <v>952</v>
      </c>
      <c r="AQ546" t="s">
        <v>92</v>
      </c>
      <c r="AT546" t="s">
        <v>95</v>
      </c>
      <c r="AU546" t="s">
        <v>1777</v>
      </c>
      <c r="AZ546" t="s">
        <v>98</v>
      </c>
      <c r="BA546" t="s">
        <v>99</v>
      </c>
      <c r="BB546" t="s">
        <v>3523</v>
      </c>
      <c r="BC546" t="s">
        <v>769</v>
      </c>
      <c r="BD546" t="s">
        <v>3104</v>
      </c>
      <c r="BE546">
        <v>2025</v>
      </c>
      <c r="BF546">
        <v>2025</v>
      </c>
    </row>
    <row r="547" spans="1:58">
      <c r="A547">
        <v>1429617</v>
      </c>
      <c r="B547">
        <v>45</v>
      </c>
      <c r="C547">
        <v>2</v>
      </c>
      <c r="D547">
        <v>624676</v>
      </c>
      <c r="E547" t="s">
        <v>3524</v>
      </c>
      <c r="F547" t="s">
        <v>80</v>
      </c>
      <c r="G547" t="s">
        <v>81</v>
      </c>
      <c r="H547" s="527">
        <v>46052</v>
      </c>
      <c r="I547" t="s">
        <v>19</v>
      </c>
      <c r="J547" t="s">
        <v>6</v>
      </c>
      <c r="K547" t="s">
        <v>83</v>
      </c>
      <c r="L547" s="3">
        <v>46029</v>
      </c>
      <c r="M547" t="s">
        <v>1433</v>
      </c>
      <c r="N547">
        <v>15393920</v>
      </c>
      <c r="O547">
        <v>9</v>
      </c>
      <c r="P547" t="s">
        <v>3525</v>
      </c>
      <c r="Q547">
        <v>1</v>
      </c>
      <c r="R547">
        <v>214.80500000000001</v>
      </c>
      <c r="S547" s="3">
        <v>46148</v>
      </c>
      <c r="T547">
        <v>57</v>
      </c>
      <c r="U547">
        <v>57</v>
      </c>
      <c r="V547">
        <v>60</v>
      </c>
      <c r="W547" t="s">
        <v>1448</v>
      </c>
      <c r="Y547">
        <v>6969</v>
      </c>
      <c r="Z547">
        <v>0</v>
      </c>
      <c r="AA547" t="s">
        <v>98</v>
      </c>
      <c r="AB547" t="s">
        <v>3526</v>
      </c>
      <c r="AC547">
        <v>436579</v>
      </c>
      <c r="AD547" t="s">
        <v>1962</v>
      </c>
      <c r="AG547" t="s">
        <v>1523</v>
      </c>
      <c r="AH547" t="s">
        <v>1428</v>
      </c>
      <c r="AI547">
        <v>977091339</v>
      </c>
      <c r="AO547" t="s">
        <v>3527</v>
      </c>
      <c r="AP547" t="s">
        <v>330</v>
      </c>
      <c r="AQ547" t="s">
        <v>92</v>
      </c>
      <c r="AR547" t="s">
        <v>3528</v>
      </c>
      <c r="AS547" t="s">
        <v>767</v>
      </c>
      <c r="AT547" t="s">
        <v>122</v>
      </c>
      <c r="AU547" t="s">
        <v>96</v>
      </c>
      <c r="AW547" t="s">
        <v>410</v>
      </c>
      <c r="AX547" t="s">
        <v>1443</v>
      </c>
      <c r="AY547" s="3">
        <v>46060</v>
      </c>
      <c r="AZ547" t="s">
        <v>111</v>
      </c>
      <c r="BA547" t="s">
        <v>285</v>
      </c>
      <c r="BB547" t="s">
        <v>3529</v>
      </c>
      <c r="BC547" t="s">
        <v>287</v>
      </c>
      <c r="BD547" t="s">
        <v>3530</v>
      </c>
      <c r="BE547">
        <v>2021</v>
      </c>
      <c r="BF547">
        <v>2021</v>
      </c>
    </row>
    <row r="548" spans="1:58">
      <c r="A548">
        <v>2361885</v>
      </c>
      <c r="B548">
        <v>40</v>
      </c>
      <c r="C548">
        <v>2</v>
      </c>
      <c r="D548">
        <v>5050191</v>
      </c>
      <c r="E548" t="s">
        <v>3524</v>
      </c>
      <c r="F548" t="s">
        <v>80</v>
      </c>
      <c r="G548" t="s">
        <v>81</v>
      </c>
      <c r="H548" s="527">
        <v>46052</v>
      </c>
      <c r="I548" t="s">
        <v>19</v>
      </c>
      <c r="J548" t="s">
        <v>6</v>
      </c>
      <c r="K548" t="s">
        <v>83</v>
      </c>
      <c r="L548" s="3">
        <v>46029</v>
      </c>
      <c r="M548" t="s">
        <v>193</v>
      </c>
      <c r="N548">
        <v>16271319</v>
      </c>
      <c r="O548">
        <v>1</v>
      </c>
      <c r="P548" t="s">
        <v>3531</v>
      </c>
      <c r="Q548">
        <v>1</v>
      </c>
      <c r="R548">
        <v>576.73199999999997</v>
      </c>
      <c r="S548" s="3">
        <v>46301</v>
      </c>
      <c r="T548">
        <v>38</v>
      </c>
      <c r="U548">
        <v>38</v>
      </c>
      <c r="V548">
        <v>48</v>
      </c>
      <c r="W548" t="s">
        <v>1448</v>
      </c>
      <c r="X548" t="s">
        <v>87</v>
      </c>
      <c r="Y548">
        <v>27115</v>
      </c>
      <c r="Z548">
        <v>0</v>
      </c>
      <c r="AA548" t="s">
        <v>98</v>
      </c>
      <c r="AB548" s="3">
        <v>45109</v>
      </c>
      <c r="AC548">
        <v>1180579</v>
      </c>
      <c r="AD548" t="s">
        <v>1705</v>
      </c>
      <c r="AG548" t="s">
        <v>1523</v>
      </c>
      <c r="AH548" t="s">
        <v>1428</v>
      </c>
      <c r="AI548">
        <v>9324901230</v>
      </c>
      <c r="AL548" t="s">
        <v>3532</v>
      </c>
      <c r="AO548" t="s">
        <v>3533</v>
      </c>
      <c r="AP548" t="s">
        <v>723</v>
      </c>
      <c r="AQ548" t="s">
        <v>724</v>
      </c>
      <c r="AR548" t="s">
        <v>2441</v>
      </c>
      <c r="AS548" t="s">
        <v>339</v>
      </c>
      <c r="AT548" t="s">
        <v>122</v>
      </c>
      <c r="AU548" t="s">
        <v>96</v>
      </c>
      <c r="AW548" t="s">
        <v>410</v>
      </c>
      <c r="AX548" t="s">
        <v>1443</v>
      </c>
      <c r="AY548" s="3">
        <v>46060</v>
      </c>
      <c r="AZ548" t="s">
        <v>111</v>
      </c>
      <c r="BA548" t="s">
        <v>285</v>
      </c>
      <c r="BB548" t="s">
        <v>3534</v>
      </c>
      <c r="BC548" t="s">
        <v>153</v>
      </c>
      <c r="BD548" t="s">
        <v>760</v>
      </c>
      <c r="BE548">
        <v>2023</v>
      </c>
      <c r="BF548">
        <v>2023</v>
      </c>
    </row>
    <row r="549" spans="1:58">
      <c r="A549">
        <v>2685964</v>
      </c>
      <c r="B549">
        <v>35</v>
      </c>
      <c r="C549">
        <v>2</v>
      </c>
      <c r="D549">
        <v>4554601</v>
      </c>
      <c r="E549" t="s">
        <v>3524</v>
      </c>
      <c r="F549" t="s">
        <v>80</v>
      </c>
      <c r="G549" t="s">
        <v>81</v>
      </c>
      <c r="H549" s="527">
        <v>46052</v>
      </c>
      <c r="I549" t="s">
        <v>19</v>
      </c>
      <c r="J549" t="s">
        <v>6</v>
      </c>
      <c r="K549" t="s">
        <v>83</v>
      </c>
      <c r="L549" s="3">
        <v>46029</v>
      </c>
      <c r="M549" t="s">
        <v>2417</v>
      </c>
      <c r="N549">
        <v>10401635</v>
      </c>
      <c r="O549">
        <v>9</v>
      </c>
      <c r="P549" t="s">
        <v>3535</v>
      </c>
      <c r="Q549">
        <v>1</v>
      </c>
      <c r="R549">
        <v>354.05700000000002</v>
      </c>
      <c r="S549" t="s">
        <v>1942</v>
      </c>
      <c r="T549">
        <v>32</v>
      </c>
      <c r="U549">
        <v>32</v>
      </c>
      <c r="V549">
        <v>48</v>
      </c>
      <c r="W549" t="s">
        <v>1435</v>
      </c>
      <c r="X549" t="s">
        <v>1532</v>
      </c>
      <c r="Y549">
        <v>12832</v>
      </c>
      <c r="Z549">
        <v>0</v>
      </c>
      <c r="AA549" t="s">
        <v>98</v>
      </c>
      <c r="AB549" s="3">
        <v>45055</v>
      </c>
      <c r="AC549">
        <v>720946</v>
      </c>
      <c r="AD549" t="s">
        <v>2110</v>
      </c>
      <c r="AG549" t="s">
        <v>1438</v>
      </c>
      <c r="AH549" t="s">
        <v>1428</v>
      </c>
      <c r="AI549">
        <v>984304738</v>
      </c>
      <c r="AJ549">
        <v>965607066</v>
      </c>
      <c r="AL549" t="s">
        <v>3536</v>
      </c>
      <c r="AM549" s="526" t="s">
        <v>636</v>
      </c>
      <c r="AO549" t="s">
        <v>3537</v>
      </c>
      <c r="AP549" t="s">
        <v>408</v>
      </c>
      <c r="AQ549" t="s">
        <v>92</v>
      </c>
      <c r="AR549" t="s">
        <v>1371</v>
      </c>
      <c r="AS549" t="s">
        <v>767</v>
      </c>
      <c r="AT549" t="s">
        <v>74</v>
      </c>
      <c r="AU549" t="s">
        <v>96</v>
      </c>
      <c r="AW549" t="s">
        <v>410</v>
      </c>
      <c r="AX549" t="s">
        <v>1443</v>
      </c>
      <c r="AY549" s="3">
        <v>46060</v>
      </c>
      <c r="AZ549" t="s">
        <v>111</v>
      </c>
      <c r="BA549" t="s">
        <v>285</v>
      </c>
      <c r="BB549" t="s">
        <v>3538</v>
      </c>
      <c r="BC549" t="s">
        <v>143</v>
      </c>
      <c r="BD549" t="s">
        <v>3539</v>
      </c>
      <c r="BE549">
        <v>2022</v>
      </c>
      <c r="BF549">
        <v>2022</v>
      </c>
    </row>
    <row r="550" spans="1:58">
      <c r="A550">
        <v>2793485</v>
      </c>
      <c r="B550">
        <v>45</v>
      </c>
      <c r="C550">
        <v>2</v>
      </c>
      <c r="D550">
        <v>4254233</v>
      </c>
      <c r="E550" t="s">
        <v>3524</v>
      </c>
      <c r="F550" t="s">
        <v>80</v>
      </c>
      <c r="G550" t="s">
        <v>81</v>
      </c>
      <c r="H550" s="527">
        <v>46052</v>
      </c>
      <c r="I550" t="s">
        <v>19</v>
      </c>
      <c r="J550" t="s">
        <v>6</v>
      </c>
      <c r="K550" t="s">
        <v>83</v>
      </c>
      <c r="L550" s="3">
        <v>46029</v>
      </c>
      <c r="M550" t="s">
        <v>1559</v>
      </c>
      <c r="N550">
        <v>17174790</v>
      </c>
      <c r="O550">
        <v>2</v>
      </c>
      <c r="P550" t="s">
        <v>3540</v>
      </c>
      <c r="Q550">
        <v>1</v>
      </c>
      <c r="R550">
        <v>286.84500000000003</v>
      </c>
      <c r="S550" s="3">
        <v>46148</v>
      </c>
      <c r="T550">
        <v>29</v>
      </c>
      <c r="U550">
        <v>29</v>
      </c>
      <c r="V550">
        <v>48</v>
      </c>
      <c r="W550" t="s">
        <v>156</v>
      </c>
      <c r="X550" t="s">
        <v>1449</v>
      </c>
      <c r="Y550">
        <v>15506</v>
      </c>
      <c r="Z550">
        <v>0</v>
      </c>
      <c r="AA550" t="s">
        <v>98</v>
      </c>
      <c r="AB550" t="s">
        <v>2240</v>
      </c>
      <c r="AC550">
        <v>589196</v>
      </c>
      <c r="AD550" t="s">
        <v>1678</v>
      </c>
      <c r="AG550" t="s">
        <v>1523</v>
      </c>
      <c r="AH550" t="s">
        <v>1428</v>
      </c>
      <c r="AI550">
        <v>965783552</v>
      </c>
      <c r="AL550" t="s">
        <v>3541</v>
      </c>
      <c r="AO550" t="s">
        <v>3542</v>
      </c>
      <c r="AP550" t="s">
        <v>214</v>
      </c>
      <c r="AQ550" t="s">
        <v>215</v>
      </c>
      <c r="AR550" t="s">
        <v>3543</v>
      </c>
      <c r="AS550" t="s">
        <v>271</v>
      </c>
      <c r="AT550" t="s">
        <v>74</v>
      </c>
      <c r="AU550" t="s">
        <v>96</v>
      </c>
      <c r="AW550" t="s">
        <v>410</v>
      </c>
      <c r="AX550" t="s">
        <v>1443</v>
      </c>
      <c r="AY550" s="3">
        <v>46060</v>
      </c>
      <c r="AZ550" t="s">
        <v>111</v>
      </c>
      <c r="BA550" t="s">
        <v>285</v>
      </c>
      <c r="BC550" t="s">
        <v>164</v>
      </c>
      <c r="BD550" t="s">
        <v>3544</v>
      </c>
      <c r="BE550">
        <v>2021</v>
      </c>
      <c r="BF550">
        <v>2021</v>
      </c>
    </row>
    <row r="551" spans="1:58">
      <c r="A551">
        <v>2882648</v>
      </c>
      <c r="B551">
        <v>15</v>
      </c>
      <c r="C551">
        <v>1</v>
      </c>
      <c r="D551">
        <v>2377766</v>
      </c>
      <c r="E551" t="s">
        <v>3524</v>
      </c>
      <c r="F551" t="s">
        <v>80</v>
      </c>
      <c r="G551" t="s">
        <v>81</v>
      </c>
      <c r="H551" s="527">
        <v>46052</v>
      </c>
      <c r="I551" s="527">
        <v>46052</v>
      </c>
      <c r="J551" t="s">
        <v>6</v>
      </c>
      <c r="K551" t="s">
        <v>83</v>
      </c>
      <c r="L551" s="3">
        <v>46029</v>
      </c>
      <c r="M551" t="s">
        <v>1559</v>
      </c>
      <c r="N551">
        <v>19225604</v>
      </c>
      <c r="O551">
        <v>6</v>
      </c>
      <c r="P551" t="s">
        <v>3545</v>
      </c>
      <c r="Q551">
        <v>1</v>
      </c>
      <c r="R551">
        <v>127.557</v>
      </c>
      <c r="S551" s="3">
        <v>46149</v>
      </c>
      <c r="T551">
        <v>27</v>
      </c>
      <c r="U551">
        <v>26</v>
      </c>
      <c r="V551">
        <v>48</v>
      </c>
      <c r="W551" t="s">
        <v>1425</v>
      </c>
      <c r="X551" t="s">
        <v>1449</v>
      </c>
      <c r="Y551">
        <v>1812</v>
      </c>
      <c r="Z551">
        <v>0</v>
      </c>
      <c r="AA551" t="s">
        <v>98</v>
      </c>
      <c r="AB551" s="3">
        <v>45537</v>
      </c>
      <c r="AC551">
        <v>129369</v>
      </c>
      <c r="AD551" t="s">
        <v>3233</v>
      </c>
      <c r="AG551" t="s">
        <v>1523</v>
      </c>
      <c r="AH551" t="s">
        <v>1439</v>
      </c>
      <c r="AI551">
        <v>953836293</v>
      </c>
      <c r="AL551" t="s">
        <v>3546</v>
      </c>
      <c r="AO551" t="s">
        <v>3547</v>
      </c>
      <c r="AP551" t="s">
        <v>1634</v>
      </c>
      <c r="AQ551" t="s">
        <v>92</v>
      </c>
      <c r="AR551" t="s">
        <v>3548</v>
      </c>
      <c r="AS551" t="s">
        <v>560</v>
      </c>
      <c r="AT551" t="s">
        <v>74</v>
      </c>
      <c r="AU551" t="s">
        <v>96</v>
      </c>
      <c r="AW551" t="s">
        <v>410</v>
      </c>
      <c r="AX551" t="s">
        <v>1443</v>
      </c>
      <c r="AY551" s="3">
        <v>46060</v>
      </c>
      <c r="AZ551" t="s">
        <v>111</v>
      </c>
      <c r="BA551" t="s">
        <v>285</v>
      </c>
      <c r="BB551" t="s">
        <v>3549</v>
      </c>
      <c r="BC551" t="s">
        <v>182</v>
      </c>
      <c r="BD551" t="s">
        <v>1898</v>
      </c>
      <c r="BE551">
        <v>2021</v>
      </c>
      <c r="BF551">
        <v>2021</v>
      </c>
    </row>
    <row r="552" spans="1:58">
      <c r="A552">
        <v>3366045</v>
      </c>
      <c r="B552">
        <v>45</v>
      </c>
      <c r="C552">
        <v>2</v>
      </c>
      <c r="D552">
        <v>2044734</v>
      </c>
      <c r="E552" t="s">
        <v>3524</v>
      </c>
      <c r="F552" t="s">
        <v>80</v>
      </c>
      <c r="G552" t="s">
        <v>81</v>
      </c>
      <c r="H552" s="527">
        <v>46052</v>
      </c>
      <c r="I552" t="s">
        <v>19</v>
      </c>
      <c r="J552" t="s">
        <v>6</v>
      </c>
      <c r="K552" t="s">
        <v>83</v>
      </c>
      <c r="L552" s="3">
        <v>46029</v>
      </c>
      <c r="M552" t="s">
        <v>1559</v>
      </c>
      <c r="N552">
        <v>16254713</v>
      </c>
      <c r="O552">
        <v>5</v>
      </c>
      <c r="P552" t="s">
        <v>3550</v>
      </c>
      <c r="Q552">
        <v>1</v>
      </c>
      <c r="R552">
        <v>193.34800000000001</v>
      </c>
      <c r="S552" s="3">
        <v>46148</v>
      </c>
      <c r="T552">
        <v>12</v>
      </c>
      <c r="U552">
        <v>12</v>
      </c>
      <c r="V552">
        <v>24</v>
      </c>
      <c r="W552" t="s">
        <v>1448</v>
      </c>
      <c r="Y552">
        <v>10801</v>
      </c>
      <c r="Z552">
        <v>0</v>
      </c>
      <c r="AA552" t="s">
        <v>98</v>
      </c>
      <c r="AB552" s="3">
        <v>45661</v>
      </c>
      <c r="AC552">
        <v>397497</v>
      </c>
      <c r="AD552">
        <v>2</v>
      </c>
      <c r="AG552" t="s">
        <v>1523</v>
      </c>
      <c r="AH552" t="s">
        <v>1428</v>
      </c>
      <c r="AI552">
        <v>933435147</v>
      </c>
      <c r="AL552" t="s">
        <v>3551</v>
      </c>
      <c r="AO552" t="s">
        <v>3552</v>
      </c>
      <c r="AP552" t="s">
        <v>3553</v>
      </c>
      <c r="AQ552" t="s">
        <v>724</v>
      </c>
      <c r="AR552" t="s">
        <v>3554</v>
      </c>
      <c r="AS552" t="s">
        <v>180</v>
      </c>
      <c r="AT552" t="s">
        <v>74</v>
      </c>
      <c r="AU552" t="s">
        <v>96</v>
      </c>
      <c r="AW552" t="s">
        <v>410</v>
      </c>
      <c r="AX552" t="s">
        <v>1443</v>
      </c>
      <c r="AY552" s="3">
        <v>46060</v>
      </c>
      <c r="AZ552" t="s">
        <v>111</v>
      </c>
      <c r="BA552" t="s">
        <v>285</v>
      </c>
      <c r="BC552" t="s">
        <v>200</v>
      </c>
      <c r="BD552" t="s">
        <v>3555</v>
      </c>
      <c r="BE552">
        <v>0</v>
      </c>
      <c r="BF552">
        <v>0</v>
      </c>
    </row>
    <row r="554" spans="1:58" ht="75">
      <c r="A554" s="509" t="s">
        <v>3556</v>
      </c>
    </row>
    <row r="555" spans="1:58" ht="75">
      <c r="A555" s="509" t="s">
        <v>3557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0B85-12DD-4A81-95B5-80656942425C}">
  <sheetPr filterMode="1"/>
  <dimension ref="A1:BE23"/>
  <sheetViews>
    <sheetView workbookViewId="0">
      <selection activeCell="A2" sqref="A2:A23"/>
    </sheetView>
  </sheetViews>
  <sheetFormatPr defaultColWidth="11.42578125" defaultRowHeight="15"/>
  <cols>
    <col min="2" max="2" width="10.28515625" customWidth="1"/>
    <col min="4" max="4" width="13.5703125" style="43" customWidth="1"/>
    <col min="11" max="11" width="12.7109375" customWidth="1"/>
    <col min="12" max="12" width="14.42578125" customWidth="1"/>
    <col min="13" max="13" width="13.7109375" customWidth="1"/>
    <col min="15" max="15" width="5.42578125" customWidth="1"/>
    <col min="17" max="17" width="19.85546875" customWidth="1"/>
    <col min="19" max="19" width="14.7109375" customWidth="1"/>
    <col min="31" max="31" width="23.7109375" customWidth="1"/>
  </cols>
  <sheetData>
    <row r="1" spans="1:57">
      <c r="A1" s="1" t="s">
        <v>24</v>
      </c>
      <c r="B1" s="5" t="s">
        <v>25</v>
      </c>
      <c r="C1" s="1" t="s">
        <v>26</v>
      </c>
      <c r="D1" s="162" t="s">
        <v>27</v>
      </c>
      <c r="E1" s="1" t="s">
        <v>28</v>
      </c>
      <c r="F1" s="1" t="s">
        <v>29</v>
      </c>
      <c r="G1" s="1" t="s">
        <v>30</v>
      </c>
      <c r="H1" s="1" t="s">
        <v>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1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</row>
    <row r="2" spans="1:57">
      <c r="A2" s="2">
        <v>1383598</v>
      </c>
      <c r="B2" s="6">
        <v>279</v>
      </c>
      <c r="C2" s="2"/>
      <c r="D2" s="43">
        <v>3596000</v>
      </c>
      <c r="F2" t="s">
        <v>80</v>
      </c>
      <c r="G2" t="s">
        <v>81</v>
      </c>
      <c r="H2" t="s">
        <v>11</v>
      </c>
      <c r="I2" t="s">
        <v>11</v>
      </c>
      <c r="J2" t="s">
        <v>5</v>
      </c>
      <c r="K2" t="s">
        <v>83</v>
      </c>
      <c r="L2" s="3">
        <v>46118</v>
      </c>
      <c r="N2" s="2">
        <v>15667044</v>
      </c>
      <c r="O2" t="s">
        <v>3558</v>
      </c>
      <c r="P2" t="s">
        <v>3559</v>
      </c>
      <c r="Q2" s="2"/>
      <c r="R2" s="4">
        <v>225287</v>
      </c>
      <c r="S2" s="3">
        <v>45839</v>
      </c>
      <c r="T2" s="2"/>
      <c r="U2" s="2"/>
      <c r="V2" s="2"/>
      <c r="W2" t="s">
        <v>86</v>
      </c>
      <c r="Y2" s="2">
        <v>0</v>
      </c>
      <c r="Z2" s="2">
        <v>0</v>
      </c>
      <c r="AC2" s="2">
        <v>1548000</v>
      </c>
      <c r="AE2" s="161" t="s">
        <v>248</v>
      </c>
      <c r="AF2" t="s">
        <v>80</v>
      </c>
      <c r="AH2" t="s">
        <v>5</v>
      </c>
      <c r="AI2" t="s">
        <v>3560</v>
      </c>
      <c r="AJ2" s="2"/>
      <c r="AL2" t="s">
        <v>3561</v>
      </c>
      <c r="AN2" s="2"/>
      <c r="AO2" t="s">
        <v>3562</v>
      </c>
      <c r="AP2" t="s">
        <v>3563</v>
      </c>
      <c r="AQ2" t="s">
        <v>92</v>
      </c>
      <c r="AR2" t="s">
        <v>2259</v>
      </c>
      <c r="AS2" t="s">
        <v>455</v>
      </c>
      <c r="AT2" t="s">
        <v>141</v>
      </c>
      <c r="AU2" t="s">
        <v>285</v>
      </c>
      <c r="AZ2" t="s">
        <v>98</v>
      </c>
      <c r="BA2" t="s">
        <v>221</v>
      </c>
      <c r="BB2" t="s">
        <v>3564</v>
      </c>
      <c r="BC2" t="s">
        <v>1566</v>
      </c>
      <c r="BD2" t="s">
        <v>3565</v>
      </c>
      <c r="BE2">
        <v>2021</v>
      </c>
    </row>
    <row r="3" spans="1:57" hidden="1">
      <c r="A3" s="2">
        <v>1397586</v>
      </c>
      <c r="B3" s="6">
        <v>248</v>
      </c>
      <c r="C3" s="2"/>
      <c r="D3" s="43">
        <v>5796000</v>
      </c>
      <c r="F3" t="s">
        <v>80</v>
      </c>
      <c r="G3" t="s">
        <v>81</v>
      </c>
      <c r="H3" t="s">
        <v>11</v>
      </c>
      <c r="I3" t="s">
        <v>11</v>
      </c>
      <c r="J3" t="s">
        <v>5</v>
      </c>
      <c r="K3" t="s">
        <v>83</v>
      </c>
      <c r="L3" s="3">
        <v>46118</v>
      </c>
      <c r="N3" s="2">
        <v>16482560</v>
      </c>
      <c r="O3" t="s">
        <v>3566</v>
      </c>
      <c r="P3" t="s">
        <v>3567</v>
      </c>
      <c r="Q3" s="2"/>
      <c r="R3" s="4">
        <v>266289</v>
      </c>
      <c r="S3" s="3">
        <v>45870</v>
      </c>
      <c r="T3" s="2"/>
      <c r="U3" s="2"/>
      <c r="V3" s="2"/>
      <c r="W3" t="s">
        <v>86</v>
      </c>
      <c r="Y3" s="2">
        <v>0</v>
      </c>
      <c r="Z3" s="2">
        <v>0</v>
      </c>
      <c r="AC3" s="2">
        <v>451088</v>
      </c>
      <c r="AE3" s="161" t="s">
        <v>203</v>
      </c>
      <c r="AF3" t="s">
        <v>80</v>
      </c>
      <c r="AH3" t="s">
        <v>5</v>
      </c>
      <c r="AI3" t="s">
        <v>3568</v>
      </c>
      <c r="AJ3" s="2"/>
      <c r="AL3" t="s">
        <v>3569</v>
      </c>
      <c r="AN3" s="2"/>
      <c r="AO3" t="s">
        <v>3570</v>
      </c>
      <c r="AP3" t="s">
        <v>159</v>
      </c>
      <c r="AQ3" t="s">
        <v>160</v>
      </c>
      <c r="AR3" t="s">
        <v>3571</v>
      </c>
      <c r="AS3" t="s">
        <v>293</v>
      </c>
      <c r="AT3" t="s">
        <v>244</v>
      </c>
      <c r="AU3" t="s">
        <v>96</v>
      </c>
      <c r="AZ3" t="s">
        <v>111</v>
      </c>
      <c r="BA3" t="s">
        <v>221</v>
      </c>
      <c r="BB3" t="s">
        <v>3572</v>
      </c>
      <c r="BC3" t="s">
        <v>230</v>
      </c>
      <c r="BD3" t="s">
        <v>231</v>
      </c>
      <c r="BE3">
        <v>2021</v>
      </c>
    </row>
    <row r="4" spans="1:57" hidden="1">
      <c r="A4" s="2">
        <v>1524638</v>
      </c>
      <c r="B4" s="6">
        <v>126</v>
      </c>
      <c r="C4" s="2"/>
      <c r="D4" s="43">
        <v>3499999</v>
      </c>
      <c r="F4" t="s">
        <v>80</v>
      </c>
      <c r="G4" t="s">
        <v>81</v>
      </c>
      <c r="H4" t="s">
        <v>11</v>
      </c>
      <c r="I4" t="s">
        <v>11</v>
      </c>
      <c r="J4" t="s">
        <v>5</v>
      </c>
      <c r="K4" t="s">
        <v>83</v>
      </c>
      <c r="L4" s="3">
        <v>46118</v>
      </c>
      <c r="N4" s="2">
        <v>12712897</v>
      </c>
      <c r="O4" t="s">
        <v>3573</v>
      </c>
      <c r="P4" t="s">
        <v>202</v>
      </c>
      <c r="Q4" s="2"/>
      <c r="R4" s="4">
        <v>358441</v>
      </c>
      <c r="S4" s="3">
        <v>45992</v>
      </c>
      <c r="T4" s="2"/>
      <c r="U4" s="2"/>
      <c r="V4" s="2"/>
      <c r="W4" t="s">
        <v>156</v>
      </c>
      <c r="Y4" s="2">
        <v>0</v>
      </c>
      <c r="Z4" s="2">
        <v>0</v>
      </c>
      <c r="AC4" s="2">
        <v>2624999</v>
      </c>
      <c r="AE4" s="161" t="s">
        <v>203</v>
      </c>
      <c r="AF4" t="s">
        <v>80</v>
      </c>
      <c r="AH4" t="s">
        <v>5</v>
      </c>
      <c r="AI4" t="s">
        <v>3574</v>
      </c>
      <c r="AJ4" s="2"/>
      <c r="AL4" t="s">
        <v>204</v>
      </c>
      <c r="AN4" s="2"/>
      <c r="AO4" t="s">
        <v>205</v>
      </c>
      <c r="AP4" t="s">
        <v>206</v>
      </c>
      <c r="AQ4" t="s">
        <v>160</v>
      </c>
      <c r="AR4" t="s">
        <v>207</v>
      </c>
      <c r="AS4" t="s">
        <v>208</v>
      </c>
      <c r="AT4" t="s">
        <v>141</v>
      </c>
      <c r="AU4" t="s">
        <v>527</v>
      </c>
      <c r="AZ4" t="s">
        <v>98</v>
      </c>
      <c r="BA4" t="s">
        <v>99</v>
      </c>
      <c r="BB4" t="s">
        <v>209</v>
      </c>
      <c r="BC4" t="s">
        <v>164</v>
      </c>
      <c r="BD4" t="s">
        <v>210</v>
      </c>
      <c r="BE4">
        <v>2022</v>
      </c>
    </row>
    <row r="5" spans="1:57">
      <c r="A5" s="2">
        <v>1571122</v>
      </c>
      <c r="B5" s="6">
        <v>156</v>
      </c>
      <c r="C5" s="2"/>
      <c r="D5" s="43">
        <v>5920000</v>
      </c>
      <c r="F5" t="s">
        <v>80</v>
      </c>
      <c r="G5" t="s">
        <v>81</v>
      </c>
      <c r="H5" t="s">
        <v>11</v>
      </c>
      <c r="I5" t="s">
        <v>11</v>
      </c>
      <c r="J5" t="s">
        <v>5</v>
      </c>
      <c r="K5" t="s">
        <v>83</v>
      </c>
      <c r="L5" s="3">
        <v>46118</v>
      </c>
      <c r="N5" s="2">
        <v>11641745</v>
      </c>
      <c r="O5" t="s">
        <v>3575</v>
      </c>
      <c r="P5" t="s">
        <v>247</v>
      </c>
      <c r="Q5" s="2"/>
      <c r="R5" s="4">
        <v>275628</v>
      </c>
      <c r="S5" s="3">
        <v>45962</v>
      </c>
      <c r="T5" s="2"/>
      <c r="U5" s="2"/>
      <c r="V5" s="2"/>
      <c r="W5" t="s">
        <v>86</v>
      </c>
      <c r="Y5" s="2">
        <v>0</v>
      </c>
      <c r="Z5" s="2">
        <v>0</v>
      </c>
      <c r="AC5" s="2">
        <v>676430</v>
      </c>
      <c r="AE5" s="161" t="s">
        <v>248</v>
      </c>
      <c r="AF5" t="s">
        <v>80</v>
      </c>
      <c r="AH5" t="s">
        <v>5</v>
      </c>
      <c r="AI5" t="s">
        <v>3576</v>
      </c>
      <c r="AJ5" s="2"/>
      <c r="AL5" t="s">
        <v>249</v>
      </c>
      <c r="AN5" s="2"/>
      <c r="AO5" t="s">
        <v>250</v>
      </c>
      <c r="AQ5" t="s">
        <v>92</v>
      </c>
      <c r="AR5" t="s">
        <v>251</v>
      </c>
      <c r="AS5" t="s">
        <v>208</v>
      </c>
      <c r="AT5" t="s">
        <v>141</v>
      </c>
      <c r="AU5" t="s">
        <v>96</v>
      </c>
      <c r="AZ5" t="s">
        <v>98</v>
      </c>
      <c r="BA5" t="s">
        <v>99</v>
      </c>
      <c r="BB5" t="s">
        <v>252</v>
      </c>
      <c r="BC5" t="s">
        <v>182</v>
      </c>
      <c r="BD5" t="s">
        <v>253</v>
      </c>
      <c r="BE5">
        <v>2022</v>
      </c>
    </row>
    <row r="6" spans="1:57">
      <c r="A6" s="2">
        <v>1638465</v>
      </c>
      <c r="B6" s="6">
        <v>309</v>
      </c>
      <c r="C6" s="2"/>
      <c r="D6" s="43">
        <v>3871396</v>
      </c>
      <c r="F6" t="s">
        <v>80</v>
      </c>
      <c r="G6" t="s">
        <v>81</v>
      </c>
      <c r="H6" t="s">
        <v>11</v>
      </c>
      <c r="I6" t="s">
        <v>11</v>
      </c>
      <c r="J6" t="s">
        <v>5</v>
      </c>
      <c r="K6" t="s">
        <v>83</v>
      </c>
      <c r="L6" s="3">
        <v>46118</v>
      </c>
      <c r="N6" s="2">
        <v>27070326</v>
      </c>
      <c r="O6" t="s">
        <v>3577</v>
      </c>
      <c r="P6" t="s">
        <v>280</v>
      </c>
      <c r="Q6" s="2"/>
      <c r="R6" s="4">
        <v>198550</v>
      </c>
      <c r="S6" s="3">
        <v>45809</v>
      </c>
      <c r="T6" s="2"/>
      <c r="U6" s="2"/>
      <c r="V6" s="2"/>
      <c r="W6" t="s">
        <v>86</v>
      </c>
      <c r="Y6" s="2">
        <v>0</v>
      </c>
      <c r="Z6" s="2">
        <v>0</v>
      </c>
      <c r="AC6" s="2">
        <v>1942286</v>
      </c>
      <c r="AE6" s="161" t="s">
        <v>248</v>
      </c>
      <c r="AF6" t="s">
        <v>80</v>
      </c>
      <c r="AH6" t="s">
        <v>5</v>
      </c>
      <c r="AI6" t="s">
        <v>3578</v>
      </c>
      <c r="AJ6" s="2"/>
      <c r="AL6" t="s">
        <v>281</v>
      </c>
      <c r="AN6" s="2"/>
      <c r="AO6" t="s">
        <v>282</v>
      </c>
      <c r="AQ6" t="s">
        <v>92</v>
      </c>
      <c r="AR6" t="s">
        <v>283</v>
      </c>
      <c r="AS6" t="s">
        <v>284</v>
      </c>
      <c r="AT6" t="s">
        <v>141</v>
      </c>
      <c r="AU6" t="s">
        <v>285</v>
      </c>
      <c r="AZ6" t="s">
        <v>98</v>
      </c>
      <c r="BA6" t="s">
        <v>285</v>
      </c>
      <c r="BB6" t="s">
        <v>286</v>
      </c>
      <c r="BC6" t="s">
        <v>287</v>
      </c>
      <c r="BD6" t="s">
        <v>288</v>
      </c>
      <c r="BE6">
        <v>2022</v>
      </c>
    </row>
    <row r="7" spans="1:57">
      <c r="A7" s="2">
        <v>1644932</v>
      </c>
      <c r="B7" s="6">
        <v>340</v>
      </c>
      <c r="C7" s="2"/>
      <c r="D7" s="43">
        <v>4868802</v>
      </c>
      <c r="F7" t="s">
        <v>80</v>
      </c>
      <c r="G7" t="s">
        <v>81</v>
      </c>
      <c r="H7" t="s">
        <v>11</v>
      </c>
      <c r="I7" t="s">
        <v>11</v>
      </c>
      <c r="J7" t="s">
        <v>5</v>
      </c>
      <c r="K7" t="s">
        <v>83</v>
      </c>
      <c r="L7" s="3">
        <v>46118</v>
      </c>
      <c r="N7" s="2">
        <v>16002296</v>
      </c>
      <c r="O7" t="s">
        <v>3579</v>
      </c>
      <c r="P7" t="s">
        <v>296</v>
      </c>
      <c r="Q7" s="2"/>
      <c r="R7" s="4">
        <v>196978</v>
      </c>
      <c r="S7" s="3">
        <v>45778</v>
      </c>
      <c r="T7" s="2"/>
      <c r="U7" s="2"/>
      <c r="V7" s="2"/>
      <c r="W7" t="s">
        <v>86</v>
      </c>
      <c r="Y7" s="2">
        <v>0</v>
      </c>
      <c r="Z7" s="2">
        <v>0</v>
      </c>
      <c r="AC7" s="2">
        <v>3420102</v>
      </c>
      <c r="AE7" s="161" t="s">
        <v>248</v>
      </c>
      <c r="AF7" t="s">
        <v>80</v>
      </c>
      <c r="AH7" t="s">
        <v>5</v>
      </c>
      <c r="AI7" t="s">
        <v>3580</v>
      </c>
      <c r="AJ7" s="2"/>
      <c r="AL7" t="s">
        <v>297</v>
      </c>
      <c r="AN7" s="2"/>
      <c r="AO7" t="s">
        <v>298</v>
      </c>
      <c r="AQ7" t="s">
        <v>299</v>
      </c>
      <c r="AR7" t="s">
        <v>300</v>
      </c>
      <c r="AS7" t="s">
        <v>301</v>
      </c>
      <c r="AT7" t="s">
        <v>122</v>
      </c>
      <c r="AU7" t="s">
        <v>285</v>
      </c>
      <c r="AZ7" t="s">
        <v>111</v>
      </c>
      <c r="BA7" t="s">
        <v>285</v>
      </c>
      <c r="BB7" t="s">
        <v>302</v>
      </c>
      <c r="BC7" t="s">
        <v>182</v>
      </c>
      <c r="BD7" t="s">
        <v>303</v>
      </c>
      <c r="BE7">
        <v>2022</v>
      </c>
    </row>
    <row r="8" spans="1:57">
      <c r="A8" s="2">
        <v>1700218</v>
      </c>
      <c r="B8" s="6">
        <v>64</v>
      </c>
      <c r="C8" s="2"/>
      <c r="D8" s="43">
        <v>6879999</v>
      </c>
      <c r="F8" t="s">
        <v>80</v>
      </c>
      <c r="G8" t="s">
        <v>81</v>
      </c>
      <c r="H8" t="s">
        <v>11</v>
      </c>
      <c r="I8" t="s">
        <v>11</v>
      </c>
      <c r="J8" t="s">
        <v>5</v>
      </c>
      <c r="K8" t="s">
        <v>83</v>
      </c>
      <c r="L8" s="3">
        <v>46118</v>
      </c>
      <c r="M8" t="s">
        <v>193</v>
      </c>
      <c r="N8" s="2">
        <v>12218160</v>
      </c>
      <c r="O8" t="s">
        <v>266</v>
      </c>
      <c r="P8" t="s">
        <v>318</v>
      </c>
      <c r="Q8" s="2"/>
      <c r="R8" s="4">
        <v>362214</v>
      </c>
      <c r="S8" s="3">
        <v>46054</v>
      </c>
      <c r="T8" s="2"/>
      <c r="U8" s="2"/>
      <c r="V8" s="2"/>
      <c r="W8" t="s">
        <v>156</v>
      </c>
      <c r="Y8" s="2">
        <v>0</v>
      </c>
      <c r="Z8" s="2">
        <v>0</v>
      </c>
      <c r="AC8" s="2">
        <v>6517785</v>
      </c>
      <c r="AE8" s="161" t="s">
        <v>248</v>
      </c>
      <c r="AF8" t="s">
        <v>80</v>
      </c>
      <c r="AH8" t="s">
        <v>5</v>
      </c>
      <c r="AI8" t="s">
        <v>3581</v>
      </c>
      <c r="AJ8" s="2"/>
      <c r="AL8" t="s">
        <v>319</v>
      </c>
      <c r="AN8" s="2"/>
      <c r="AO8" t="s">
        <v>320</v>
      </c>
      <c r="AP8" t="s">
        <v>321</v>
      </c>
      <c r="AQ8" t="s">
        <v>322</v>
      </c>
      <c r="AR8" t="s">
        <v>323</v>
      </c>
      <c r="AS8" t="s">
        <v>324</v>
      </c>
      <c r="AT8" t="s">
        <v>141</v>
      </c>
      <c r="AU8" t="s">
        <v>96</v>
      </c>
      <c r="AZ8" t="s">
        <v>98</v>
      </c>
      <c r="BA8" t="s">
        <v>99</v>
      </c>
      <c r="BB8" t="s">
        <v>325</v>
      </c>
      <c r="BC8" t="s">
        <v>164</v>
      </c>
      <c r="BD8" t="s">
        <v>326</v>
      </c>
      <c r="BE8">
        <v>2022</v>
      </c>
    </row>
    <row r="9" spans="1:57">
      <c r="A9" s="2">
        <v>1769156</v>
      </c>
      <c r="B9" s="6">
        <v>370</v>
      </c>
      <c r="C9" s="2"/>
      <c r="D9" s="43">
        <v>7241243</v>
      </c>
      <c r="F9" t="s">
        <v>80</v>
      </c>
      <c r="G9" t="s">
        <v>81</v>
      </c>
      <c r="H9" t="s">
        <v>115</v>
      </c>
      <c r="I9" t="s">
        <v>115</v>
      </c>
      <c r="J9" t="s">
        <v>5</v>
      </c>
      <c r="K9" t="s">
        <v>83</v>
      </c>
      <c r="L9" s="3">
        <v>46118</v>
      </c>
      <c r="N9" s="2">
        <v>7710884</v>
      </c>
      <c r="O9" t="s">
        <v>266</v>
      </c>
      <c r="P9" t="s">
        <v>377</v>
      </c>
      <c r="Q9" s="2"/>
      <c r="R9" s="4">
        <v>330069</v>
      </c>
      <c r="S9" s="3">
        <v>45748</v>
      </c>
      <c r="T9" s="2"/>
      <c r="U9" s="2"/>
      <c r="V9" s="2"/>
      <c r="W9" t="s">
        <v>86</v>
      </c>
      <c r="Y9" s="2">
        <v>0</v>
      </c>
      <c r="Z9" s="2">
        <v>0</v>
      </c>
      <c r="AC9" s="2">
        <v>3160827</v>
      </c>
      <c r="AE9" s="161" t="s">
        <v>248</v>
      </c>
      <c r="AF9" t="s">
        <v>80</v>
      </c>
      <c r="AH9" t="s">
        <v>5</v>
      </c>
      <c r="AI9" t="s">
        <v>3582</v>
      </c>
      <c r="AJ9" s="2"/>
      <c r="AL9" t="s">
        <v>378</v>
      </c>
      <c r="AN9" s="2"/>
      <c r="AO9" t="s">
        <v>379</v>
      </c>
      <c r="AP9" t="s">
        <v>380</v>
      </c>
      <c r="AQ9" t="s">
        <v>381</v>
      </c>
      <c r="AR9" t="s">
        <v>236</v>
      </c>
      <c r="AS9" t="s">
        <v>382</v>
      </c>
      <c r="AT9" t="s">
        <v>141</v>
      </c>
      <c r="AU9" t="s">
        <v>285</v>
      </c>
      <c r="AZ9" t="s">
        <v>98</v>
      </c>
      <c r="BA9" t="s">
        <v>285</v>
      </c>
      <c r="BB9" t="s">
        <v>383</v>
      </c>
      <c r="BC9" t="s">
        <v>278</v>
      </c>
      <c r="BD9" t="s">
        <v>384</v>
      </c>
      <c r="BE9">
        <v>2014</v>
      </c>
    </row>
    <row r="10" spans="1:57">
      <c r="A10" s="2">
        <v>1791083</v>
      </c>
      <c r="B10" s="6">
        <v>401</v>
      </c>
      <c r="C10" s="2"/>
      <c r="D10" s="43">
        <v>7569433</v>
      </c>
      <c r="F10" t="s">
        <v>80</v>
      </c>
      <c r="G10" t="s">
        <v>81</v>
      </c>
      <c r="H10" t="s">
        <v>115</v>
      </c>
      <c r="I10" t="s">
        <v>115</v>
      </c>
      <c r="J10" t="s">
        <v>5</v>
      </c>
      <c r="K10" t="s">
        <v>83</v>
      </c>
      <c r="L10" s="3">
        <v>46118</v>
      </c>
      <c r="N10" s="2">
        <v>15236244</v>
      </c>
      <c r="O10" t="s">
        <v>3577</v>
      </c>
      <c r="P10" t="s">
        <v>405</v>
      </c>
      <c r="Q10" s="2"/>
      <c r="R10" s="4">
        <v>322355</v>
      </c>
      <c r="S10" s="3">
        <v>45717</v>
      </c>
      <c r="T10" s="2"/>
      <c r="U10" s="2"/>
      <c r="V10" s="2"/>
      <c r="W10" t="s">
        <v>86</v>
      </c>
      <c r="Y10" s="2">
        <v>0</v>
      </c>
      <c r="Z10" s="2">
        <v>0</v>
      </c>
      <c r="AC10" s="2">
        <v>6295707</v>
      </c>
      <c r="AE10" s="161" t="s">
        <v>248</v>
      </c>
      <c r="AF10" t="s">
        <v>80</v>
      </c>
      <c r="AH10" t="s">
        <v>5</v>
      </c>
      <c r="AI10" t="s">
        <v>3583</v>
      </c>
      <c r="AJ10" s="2"/>
      <c r="AL10" t="s">
        <v>406</v>
      </c>
      <c r="AN10" s="2"/>
      <c r="AO10" t="s">
        <v>407</v>
      </c>
      <c r="AP10" t="s">
        <v>408</v>
      </c>
      <c r="AQ10" t="s">
        <v>92</v>
      </c>
      <c r="AR10" t="s">
        <v>151</v>
      </c>
      <c r="AS10" t="s">
        <v>409</v>
      </c>
      <c r="AT10" t="s">
        <v>122</v>
      </c>
      <c r="AU10" t="s">
        <v>285</v>
      </c>
      <c r="AZ10" t="s">
        <v>111</v>
      </c>
      <c r="BA10" t="s">
        <v>285</v>
      </c>
      <c r="BB10" t="s">
        <v>411</v>
      </c>
      <c r="BC10" t="s">
        <v>412</v>
      </c>
      <c r="BD10" t="s">
        <v>413</v>
      </c>
      <c r="BE10">
        <v>2022</v>
      </c>
    </row>
    <row r="11" spans="1:57">
      <c r="A11" s="2">
        <v>1891178</v>
      </c>
      <c r="B11" s="6">
        <v>156</v>
      </c>
      <c r="C11" s="2"/>
      <c r="D11" s="43">
        <v>6382600</v>
      </c>
      <c r="F11" t="s">
        <v>80</v>
      </c>
      <c r="G11" t="s">
        <v>81</v>
      </c>
      <c r="H11" t="s">
        <v>11</v>
      </c>
      <c r="I11" t="s">
        <v>11</v>
      </c>
      <c r="J11" t="s">
        <v>5</v>
      </c>
      <c r="K11" t="s">
        <v>83</v>
      </c>
      <c r="L11" s="3">
        <v>46118</v>
      </c>
      <c r="N11" s="2">
        <v>26313552</v>
      </c>
      <c r="O11" t="s">
        <v>3584</v>
      </c>
      <c r="P11" t="s">
        <v>492</v>
      </c>
      <c r="Q11" s="2"/>
      <c r="R11" s="4">
        <v>301100</v>
      </c>
      <c r="S11" s="3">
        <v>45962</v>
      </c>
      <c r="T11" s="2"/>
      <c r="U11" s="2"/>
      <c r="V11" s="2"/>
      <c r="W11" t="s">
        <v>86</v>
      </c>
      <c r="Y11" s="2">
        <v>0</v>
      </c>
      <c r="Z11" s="2">
        <v>0</v>
      </c>
      <c r="AC11" s="2">
        <v>6382600</v>
      </c>
      <c r="AE11" s="161" t="s">
        <v>248</v>
      </c>
      <c r="AF11" t="s">
        <v>80</v>
      </c>
      <c r="AH11" t="s">
        <v>5</v>
      </c>
      <c r="AI11" t="s">
        <v>3585</v>
      </c>
      <c r="AJ11" s="2"/>
      <c r="AL11" t="s">
        <v>493</v>
      </c>
      <c r="AN11" s="2"/>
      <c r="AO11" t="s">
        <v>494</v>
      </c>
      <c r="AQ11" t="s">
        <v>92</v>
      </c>
      <c r="AR11" t="s">
        <v>495</v>
      </c>
      <c r="AS11" t="s">
        <v>1008</v>
      </c>
      <c r="AT11" t="s">
        <v>122</v>
      </c>
      <c r="AU11" t="s">
        <v>96</v>
      </c>
      <c r="AZ11" t="s">
        <v>111</v>
      </c>
      <c r="BA11" t="s">
        <v>99</v>
      </c>
      <c r="BB11" t="s">
        <v>496</v>
      </c>
      <c r="BC11" t="s">
        <v>287</v>
      </c>
      <c r="BD11" t="s">
        <v>497</v>
      </c>
      <c r="BE11">
        <v>2022</v>
      </c>
    </row>
    <row r="12" spans="1:57">
      <c r="A12" s="2">
        <v>1923591</v>
      </c>
      <c r="B12" s="6">
        <v>248</v>
      </c>
      <c r="C12" s="2"/>
      <c r="D12" s="43">
        <v>11082144</v>
      </c>
      <c r="F12" t="s">
        <v>80</v>
      </c>
      <c r="G12" t="s">
        <v>81</v>
      </c>
      <c r="H12" t="s">
        <v>11</v>
      </c>
      <c r="I12" t="s">
        <v>11</v>
      </c>
      <c r="J12" t="s">
        <v>5</v>
      </c>
      <c r="K12" t="s">
        <v>83</v>
      </c>
      <c r="L12" s="3">
        <v>46118</v>
      </c>
      <c r="N12" s="2">
        <v>16647012</v>
      </c>
      <c r="O12" t="s">
        <v>3573</v>
      </c>
      <c r="P12" t="s">
        <v>514</v>
      </c>
      <c r="Q12" s="2"/>
      <c r="R12" s="4">
        <v>375735</v>
      </c>
      <c r="S12" s="3">
        <v>45870</v>
      </c>
      <c r="T12" s="2"/>
      <c r="U12" s="2"/>
      <c r="V12" s="2"/>
      <c r="W12" t="s">
        <v>86</v>
      </c>
      <c r="Y12" s="2">
        <v>0</v>
      </c>
      <c r="Z12" s="2">
        <v>0</v>
      </c>
      <c r="AC12" s="2">
        <v>8056774</v>
      </c>
      <c r="AE12" s="161" t="s">
        <v>248</v>
      </c>
      <c r="AF12" t="s">
        <v>80</v>
      </c>
      <c r="AH12" t="s">
        <v>5</v>
      </c>
      <c r="AI12" t="s">
        <v>3586</v>
      </c>
      <c r="AJ12" s="2"/>
      <c r="AL12" t="s">
        <v>515</v>
      </c>
      <c r="AN12" s="2"/>
      <c r="AO12" t="s">
        <v>516</v>
      </c>
      <c r="AP12" t="s">
        <v>517</v>
      </c>
      <c r="AQ12" t="s">
        <v>92</v>
      </c>
      <c r="AR12" t="s">
        <v>518</v>
      </c>
      <c r="AS12" t="s">
        <v>339</v>
      </c>
      <c r="AT12" t="s">
        <v>141</v>
      </c>
      <c r="AU12" t="s">
        <v>285</v>
      </c>
      <c r="AZ12" t="s">
        <v>98</v>
      </c>
      <c r="BA12" t="s">
        <v>285</v>
      </c>
      <c r="BB12" t="s">
        <v>520</v>
      </c>
      <c r="BC12" t="s">
        <v>200</v>
      </c>
      <c r="BD12" t="s">
        <v>521</v>
      </c>
      <c r="BE12">
        <v>2022</v>
      </c>
    </row>
    <row r="13" spans="1:57">
      <c r="A13" s="2">
        <v>1987553</v>
      </c>
      <c r="B13" s="6">
        <v>279</v>
      </c>
      <c r="C13" s="2"/>
      <c r="D13" s="43">
        <v>10554087</v>
      </c>
      <c r="F13" t="s">
        <v>80</v>
      </c>
      <c r="G13" t="s">
        <v>81</v>
      </c>
      <c r="H13" t="s">
        <v>11</v>
      </c>
      <c r="I13" t="s">
        <v>11</v>
      </c>
      <c r="J13" t="s">
        <v>5</v>
      </c>
      <c r="K13" t="s">
        <v>83</v>
      </c>
      <c r="L13" s="3">
        <v>46118</v>
      </c>
      <c r="N13" s="2">
        <v>15242687</v>
      </c>
      <c r="O13" t="s">
        <v>3573</v>
      </c>
      <c r="P13" t="s">
        <v>538</v>
      </c>
      <c r="Q13" s="2"/>
      <c r="R13" s="4">
        <v>317140</v>
      </c>
      <c r="S13" s="3">
        <v>45839</v>
      </c>
      <c r="T13" s="2"/>
      <c r="U13" s="2"/>
      <c r="V13" s="2"/>
      <c r="W13" t="s">
        <v>86</v>
      </c>
      <c r="Y13" s="2">
        <v>0</v>
      </c>
      <c r="Z13" s="2">
        <v>0</v>
      </c>
      <c r="AC13" s="2">
        <v>7309826</v>
      </c>
      <c r="AE13" s="161" t="s">
        <v>248</v>
      </c>
      <c r="AF13" t="s">
        <v>80</v>
      </c>
      <c r="AH13" t="s">
        <v>5</v>
      </c>
      <c r="AI13" t="s">
        <v>3587</v>
      </c>
      <c r="AJ13" s="2"/>
      <c r="AL13" t="s">
        <v>539</v>
      </c>
      <c r="AN13" s="2"/>
      <c r="AO13" t="s">
        <v>540</v>
      </c>
      <c r="AP13" t="s">
        <v>541</v>
      </c>
      <c r="AQ13" t="s">
        <v>188</v>
      </c>
      <c r="AR13" t="s">
        <v>198</v>
      </c>
      <c r="AS13" t="s">
        <v>542</v>
      </c>
      <c r="AT13" t="s">
        <v>141</v>
      </c>
      <c r="AU13" t="s">
        <v>285</v>
      </c>
      <c r="AZ13" t="s">
        <v>98</v>
      </c>
      <c r="BA13" t="s">
        <v>285</v>
      </c>
      <c r="BB13" t="s">
        <v>543</v>
      </c>
      <c r="BC13" t="s">
        <v>133</v>
      </c>
      <c r="BD13" t="s">
        <v>544</v>
      </c>
      <c r="BE13">
        <v>2022</v>
      </c>
    </row>
    <row r="14" spans="1:57">
      <c r="A14" s="2">
        <v>2041907</v>
      </c>
      <c r="B14" s="6">
        <v>309</v>
      </c>
      <c r="C14" s="2"/>
      <c r="D14" s="43">
        <v>8500246</v>
      </c>
      <c r="F14" t="s">
        <v>80</v>
      </c>
      <c r="G14" t="s">
        <v>81</v>
      </c>
      <c r="H14" t="s">
        <v>11</v>
      </c>
      <c r="I14" t="s">
        <v>11</v>
      </c>
      <c r="J14" t="s">
        <v>5</v>
      </c>
      <c r="K14" t="s">
        <v>83</v>
      </c>
      <c r="L14" s="3">
        <v>46118</v>
      </c>
      <c r="N14" s="2">
        <v>12446328</v>
      </c>
      <c r="O14" t="s">
        <v>3573</v>
      </c>
      <c r="P14" t="s">
        <v>590</v>
      </c>
      <c r="Q14" s="2"/>
      <c r="R14" s="4">
        <v>344179</v>
      </c>
      <c r="S14" s="3">
        <v>45809</v>
      </c>
      <c r="T14" s="2"/>
      <c r="U14" s="2"/>
      <c r="V14" s="2"/>
      <c r="W14" t="s">
        <v>86</v>
      </c>
      <c r="Y14" s="2">
        <v>0</v>
      </c>
      <c r="Z14" s="2">
        <v>0</v>
      </c>
      <c r="AC14" s="2">
        <v>6286246</v>
      </c>
      <c r="AE14" s="161" t="s">
        <v>248</v>
      </c>
      <c r="AF14" t="s">
        <v>80</v>
      </c>
      <c r="AH14" t="s">
        <v>5</v>
      </c>
      <c r="AI14" t="s">
        <v>3588</v>
      </c>
      <c r="AJ14" s="2"/>
      <c r="AL14" t="s">
        <v>591</v>
      </c>
      <c r="AN14" s="2"/>
      <c r="AO14" t="s">
        <v>592</v>
      </c>
      <c r="AP14" t="s">
        <v>593</v>
      </c>
      <c r="AQ14" t="s">
        <v>215</v>
      </c>
      <c r="AR14" t="s">
        <v>594</v>
      </c>
      <c r="AS14" t="s">
        <v>3589</v>
      </c>
      <c r="AT14" t="s">
        <v>141</v>
      </c>
      <c r="AU14" t="s">
        <v>285</v>
      </c>
      <c r="AZ14" t="s">
        <v>98</v>
      </c>
      <c r="BA14" t="s">
        <v>285</v>
      </c>
      <c r="BB14" t="s">
        <v>595</v>
      </c>
      <c r="BC14" t="s">
        <v>278</v>
      </c>
      <c r="BD14" t="s">
        <v>596</v>
      </c>
      <c r="BE14">
        <v>2014</v>
      </c>
    </row>
    <row r="15" spans="1:57">
      <c r="A15" s="2">
        <v>2221834</v>
      </c>
      <c r="B15" s="6">
        <v>309</v>
      </c>
      <c r="C15" s="2"/>
      <c r="D15" s="43">
        <v>3892558</v>
      </c>
      <c r="F15" t="s">
        <v>80</v>
      </c>
      <c r="G15" t="s">
        <v>81</v>
      </c>
      <c r="H15" t="s">
        <v>11</v>
      </c>
      <c r="I15" t="s">
        <v>11</v>
      </c>
      <c r="J15" t="s">
        <v>5</v>
      </c>
      <c r="K15" t="s">
        <v>83</v>
      </c>
      <c r="L15" s="3">
        <v>46118</v>
      </c>
      <c r="N15" s="2">
        <v>26793032</v>
      </c>
      <c r="O15" t="s">
        <v>3579</v>
      </c>
      <c r="P15" t="s">
        <v>712</v>
      </c>
      <c r="Q15" s="2"/>
      <c r="R15" s="4">
        <v>221578</v>
      </c>
      <c r="S15" s="3">
        <v>45809</v>
      </c>
      <c r="T15" s="2"/>
      <c r="U15" s="2"/>
      <c r="V15" s="2"/>
      <c r="W15" t="s">
        <v>86</v>
      </c>
      <c r="Y15" s="2">
        <v>0</v>
      </c>
      <c r="Z15" s="2">
        <v>0</v>
      </c>
      <c r="AC15" s="2">
        <v>3642558</v>
      </c>
      <c r="AE15" s="161" t="s">
        <v>248</v>
      </c>
      <c r="AF15" t="s">
        <v>80</v>
      </c>
      <c r="AH15" t="s">
        <v>5</v>
      </c>
      <c r="AI15" t="s">
        <v>3590</v>
      </c>
      <c r="AJ15" s="2"/>
      <c r="AL15" t="s">
        <v>713</v>
      </c>
      <c r="AN15" s="2"/>
      <c r="AO15" t="s">
        <v>714</v>
      </c>
      <c r="AP15" t="s">
        <v>715</v>
      </c>
      <c r="AQ15" t="s">
        <v>92</v>
      </c>
      <c r="AR15" t="s">
        <v>293</v>
      </c>
      <c r="AS15" t="s">
        <v>716</v>
      </c>
      <c r="AT15" t="s">
        <v>141</v>
      </c>
      <c r="AU15" t="s">
        <v>96</v>
      </c>
      <c r="AZ15" t="s">
        <v>98</v>
      </c>
      <c r="BA15" t="s">
        <v>99</v>
      </c>
      <c r="BB15" t="s">
        <v>717</v>
      </c>
      <c r="BC15" t="s">
        <v>718</v>
      </c>
      <c r="BD15" t="s">
        <v>719</v>
      </c>
      <c r="BE15">
        <v>2023</v>
      </c>
    </row>
    <row r="16" spans="1:57" hidden="1">
      <c r="A16" s="2">
        <v>2316103</v>
      </c>
      <c r="B16" s="6">
        <v>309</v>
      </c>
      <c r="C16" s="2"/>
      <c r="D16" s="43">
        <v>8882006</v>
      </c>
      <c r="F16" t="s">
        <v>80</v>
      </c>
      <c r="G16" t="s">
        <v>81</v>
      </c>
      <c r="H16" t="s">
        <v>11</v>
      </c>
      <c r="I16" t="s">
        <v>11</v>
      </c>
      <c r="J16" t="s">
        <v>5</v>
      </c>
      <c r="K16" t="s">
        <v>83</v>
      </c>
      <c r="L16" s="3">
        <v>46118</v>
      </c>
      <c r="N16" s="2">
        <v>76287256</v>
      </c>
      <c r="O16" t="s">
        <v>3584</v>
      </c>
      <c r="P16" t="s">
        <v>797</v>
      </c>
      <c r="Q16" s="2"/>
      <c r="R16" s="4">
        <v>234347</v>
      </c>
      <c r="S16" s="3">
        <v>45809</v>
      </c>
      <c r="T16" s="2"/>
      <c r="U16" s="2"/>
      <c r="V16" s="2"/>
      <c r="W16" t="s">
        <v>86</v>
      </c>
      <c r="Y16" s="2">
        <v>0</v>
      </c>
      <c r="Z16" s="2">
        <v>0</v>
      </c>
      <c r="AC16" s="2">
        <v>8882006</v>
      </c>
      <c r="AE16" s="161" t="s">
        <v>203</v>
      </c>
      <c r="AF16" t="s">
        <v>80</v>
      </c>
      <c r="AH16" t="s">
        <v>5</v>
      </c>
      <c r="AI16" t="s">
        <v>3591</v>
      </c>
      <c r="AJ16" s="2"/>
      <c r="AL16" t="s">
        <v>798</v>
      </c>
      <c r="AN16" s="2"/>
      <c r="AO16" t="s">
        <v>799</v>
      </c>
      <c r="AR16" t="s">
        <v>802</v>
      </c>
      <c r="AS16" t="s">
        <v>455</v>
      </c>
      <c r="AT16" t="s">
        <v>122</v>
      </c>
      <c r="AU16" t="s">
        <v>96</v>
      </c>
      <c r="AZ16" t="s">
        <v>111</v>
      </c>
      <c r="BA16" t="s">
        <v>99</v>
      </c>
      <c r="BB16" t="s">
        <v>803</v>
      </c>
      <c r="BC16" t="s">
        <v>804</v>
      </c>
      <c r="BD16" t="s">
        <v>805</v>
      </c>
      <c r="BE16">
        <v>2022</v>
      </c>
    </row>
    <row r="17" spans="1:57">
      <c r="A17" s="2">
        <v>2359330</v>
      </c>
      <c r="B17" s="6">
        <v>429</v>
      </c>
      <c r="C17" s="2"/>
      <c r="D17" s="43">
        <v>17079615</v>
      </c>
      <c r="F17" t="s">
        <v>80</v>
      </c>
      <c r="G17" t="s">
        <v>81</v>
      </c>
      <c r="H17" t="s">
        <v>115</v>
      </c>
      <c r="I17" t="s">
        <v>115</v>
      </c>
      <c r="J17" t="s">
        <v>5</v>
      </c>
      <c r="K17" t="s">
        <v>83</v>
      </c>
      <c r="L17" s="3">
        <v>46118</v>
      </c>
      <c r="N17" s="2">
        <v>14387173</v>
      </c>
      <c r="O17" t="s">
        <v>3558</v>
      </c>
      <c r="P17" t="s">
        <v>827</v>
      </c>
      <c r="Q17" s="2"/>
      <c r="R17" s="4">
        <v>457241</v>
      </c>
      <c r="S17" s="3">
        <v>45689</v>
      </c>
      <c r="T17" s="2"/>
      <c r="U17" s="2"/>
      <c r="V17" s="2"/>
      <c r="W17" t="s">
        <v>86</v>
      </c>
      <c r="Y17" s="2">
        <v>0</v>
      </c>
      <c r="Z17" s="2">
        <v>0</v>
      </c>
      <c r="AC17" s="2">
        <v>12315615</v>
      </c>
      <c r="AE17" s="161" t="s">
        <v>248</v>
      </c>
      <c r="AF17" t="s">
        <v>80</v>
      </c>
      <c r="AH17" t="s">
        <v>5</v>
      </c>
      <c r="AI17" t="s">
        <v>3592</v>
      </c>
      <c r="AJ17" s="2"/>
      <c r="AL17" t="s">
        <v>828</v>
      </c>
      <c r="AN17" s="2"/>
      <c r="AO17" t="s">
        <v>829</v>
      </c>
      <c r="AP17" t="s">
        <v>830</v>
      </c>
      <c r="AQ17" t="s">
        <v>92</v>
      </c>
      <c r="AR17" t="s">
        <v>151</v>
      </c>
      <c r="AS17" t="s">
        <v>831</v>
      </c>
      <c r="AT17" t="s">
        <v>122</v>
      </c>
      <c r="AU17" t="s">
        <v>285</v>
      </c>
      <c r="AZ17" t="s">
        <v>111</v>
      </c>
      <c r="BA17" t="s">
        <v>285</v>
      </c>
      <c r="BB17" t="s">
        <v>832</v>
      </c>
      <c r="BC17" t="s">
        <v>833</v>
      </c>
      <c r="BD17" t="s">
        <v>834</v>
      </c>
      <c r="BE17">
        <v>2023</v>
      </c>
    </row>
    <row r="18" spans="1:57">
      <c r="A18" s="2">
        <v>2361546</v>
      </c>
      <c r="B18" s="6">
        <v>187</v>
      </c>
      <c r="C18" s="2"/>
      <c r="D18" s="43">
        <v>5966279</v>
      </c>
      <c r="F18" t="s">
        <v>80</v>
      </c>
      <c r="G18" t="s">
        <v>81</v>
      </c>
      <c r="H18" t="s">
        <v>11</v>
      </c>
      <c r="I18" t="s">
        <v>11</v>
      </c>
      <c r="J18" t="s">
        <v>5</v>
      </c>
      <c r="K18" t="s">
        <v>83</v>
      </c>
      <c r="L18" s="3">
        <v>46118</v>
      </c>
      <c r="N18" s="2">
        <v>18845546</v>
      </c>
      <c r="O18" t="s">
        <v>3558</v>
      </c>
      <c r="P18" t="s">
        <v>835</v>
      </c>
      <c r="Q18" s="2"/>
      <c r="R18" s="4">
        <v>234494</v>
      </c>
      <c r="S18" s="3">
        <v>45931</v>
      </c>
      <c r="T18" s="2"/>
      <c r="U18" s="2"/>
      <c r="V18" s="2"/>
      <c r="W18" t="s">
        <v>86</v>
      </c>
      <c r="Y18" s="2">
        <v>0</v>
      </c>
      <c r="Z18" s="2">
        <v>0</v>
      </c>
      <c r="AC18" s="2">
        <v>4966279</v>
      </c>
      <c r="AE18" s="161" t="s">
        <v>248</v>
      </c>
      <c r="AF18" t="s">
        <v>80</v>
      </c>
      <c r="AH18" t="s">
        <v>5</v>
      </c>
      <c r="AI18" t="s">
        <v>3593</v>
      </c>
      <c r="AJ18" s="2"/>
      <c r="AL18" t="s">
        <v>836</v>
      </c>
      <c r="AN18" s="2"/>
      <c r="AO18" t="s">
        <v>837</v>
      </c>
      <c r="AP18" t="s">
        <v>321</v>
      </c>
      <c r="AQ18" t="s">
        <v>322</v>
      </c>
      <c r="AR18" t="s">
        <v>838</v>
      </c>
      <c r="AS18" t="s">
        <v>2341</v>
      </c>
      <c r="AT18" t="s">
        <v>122</v>
      </c>
      <c r="AU18" t="s">
        <v>96</v>
      </c>
      <c r="AZ18" t="s">
        <v>111</v>
      </c>
      <c r="BA18" t="s">
        <v>99</v>
      </c>
      <c r="BB18" t="s">
        <v>839</v>
      </c>
      <c r="BC18" t="s">
        <v>348</v>
      </c>
      <c r="BD18" t="s">
        <v>840</v>
      </c>
      <c r="BE18">
        <v>2017</v>
      </c>
    </row>
    <row r="19" spans="1:57">
      <c r="A19" s="2">
        <v>2410360</v>
      </c>
      <c r="B19" s="6">
        <v>217</v>
      </c>
      <c r="C19" s="2"/>
      <c r="D19" s="43">
        <v>5047680</v>
      </c>
      <c r="F19" t="s">
        <v>80</v>
      </c>
      <c r="G19" t="s">
        <v>81</v>
      </c>
      <c r="H19" t="s">
        <v>11</v>
      </c>
      <c r="I19" t="s">
        <v>11</v>
      </c>
      <c r="J19" t="s">
        <v>5</v>
      </c>
      <c r="K19" t="s">
        <v>83</v>
      </c>
      <c r="L19" s="3">
        <v>46118</v>
      </c>
      <c r="N19" s="2">
        <v>13291544</v>
      </c>
      <c r="O19" t="s">
        <v>266</v>
      </c>
      <c r="P19" t="s">
        <v>867</v>
      </c>
      <c r="Q19" s="2"/>
      <c r="R19" s="4">
        <v>274774</v>
      </c>
      <c r="S19" s="3">
        <v>45901</v>
      </c>
      <c r="T19" s="2"/>
      <c r="U19" s="2"/>
      <c r="V19" s="2"/>
      <c r="W19" t="s">
        <v>86</v>
      </c>
      <c r="Y19" s="2">
        <v>0</v>
      </c>
      <c r="Z19" s="2">
        <v>0</v>
      </c>
      <c r="AC19" s="2">
        <v>2960760</v>
      </c>
      <c r="AE19" s="161" t="s">
        <v>248</v>
      </c>
      <c r="AF19" t="s">
        <v>80</v>
      </c>
      <c r="AH19" t="s">
        <v>5</v>
      </c>
      <c r="AI19" t="s">
        <v>3594</v>
      </c>
      <c r="AJ19" s="2"/>
      <c r="AL19" t="s">
        <v>868</v>
      </c>
      <c r="AN19" s="2"/>
      <c r="AO19" t="s">
        <v>869</v>
      </c>
      <c r="AP19" t="s">
        <v>408</v>
      </c>
      <c r="AQ19" t="s">
        <v>92</v>
      </c>
      <c r="AR19" t="s">
        <v>870</v>
      </c>
      <c r="AS19" t="s">
        <v>767</v>
      </c>
      <c r="AT19" t="s">
        <v>122</v>
      </c>
      <c r="AU19" t="s">
        <v>285</v>
      </c>
      <c r="AZ19" t="s">
        <v>111</v>
      </c>
      <c r="BA19" t="s">
        <v>285</v>
      </c>
      <c r="BB19" t="s">
        <v>871</v>
      </c>
      <c r="BC19" t="s">
        <v>421</v>
      </c>
      <c r="BD19" t="s">
        <v>872</v>
      </c>
      <c r="BE19">
        <v>2023</v>
      </c>
    </row>
    <row r="20" spans="1:57" hidden="1">
      <c r="A20" s="2">
        <v>2757617</v>
      </c>
      <c r="B20" s="6">
        <v>95</v>
      </c>
      <c r="C20" s="2"/>
      <c r="D20" s="43">
        <v>9115829</v>
      </c>
      <c r="F20" t="s">
        <v>80</v>
      </c>
      <c r="G20" t="s">
        <v>81</v>
      </c>
      <c r="H20" t="s">
        <v>11</v>
      </c>
      <c r="I20" t="s">
        <v>11</v>
      </c>
      <c r="J20" t="s">
        <v>5</v>
      </c>
      <c r="K20" t="s">
        <v>83</v>
      </c>
      <c r="L20" s="3">
        <v>46118</v>
      </c>
      <c r="M20" t="s">
        <v>193</v>
      </c>
      <c r="N20" s="2">
        <v>10908669</v>
      </c>
      <c r="O20" t="s">
        <v>266</v>
      </c>
      <c r="P20" t="s">
        <v>1070</v>
      </c>
      <c r="Q20" s="2"/>
      <c r="R20" s="4">
        <v>309130</v>
      </c>
      <c r="S20" s="3">
        <v>46023</v>
      </c>
      <c r="T20" s="2"/>
      <c r="U20" s="2"/>
      <c r="V20" s="2"/>
      <c r="W20" t="s">
        <v>86</v>
      </c>
      <c r="Y20" s="2">
        <v>0</v>
      </c>
      <c r="Z20" s="2">
        <v>0</v>
      </c>
      <c r="AC20" s="2">
        <v>9115829</v>
      </c>
      <c r="AE20" s="161" t="s">
        <v>203</v>
      </c>
      <c r="AF20" t="s">
        <v>80</v>
      </c>
      <c r="AH20" t="s">
        <v>5</v>
      </c>
      <c r="AI20" t="s">
        <v>3595</v>
      </c>
      <c r="AJ20" s="2"/>
      <c r="AL20" t="s">
        <v>1071</v>
      </c>
      <c r="AN20" s="2"/>
      <c r="AO20" t="s">
        <v>1072</v>
      </c>
      <c r="AP20" t="s">
        <v>314</v>
      </c>
      <c r="AQ20" t="s">
        <v>92</v>
      </c>
      <c r="AR20" t="s">
        <v>1062</v>
      </c>
      <c r="AS20" t="s">
        <v>455</v>
      </c>
      <c r="AT20" t="s">
        <v>122</v>
      </c>
      <c r="AU20" t="s">
        <v>96</v>
      </c>
      <c r="AZ20" t="s">
        <v>111</v>
      </c>
      <c r="BA20" t="s">
        <v>99</v>
      </c>
      <c r="BB20" t="s">
        <v>1073</v>
      </c>
      <c r="BC20" t="s">
        <v>1074</v>
      </c>
      <c r="BD20" t="s">
        <v>1075</v>
      </c>
      <c r="BE20">
        <v>2024</v>
      </c>
    </row>
    <row r="21" spans="1:57">
      <c r="A21" s="2">
        <v>2762910</v>
      </c>
      <c r="B21" s="6">
        <v>340</v>
      </c>
      <c r="C21" s="2"/>
      <c r="D21" s="43">
        <v>15253118</v>
      </c>
      <c r="F21" t="s">
        <v>80</v>
      </c>
      <c r="G21" t="s">
        <v>81</v>
      </c>
      <c r="H21" t="s">
        <v>11</v>
      </c>
      <c r="I21" t="s">
        <v>11</v>
      </c>
      <c r="J21" t="s">
        <v>5</v>
      </c>
      <c r="K21" t="s">
        <v>83</v>
      </c>
      <c r="L21" s="3">
        <v>46118</v>
      </c>
      <c r="N21" s="2">
        <v>9369669</v>
      </c>
      <c r="O21" t="s">
        <v>3577</v>
      </c>
      <c r="P21" t="s">
        <v>1083</v>
      </c>
      <c r="Q21" s="2"/>
      <c r="R21" s="4">
        <v>316420</v>
      </c>
      <c r="S21" s="3">
        <v>45778</v>
      </c>
      <c r="T21" s="2"/>
      <c r="U21" s="2"/>
      <c r="V21" s="2"/>
      <c r="W21" t="s">
        <v>86</v>
      </c>
      <c r="Y21" s="2">
        <v>0</v>
      </c>
      <c r="Z21" s="2">
        <v>0</v>
      </c>
      <c r="AC21" s="2">
        <v>15253118</v>
      </c>
      <c r="AE21" s="161" t="s">
        <v>248</v>
      </c>
      <c r="AF21" t="s">
        <v>80</v>
      </c>
      <c r="AH21" t="s">
        <v>5</v>
      </c>
      <c r="AI21" t="s">
        <v>3596</v>
      </c>
      <c r="AJ21" s="2"/>
      <c r="AL21" t="s">
        <v>1084</v>
      </c>
      <c r="AN21" s="2"/>
      <c r="AO21" t="s">
        <v>1085</v>
      </c>
      <c r="AP21" t="s">
        <v>1086</v>
      </c>
      <c r="AQ21" t="s">
        <v>322</v>
      </c>
      <c r="AR21" t="s">
        <v>418</v>
      </c>
      <c r="AS21" t="s">
        <v>831</v>
      </c>
      <c r="AT21" t="s">
        <v>122</v>
      </c>
      <c r="AU21" t="s">
        <v>96</v>
      </c>
      <c r="AZ21" t="s">
        <v>111</v>
      </c>
      <c r="BA21" t="s">
        <v>99</v>
      </c>
      <c r="BB21" t="s">
        <v>1087</v>
      </c>
      <c r="BC21" t="s">
        <v>153</v>
      </c>
      <c r="BD21" t="s">
        <v>978</v>
      </c>
      <c r="BE21">
        <v>2022</v>
      </c>
    </row>
    <row r="22" spans="1:57">
      <c r="A22" s="2">
        <v>3115557</v>
      </c>
      <c r="B22" s="6">
        <v>95</v>
      </c>
      <c r="C22" s="2"/>
      <c r="D22" s="43">
        <v>10316441</v>
      </c>
      <c r="F22" t="s">
        <v>80</v>
      </c>
      <c r="G22" t="s">
        <v>81</v>
      </c>
      <c r="H22" t="s">
        <v>11</v>
      </c>
      <c r="I22" t="s">
        <v>11</v>
      </c>
      <c r="J22" t="s">
        <v>5</v>
      </c>
      <c r="K22" t="s">
        <v>83</v>
      </c>
      <c r="L22" s="3">
        <v>46118</v>
      </c>
      <c r="M22" t="s">
        <v>193</v>
      </c>
      <c r="N22" s="2">
        <v>18488596</v>
      </c>
      <c r="O22" t="s">
        <v>3566</v>
      </c>
      <c r="P22" t="s">
        <v>1283</v>
      </c>
      <c r="Q22" s="2"/>
      <c r="R22" s="4">
        <v>280540</v>
      </c>
      <c r="S22" s="3">
        <v>46023</v>
      </c>
      <c r="T22" s="2"/>
      <c r="U22" s="2"/>
      <c r="V22" s="2"/>
      <c r="W22" t="s">
        <v>86</v>
      </c>
      <c r="Y22" s="2">
        <v>0</v>
      </c>
      <c r="Z22" s="2">
        <v>0</v>
      </c>
      <c r="AC22" s="2">
        <v>7816441</v>
      </c>
      <c r="AE22" s="161" t="s">
        <v>248</v>
      </c>
      <c r="AF22" t="s">
        <v>80</v>
      </c>
      <c r="AH22" t="s">
        <v>5</v>
      </c>
      <c r="AI22" t="s">
        <v>3597</v>
      </c>
      <c r="AJ22" s="2"/>
      <c r="AL22" t="s">
        <v>1284</v>
      </c>
      <c r="AN22" s="2"/>
      <c r="AO22" t="s">
        <v>1285</v>
      </c>
      <c r="AP22" t="s">
        <v>488</v>
      </c>
      <c r="AQ22" t="s">
        <v>92</v>
      </c>
      <c r="AR22" t="s">
        <v>1286</v>
      </c>
      <c r="AS22" t="s">
        <v>284</v>
      </c>
      <c r="AT22" t="s">
        <v>74</v>
      </c>
      <c r="AU22" t="s">
        <v>96</v>
      </c>
      <c r="AZ22" t="s">
        <v>111</v>
      </c>
      <c r="BA22" t="s">
        <v>99</v>
      </c>
      <c r="BC22" t="s">
        <v>287</v>
      </c>
      <c r="BD22" t="s">
        <v>1287</v>
      </c>
      <c r="BE22">
        <v>0</v>
      </c>
    </row>
    <row r="23" spans="1:57">
      <c r="A23" s="2">
        <v>3120521</v>
      </c>
      <c r="B23" s="6">
        <v>156</v>
      </c>
      <c r="C23" s="2"/>
      <c r="D23" s="43">
        <v>15352634</v>
      </c>
      <c r="F23" t="s">
        <v>80</v>
      </c>
      <c r="G23" t="s">
        <v>81</v>
      </c>
      <c r="H23" t="s">
        <v>11</v>
      </c>
      <c r="I23" t="s">
        <v>11</v>
      </c>
      <c r="J23" t="s">
        <v>5</v>
      </c>
      <c r="K23" t="s">
        <v>83</v>
      </c>
      <c r="L23" s="3">
        <v>46118</v>
      </c>
      <c r="N23" s="2">
        <v>6332455</v>
      </c>
      <c r="O23" t="s">
        <v>3558</v>
      </c>
      <c r="P23" t="s">
        <v>1288</v>
      </c>
      <c r="Q23" s="2"/>
      <c r="R23" s="4">
        <v>432150</v>
      </c>
      <c r="S23" s="3">
        <v>45962</v>
      </c>
      <c r="T23" s="2"/>
      <c r="U23" s="2"/>
      <c r="V23" s="2"/>
      <c r="W23" t="s">
        <v>86</v>
      </c>
      <c r="Y23" s="2">
        <v>0</v>
      </c>
      <c r="Z23" s="2">
        <v>0</v>
      </c>
      <c r="AC23" s="2">
        <v>15352634</v>
      </c>
      <c r="AE23" s="161" t="s">
        <v>248</v>
      </c>
      <c r="AF23" t="s">
        <v>80</v>
      </c>
      <c r="AH23" t="s">
        <v>5</v>
      </c>
      <c r="AJ23" s="2"/>
      <c r="AL23" t="s">
        <v>1289</v>
      </c>
      <c r="AN23" s="2"/>
      <c r="AO23" t="s">
        <v>1290</v>
      </c>
      <c r="AP23" t="s">
        <v>1291</v>
      </c>
      <c r="AQ23" t="s">
        <v>765</v>
      </c>
      <c r="AR23" t="s">
        <v>580</v>
      </c>
      <c r="AS23" t="s">
        <v>171</v>
      </c>
      <c r="AT23" t="s">
        <v>141</v>
      </c>
      <c r="AU23" t="s">
        <v>96</v>
      </c>
      <c r="AZ23" t="s">
        <v>98</v>
      </c>
      <c r="BA23" t="s">
        <v>99</v>
      </c>
      <c r="BC23" t="s">
        <v>421</v>
      </c>
      <c r="BD23" t="s">
        <v>1292</v>
      </c>
      <c r="BE23">
        <v>2024</v>
      </c>
    </row>
  </sheetData>
  <autoFilter ref="A1:BE23" xr:uid="{23770B85-12DD-4A81-95B5-80656942425C}">
    <filterColumn colId="30">
      <filters>
        <filter val="PLAN DE PAGO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BFFC-F433-4BEE-A9CA-DFFC955199CD}">
  <sheetPr filterMode="1"/>
  <dimension ref="A1:T95"/>
  <sheetViews>
    <sheetView showGridLines="0" topLeftCell="A78" workbookViewId="0">
      <selection activeCell="C67" sqref="C67"/>
    </sheetView>
  </sheetViews>
  <sheetFormatPr defaultColWidth="11.42578125" defaultRowHeight="15"/>
  <cols>
    <col min="1" max="1" width="12.7109375" style="73" customWidth="1"/>
    <col min="3" max="3" width="38.5703125" style="7" customWidth="1"/>
    <col min="4" max="4" width="11.5703125" customWidth="1"/>
    <col min="6" max="6" width="11.42578125" style="7"/>
    <col min="7" max="7" width="19.5703125" customWidth="1"/>
    <col min="8" max="8" width="14.140625" style="418" customWidth="1"/>
    <col min="9" max="9" width="12.5703125" customWidth="1"/>
    <col min="10" max="10" width="8" customWidth="1"/>
    <col min="12" max="12" width="15.5703125" customWidth="1"/>
    <col min="13" max="13" width="13" customWidth="1"/>
    <col min="16" max="16" width="23.140625" bestFit="1" customWidth="1"/>
    <col min="17" max="17" width="14.85546875" customWidth="1"/>
    <col min="18" max="18" width="30.5703125" customWidth="1"/>
    <col min="19" max="19" width="8.5703125" customWidth="1"/>
  </cols>
  <sheetData>
    <row r="1" spans="1:20" s="107" customFormat="1" ht="15.75">
      <c r="A1" s="428" t="s">
        <v>3598</v>
      </c>
      <c r="B1" s="420" t="s">
        <v>36</v>
      </c>
      <c r="C1" s="420" t="s">
        <v>3599</v>
      </c>
      <c r="D1" s="419" t="s">
        <v>3600</v>
      </c>
      <c r="E1" s="417" t="s">
        <v>3601</v>
      </c>
      <c r="F1" s="505" t="s">
        <v>3602</v>
      </c>
      <c r="G1" s="421" t="s">
        <v>56</v>
      </c>
      <c r="H1" s="422" t="s">
        <v>3603</v>
      </c>
      <c r="I1" s="419" t="s">
        <v>3604</v>
      </c>
      <c r="J1" s="419" t="s">
        <v>3605</v>
      </c>
      <c r="K1" s="423" t="s">
        <v>3606</v>
      </c>
      <c r="L1" s="423" t="s">
        <v>3607</v>
      </c>
      <c r="M1" s="424" t="s">
        <v>3608</v>
      </c>
      <c r="N1" s="425" t="s">
        <v>3609</v>
      </c>
      <c r="O1" s="419" t="s">
        <v>3610</v>
      </c>
      <c r="P1" s="426" t="s">
        <v>3611</v>
      </c>
      <c r="Q1" s="427" t="s">
        <v>3612</v>
      </c>
      <c r="R1" s="428" t="s">
        <v>3613</v>
      </c>
      <c r="S1" s="429" t="s">
        <v>3614</v>
      </c>
      <c r="T1" s="120" t="s">
        <v>3615</v>
      </c>
    </row>
    <row r="2" spans="1:20" s="48" customFormat="1" hidden="1">
      <c r="A2" s="510">
        <v>2893403</v>
      </c>
      <c r="B2" s="430">
        <f>VLOOKUP(A2,Export!A:N,14,0)</f>
        <v>10357961</v>
      </c>
      <c r="C2" s="430" t="str">
        <f>VLOOKUP(A2,Export!A:P,16,0)</f>
        <v>LUZ MARCELA LOPEZ BEAS</v>
      </c>
      <c r="D2" s="431" t="str">
        <f>VLOOKUP(A2,Export!A:H,8,0)</f>
        <v>91-120</v>
      </c>
      <c r="E2" s="431" t="str">
        <f>VLOOKUP(A2,Export!A:I,9,0)</f>
        <v>61-90</v>
      </c>
      <c r="F2" s="431" t="s">
        <v>3616</v>
      </c>
      <c r="G2" s="431" t="str">
        <f>VLOOKUP(A2,Export!A:AH,34,0)</f>
        <v>BAJA90</v>
      </c>
      <c r="H2" s="432" t="s">
        <v>3617</v>
      </c>
      <c r="I2" s="431">
        <v>2</v>
      </c>
      <c r="J2" s="431">
        <f>VLOOKUP(A2,Export!A:B,2,0)</f>
        <v>69</v>
      </c>
      <c r="K2" s="433">
        <f>VLOOKUP(A2,Export!A:R,18,0)</f>
        <v>314.91800000000001</v>
      </c>
      <c r="L2" s="433">
        <f>VLOOKUP(A2,Export!A:D,4,0)</f>
        <v>5770645</v>
      </c>
      <c r="M2" s="434">
        <f t="shared" ref="M2:M18" si="0">IF(H2="PAGO CUOTAS",I2*K2,L2)</f>
        <v>629.83600000000001</v>
      </c>
      <c r="N2" s="435">
        <v>46204</v>
      </c>
      <c r="O2" s="431" t="s">
        <v>3618</v>
      </c>
      <c r="P2" s="436">
        <v>46204</v>
      </c>
      <c r="Q2" s="437">
        <f t="shared" ref="Q2:Q18" si="1">+SUMIF(O2,"PAGADO",L2)</f>
        <v>5770645</v>
      </c>
      <c r="R2" s="48" t="s">
        <v>3619</v>
      </c>
      <c r="S2" s="438" t="b">
        <v>0</v>
      </c>
      <c r="T2" s="439">
        <f>VLOOKUP(A2,'OFICIO '!A:J,10,0)</f>
        <v>46055</v>
      </c>
    </row>
    <row r="3" spans="1:20" s="48" customFormat="1">
      <c r="A3" s="511">
        <v>3251019</v>
      </c>
      <c r="B3" s="430">
        <f>VLOOKUP(A3,Export!A:N,14,0)</f>
        <v>25890131</v>
      </c>
      <c r="C3" s="430" t="str">
        <f>VLOOKUP(A3,Export!A:P,16,0)</f>
        <v>JOSE JORGE COLORADO RODRIGUEZ</v>
      </c>
      <c r="D3" s="431" t="str">
        <f>VLOOKUP(A3,Export!A:H,8,0)</f>
        <v>61-90</v>
      </c>
      <c r="E3" s="431" t="str">
        <f>VLOOKUP(A3,Export!A:I,9,0)</f>
        <v>61-90</v>
      </c>
      <c r="F3" s="431" t="s">
        <v>3491</v>
      </c>
      <c r="G3" s="431" t="str">
        <f>VLOOKUP(A3,Export!A:AH,34,0)</f>
        <v>BAJA90</v>
      </c>
      <c r="H3" s="432" t="s">
        <v>3617</v>
      </c>
      <c r="I3" s="431">
        <v>1</v>
      </c>
      <c r="J3" s="431">
        <f>VLOOKUP(A3,Export!A:B,2,0)</f>
        <v>71</v>
      </c>
      <c r="K3" s="433">
        <f>VLOOKUP(A3,Export!A:R,18,0)</f>
        <v>373.22</v>
      </c>
      <c r="L3" s="433">
        <f>VLOOKUP(A3,Export!A:D,4,0)</f>
        <v>9744091</v>
      </c>
      <c r="M3" s="434">
        <f t="shared" si="0"/>
        <v>373.22</v>
      </c>
      <c r="N3" s="435">
        <v>46205</v>
      </c>
      <c r="O3" s="431" t="s">
        <v>3618</v>
      </c>
      <c r="P3" s="436">
        <v>46209</v>
      </c>
      <c r="Q3" s="437">
        <f t="shared" si="1"/>
        <v>9744091</v>
      </c>
      <c r="S3" s="438" t="b">
        <v>0</v>
      </c>
      <c r="T3" s="439" t="e">
        <f>VLOOKUP(A3,'OFICIO '!A:J,10,0)</f>
        <v>#N/A</v>
      </c>
    </row>
    <row r="4" spans="1:20" s="48" customFormat="1" hidden="1">
      <c r="A4" s="510">
        <v>2914167</v>
      </c>
      <c r="B4" s="430">
        <f>VLOOKUP(A4,Export!A:N,14,0)</f>
        <v>10585244</v>
      </c>
      <c r="C4" s="430" t="str">
        <f>VLOOKUP(A4,Export!A:P,16,0)</f>
        <v>CLAUDIA ORIETTA FREDES BARRERA</v>
      </c>
      <c r="D4" s="431" t="str">
        <f>VLOOKUP(A4,Export!A:H,8,0)</f>
        <v>31-60</v>
      </c>
      <c r="E4" s="431" t="str">
        <f>VLOOKUP(A4,Export!A:I,9,0)</f>
        <v>61-90</v>
      </c>
      <c r="F4" s="431" t="s">
        <v>3620</v>
      </c>
      <c r="G4" s="431" t="str">
        <f>VLOOKUP(A4,Export!A:AH,34,0)</f>
        <v>NO RECUPERADO</v>
      </c>
      <c r="H4" s="432" t="s">
        <v>3617</v>
      </c>
      <c r="I4" s="431">
        <v>1</v>
      </c>
      <c r="J4" s="431">
        <f>VLOOKUP(A4,Export!A:B,2,0)</f>
        <v>66</v>
      </c>
      <c r="K4" s="433">
        <f>VLOOKUP(A4,Export!A:R,18,0)</f>
        <v>173.18299999999999</v>
      </c>
      <c r="L4" s="433">
        <f>VLOOKUP(A4,Export!A:D,4,0)</f>
        <v>2641698</v>
      </c>
      <c r="M4" s="434">
        <f t="shared" si="0"/>
        <v>173.18299999999999</v>
      </c>
      <c r="N4" s="435">
        <v>46227</v>
      </c>
      <c r="O4" s="431" t="s">
        <v>3621</v>
      </c>
      <c r="P4" s="436"/>
      <c r="Q4" s="437">
        <f t="shared" si="1"/>
        <v>0</v>
      </c>
      <c r="S4" s="438" t="b">
        <v>0</v>
      </c>
      <c r="T4" s="439" t="e">
        <f>VLOOKUP(A4,'OFICIO '!A:J,10,0)</f>
        <v>#N/A</v>
      </c>
    </row>
    <row r="5" spans="1:20" s="48" customFormat="1">
      <c r="A5" s="510">
        <v>2901204</v>
      </c>
      <c r="B5" s="430">
        <f>VLOOKUP(A5,Export!A:N,14,0)</f>
        <v>14027161</v>
      </c>
      <c r="C5" s="430" t="str">
        <f>VLOOKUP(A5,Export!A:P,16,0)</f>
        <v>SAMUEL RODRIGO AGUILERA CARTER</v>
      </c>
      <c r="D5" s="431" t="str">
        <f>VLOOKUP(A5,Export!A:H,8,0)</f>
        <v>61-90</v>
      </c>
      <c r="E5" s="431" t="str">
        <f>VLOOKUP(A5,Export!A:I,9,0)</f>
        <v>31-60</v>
      </c>
      <c r="F5" s="431" t="s">
        <v>3491</v>
      </c>
      <c r="G5" s="431" t="str">
        <f>VLOOKUP(A5,Export!A:AH,34,0)</f>
        <v>BAJA90</v>
      </c>
      <c r="H5" s="432" t="s">
        <v>3617</v>
      </c>
      <c r="I5" s="431">
        <v>2</v>
      </c>
      <c r="J5" s="431">
        <f>VLOOKUP(A5,Export!A:B,2,0)</f>
        <v>45</v>
      </c>
      <c r="K5" s="433">
        <f>VLOOKUP(A5,Export!A:R,18,0)</f>
        <v>263.53399999999999</v>
      </c>
      <c r="L5" s="433">
        <f>VLOOKUP(A5,Export!A:D,4,0)</f>
        <v>6922351</v>
      </c>
      <c r="M5" s="434">
        <f t="shared" si="0"/>
        <v>527.06799999999998</v>
      </c>
      <c r="N5" s="440">
        <v>46209</v>
      </c>
      <c r="O5" s="431" t="s">
        <v>3618</v>
      </c>
      <c r="P5" s="436">
        <v>46209</v>
      </c>
      <c r="Q5" s="437">
        <f t="shared" si="1"/>
        <v>6922351</v>
      </c>
      <c r="S5" s="438" t="b">
        <v>0</v>
      </c>
      <c r="T5" s="439" t="e">
        <f>VLOOKUP(A5,'OFICIO '!A:J,10,0)</f>
        <v>#N/A</v>
      </c>
    </row>
    <row r="6" spans="1:20" s="48" customFormat="1" hidden="1">
      <c r="A6" s="510">
        <v>2901203</v>
      </c>
      <c r="B6" s="430">
        <f>VLOOKUP(A6,Export!A:N,14,0)</f>
        <v>19940769</v>
      </c>
      <c r="C6" s="430" t="str">
        <f>VLOOKUP(A6,Export!A:P,16,0)</f>
        <v>IGNACIO ALEJANDRO NAVARRETE DIAZ</v>
      </c>
      <c r="D6" s="431" t="str">
        <f>VLOOKUP(A6,Export!A:H,8,0)</f>
        <v>31-60</v>
      </c>
      <c r="E6" s="431" t="str">
        <f>VLOOKUP(A6,Export!A:I,9,0)</f>
        <v>31-60</v>
      </c>
      <c r="F6" s="431" t="s">
        <v>3620</v>
      </c>
      <c r="G6" s="431" t="str">
        <f>VLOOKUP(A6,Export!A:AH,34,0)</f>
        <v>CONTENIDO</v>
      </c>
      <c r="H6" s="432" t="s">
        <v>3617</v>
      </c>
      <c r="I6" s="431">
        <v>1</v>
      </c>
      <c r="J6" s="431">
        <f>VLOOKUP(A6,Export!A:B,2,0)</f>
        <v>45</v>
      </c>
      <c r="K6" s="433">
        <f>VLOOKUP(A6,Export!A:R,18,0)</f>
        <v>325.48099999999999</v>
      </c>
      <c r="L6" s="433">
        <f>VLOOKUP(A6,Export!A:D,4,0)</f>
        <v>5732485</v>
      </c>
      <c r="M6" s="434">
        <f t="shared" si="0"/>
        <v>325.48099999999999</v>
      </c>
      <c r="N6" s="440">
        <v>46205</v>
      </c>
      <c r="O6" s="431" t="s">
        <v>3618</v>
      </c>
      <c r="P6" s="436">
        <v>46205</v>
      </c>
      <c r="Q6" s="437">
        <f t="shared" si="1"/>
        <v>5732485</v>
      </c>
      <c r="S6" s="438" t="b">
        <v>0</v>
      </c>
      <c r="T6" s="439" t="e">
        <f>VLOOKUP(A6,'OFICIO '!A:J,10,0)</f>
        <v>#N/A</v>
      </c>
    </row>
    <row r="7" spans="1:20" s="48" customFormat="1" hidden="1">
      <c r="A7" s="510">
        <v>3334914</v>
      </c>
      <c r="B7" s="430">
        <f>VLOOKUP(A7,Export!A:N,14,0)</f>
        <v>9507551</v>
      </c>
      <c r="C7" s="430" t="str">
        <f>VLOOKUP(A7,Export!A:P,16,0)</f>
        <v>JUAN LUIS HERNANDEZ ALMONACID</v>
      </c>
      <c r="D7" s="431" t="str">
        <f>VLOOKUP(A7,Export!A:H,8,0)</f>
        <v>121-150</v>
      </c>
      <c r="E7" s="431" t="str">
        <f>VLOOKUP(A7,Export!A:I,9,0)</f>
        <v>151-180</v>
      </c>
      <c r="F7" s="431" t="s">
        <v>3616</v>
      </c>
      <c r="G7" s="431" t="str">
        <f>VLOOKUP(A7,Export!A:AH,34,0)</f>
        <v>NO RECUPERADO</v>
      </c>
      <c r="H7" s="432" t="s">
        <v>3617</v>
      </c>
      <c r="I7" s="431">
        <v>5</v>
      </c>
      <c r="J7" s="431">
        <f>VLOOKUP(A7,Export!A:B,2,0)</f>
        <v>165</v>
      </c>
      <c r="K7" s="433">
        <f>VLOOKUP(A7,Export!A:R,18,0)</f>
        <v>367.18599999999998</v>
      </c>
      <c r="L7" s="433">
        <f>VLOOKUP(A7,Export!A:D,4,0)</f>
        <v>10255953</v>
      </c>
      <c r="M7" s="434">
        <f t="shared" si="0"/>
        <v>1835.9299999999998</v>
      </c>
      <c r="N7" s="440">
        <v>46223</v>
      </c>
      <c r="O7" s="431" t="s">
        <v>3621</v>
      </c>
      <c r="P7" s="436"/>
      <c r="Q7" s="437">
        <f t="shared" si="1"/>
        <v>0</v>
      </c>
      <c r="S7" s="438" t="b">
        <v>0</v>
      </c>
      <c r="T7" s="439" t="e">
        <f>VLOOKUP(A7,'OFICIO '!A:J,10,0)</f>
        <v>#N/A</v>
      </c>
    </row>
    <row r="8" spans="1:20" s="48" customFormat="1" hidden="1">
      <c r="A8" s="510">
        <v>2965293</v>
      </c>
      <c r="B8" s="430">
        <f>VLOOKUP(A8,Export!A:N,14,0)</f>
        <v>9721000</v>
      </c>
      <c r="C8" s="430" t="str">
        <f>VLOOKUP(A8,Export!A:P,16,0)</f>
        <v>ELENA TERCIRA RIVAS JIMÉNEZ</v>
      </c>
      <c r="D8" s="431" t="str">
        <f>VLOOKUP(A8,Export!A:H,8,0)</f>
        <v>31-60</v>
      </c>
      <c r="E8" s="431" t="str">
        <f>VLOOKUP(A8,Export!A:I,9,0)</f>
        <v>31-60</v>
      </c>
      <c r="F8" s="431" t="s">
        <v>3620</v>
      </c>
      <c r="G8" s="431" t="str">
        <f>VLOOKUP(A8,Export!A:AH,34,0)</f>
        <v>CONTENIDO</v>
      </c>
      <c r="H8" s="432" t="s">
        <v>3617</v>
      </c>
      <c r="I8" s="431">
        <v>1</v>
      </c>
      <c r="J8" s="431">
        <f>VLOOKUP(A8,Export!A:B,2,0)</f>
        <v>40</v>
      </c>
      <c r="K8" s="433">
        <f>VLOOKUP(A8,Export!A:R,18,0)</f>
        <v>359.58800000000002</v>
      </c>
      <c r="L8" s="433">
        <f>VLOOKUP(A8,Export!A:D,4,0)</f>
        <v>8234831</v>
      </c>
      <c r="M8" s="434">
        <f t="shared" si="0"/>
        <v>359.58800000000002</v>
      </c>
      <c r="N8" s="435">
        <v>46207</v>
      </c>
      <c r="O8" s="431" t="s">
        <v>3618</v>
      </c>
      <c r="P8" s="436"/>
      <c r="Q8" s="437">
        <f t="shared" si="1"/>
        <v>8234831</v>
      </c>
      <c r="S8" s="438" t="b">
        <v>0</v>
      </c>
      <c r="T8" s="439" t="e">
        <f>VLOOKUP(A8,'OFICIO '!A:J,10,0)</f>
        <v>#N/A</v>
      </c>
    </row>
    <row r="9" spans="1:20" s="48" customFormat="1" hidden="1">
      <c r="A9" s="510">
        <v>3159040</v>
      </c>
      <c r="B9" s="430">
        <f>VLOOKUP(A9,Export!A:N,14,0)</f>
        <v>13872350</v>
      </c>
      <c r="C9" s="430" t="str">
        <f>VLOOKUP(A9,Export!A:P,16,0)</f>
        <v>ALEJANDRO PATRICIO NIETO SALFATE</v>
      </c>
      <c r="D9" s="431" t="str">
        <f>VLOOKUP(A9,Export!A:H,8,0)</f>
        <v>31-60</v>
      </c>
      <c r="E9" s="431" t="str">
        <f>VLOOKUP(A9,Export!A:I,9,0)</f>
        <v>31-60</v>
      </c>
      <c r="F9" s="431" t="s">
        <v>3620</v>
      </c>
      <c r="G9" s="431" t="str">
        <f>VLOOKUP(A9,Export!A:AH,34,0)</f>
        <v>CONTENIDO</v>
      </c>
      <c r="H9" s="432" t="s">
        <v>3617</v>
      </c>
      <c r="I9" s="431">
        <v>1</v>
      </c>
      <c r="J9" s="431">
        <f>VLOOKUP(A9,Export!A:B,2,0)</f>
        <v>34</v>
      </c>
      <c r="K9" s="433">
        <f>VLOOKUP(A9,Export!A:R,18,0)</f>
        <v>510.56700000000001</v>
      </c>
      <c r="L9" s="433">
        <f>VLOOKUP(A9,Export!A:D,4,0)</f>
        <v>15663717</v>
      </c>
      <c r="M9" s="434">
        <f t="shared" si="0"/>
        <v>510.56700000000001</v>
      </c>
      <c r="N9" s="440">
        <v>46206</v>
      </c>
      <c r="O9" s="431" t="s">
        <v>3618</v>
      </c>
      <c r="P9" s="436">
        <v>46210</v>
      </c>
      <c r="Q9" s="437">
        <f t="shared" si="1"/>
        <v>15663717</v>
      </c>
      <c r="S9" s="438" t="b">
        <v>0</v>
      </c>
      <c r="T9" s="439" t="e">
        <f>VLOOKUP(A9,'OFICIO '!A:J,10,0)</f>
        <v>#N/A</v>
      </c>
    </row>
    <row r="10" spans="1:20" s="48" customFormat="1" hidden="1">
      <c r="A10" s="510">
        <v>2926586</v>
      </c>
      <c r="B10" s="430">
        <f>VLOOKUP(A10,Export!A:N,14,0)</f>
        <v>26071337</v>
      </c>
      <c r="C10" s="430" t="str">
        <f>VLOOKUP(A10,Export!A:P,16,0)</f>
        <v>WADSON CELESTIN</v>
      </c>
      <c r="D10" s="431" t="str">
        <f>VLOOKUP(A10,Export!A:H,8,0)</f>
        <v>121-150</v>
      </c>
      <c r="E10" s="431" t="str">
        <f>VLOOKUP(A10,Export!A:I,9,0)</f>
        <v>91-120</v>
      </c>
      <c r="F10" s="431" t="s">
        <v>3616</v>
      </c>
      <c r="G10" s="431" t="str">
        <f>VLOOKUP(A10,Export!A:AH,34,0)</f>
        <v>CONTENIDO</v>
      </c>
      <c r="H10" s="432" t="s">
        <v>3617</v>
      </c>
      <c r="I10" s="431">
        <v>3</v>
      </c>
      <c r="J10" s="431">
        <f>VLOOKUP(A10,Export!A:B,2,0)</f>
        <v>106</v>
      </c>
      <c r="K10" s="433">
        <f>VLOOKUP(A10,Export!A:R,18,0)</f>
        <v>98.891999999999996</v>
      </c>
      <c r="L10" s="433">
        <f>VLOOKUP(A10,Export!A:D,4,0)</f>
        <v>1743128</v>
      </c>
      <c r="M10" s="434">
        <f t="shared" si="0"/>
        <v>296.67599999999999</v>
      </c>
      <c r="N10" s="435">
        <v>46206</v>
      </c>
      <c r="O10" s="431" t="s">
        <v>3618</v>
      </c>
      <c r="P10" s="436"/>
      <c r="Q10" s="437">
        <f t="shared" si="1"/>
        <v>1743128</v>
      </c>
      <c r="R10" s="48" t="s">
        <v>3622</v>
      </c>
      <c r="S10" s="438" t="b">
        <v>0</v>
      </c>
      <c r="T10" s="439" t="e">
        <f>VLOOKUP(A10,'OFICIO '!A:J,10,0)</f>
        <v>#N/A</v>
      </c>
    </row>
    <row r="11" spans="1:20" s="48" customFormat="1">
      <c r="A11" s="510">
        <v>3524299</v>
      </c>
      <c r="B11" s="430">
        <f>VLOOKUP(A11,Export!A:N,14,0)</f>
        <v>17174056</v>
      </c>
      <c r="C11" s="430" t="str">
        <f>VLOOKUP(A11,Export!A:P,16,0)</f>
        <v>JORGE JOEL IBÁÑEZ LÓPEZ</v>
      </c>
      <c r="D11" s="431" t="str">
        <f>VLOOKUP(A11,Export!A:H,8,0)</f>
        <v>61-90</v>
      </c>
      <c r="E11" s="431">
        <f>VLOOKUP(A11,Export!A:I,9,0)</f>
        <v>46052</v>
      </c>
      <c r="F11" s="431" t="s">
        <v>3491</v>
      </c>
      <c r="G11" s="431" t="str">
        <f>VLOOKUP(A11,Export!A:AH,34,0)</f>
        <v>BAJA90</v>
      </c>
      <c r="H11" s="432" t="s">
        <v>3617</v>
      </c>
      <c r="I11" s="431">
        <v>2</v>
      </c>
      <c r="J11" s="431">
        <f>VLOOKUP(A11,Export!A:B,2,0)</f>
        <v>28</v>
      </c>
      <c r="K11" s="433">
        <f>VLOOKUP(A11,Export!A:R,18,0)</f>
        <v>222.791</v>
      </c>
      <c r="L11" s="433">
        <f>VLOOKUP(A11,Export!A:D,4,0)</f>
        <v>6436678</v>
      </c>
      <c r="M11" s="434">
        <f t="shared" si="0"/>
        <v>445.58199999999999</v>
      </c>
      <c r="N11" s="435">
        <v>46206</v>
      </c>
      <c r="O11" s="431" t="s">
        <v>3618</v>
      </c>
      <c r="P11" s="436">
        <v>46210</v>
      </c>
      <c r="Q11" s="437">
        <f t="shared" si="1"/>
        <v>6436678</v>
      </c>
      <c r="S11" s="438" t="b">
        <v>0</v>
      </c>
      <c r="T11" s="439" t="e">
        <f>VLOOKUP(A11,'OFICIO '!A:J,10,0)</f>
        <v>#N/A</v>
      </c>
    </row>
    <row r="12" spans="1:20" s="48" customFormat="1" hidden="1">
      <c r="A12" s="510">
        <v>2456670</v>
      </c>
      <c r="B12" s="430">
        <f>VLOOKUP(A12,Export!A:N,14,0)</f>
        <v>26501219</v>
      </c>
      <c r="C12" s="430" t="str">
        <f>VLOOKUP(A12,Export!A:P,16,0)</f>
        <v>YERLAIN MARIA VILLALOBOS CAMACARO</v>
      </c>
      <c r="D12" s="431" t="str">
        <f>VLOOKUP(A12,Export!A:H,8,0)</f>
        <v>31-60</v>
      </c>
      <c r="E12" s="431">
        <f>VLOOKUP(A12,Export!A:I,9,0)</f>
        <v>46052</v>
      </c>
      <c r="F12" s="431" t="s">
        <v>3620</v>
      </c>
      <c r="G12" s="431" t="str">
        <f>VLOOKUP(A12,Export!A:AH,34,0)</f>
        <v>CONTENIDO</v>
      </c>
      <c r="H12" s="432" t="s">
        <v>3617</v>
      </c>
      <c r="I12" s="431">
        <v>3</v>
      </c>
      <c r="J12" s="431">
        <f>VLOOKUP(A12,Export!A:B,2,0)</f>
        <v>10</v>
      </c>
      <c r="K12" s="433">
        <f>VLOOKUP(A12,Export!A:R,18,0)</f>
        <v>185.595</v>
      </c>
      <c r="L12" s="433">
        <f>VLOOKUP(A12,Export!A:D,4,0)</f>
        <v>6715037</v>
      </c>
      <c r="M12" s="434">
        <f t="shared" si="0"/>
        <v>556.78499999999997</v>
      </c>
      <c r="N12" s="440">
        <v>46204</v>
      </c>
      <c r="O12" s="431" t="s">
        <v>3618</v>
      </c>
      <c r="P12" s="436">
        <v>46210</v>
      </c>
      <c r="Q12" s="437">
        <f t="shared" si="1"/>
        <v>6715037</v>
      </c>
      <c r="S12" s="438" t="b">
        <v>0</v>
      </c>
      <c r="T12" s="439" t="e">
        <f>VLOOKUP(A12,'OFICIO '!A:J,10,0)</f>
        <v>#N/A</v>
      </c>
    </row>
    <row r="13" spans="1:20" s="48" customFormat="1" hidden="1">
      <c r="A13" s="510">
        <v>3350049</v>
      </c>
      <c r="B13" s="430">
        <f>VLOOKUP(A13,Export!A:N,14,0)</f>
        <v>15221775</v>
      </c>
      <c r="C13" s="430" t="str">
        <f>VLOOKUP(A13,Export!A:P,16,0)</f>
        <v>PAMELA ALEJANDRA GONZALEZ ALVAREZ</v>
      </c>
      <c r="D13" s="431" t="str">
        <f>VLOOKUP(A13,Export!A:H,8,0)</f>
        <v>151-180</v>
      </c>
      <c r="E13" s="431" t="str">
        <f>VLOOKUP(A13,Export!A:I,9,0)</f>
        <v>AL DIA</v>
      </c>
      <c r="F13" s="431" t="s">
        <v>3616</v>
      </c>
      <c r="G13" s="431" t="str">
        <f>VLOOKUP(A13,Export!A:AH,34,0)</f>
        <v>BAJA90</v>
      </c>
      <c r="H13" s="432" t="s">
        <v>3617</v>
      </c>
      <c r="I13" s="431">
        <v>5</v>
      </c>
      <c r="J13" s="431">
        <f>VLOOKUP(A13,Export!A:B,2,0)</f>
        <v>0</v>
      </c>
      <c r="K13" s="433">
        <f>VLOOKUP(A13,Export!A:R,18,0)</f>
        <v>210.09100000000001</v>
      </c>
      <c r="L13" s="433">
        <f>VLOOKUP(A13,Export!A:D,4,0)</f>
        <v>5661718</v>
      </c>
      <c r="M13" s="434">
        <f t="shared" si="0"/>
        <v>1050.4549999999999</v>
      </c>
      <c r="N13" s="440">
        <v>46206</v>
      </c>
      <c r="O13" s="431" t="s">
        <v>3618</v>
      </c>
      <c r="P13" s="436"/>
      <c r="Q13" s="437">
        <f t="shared" si="1"/>
        <v>5661718</v>
      </c>
      <c r="S13" s="438" t="b">
        <v>0</v>
      </c>
      <c r="T13" s="439" t="e">
        <f>VLOOKUP(A13,'OFICIO '!A:J,10,0)</f>
        <v>#N/A</v>
      </c>
    </row>
    <row r="14" spans="1:20" s="48" customFormat="1" hidden="1">
      <c r="A14" s="510">
        <v>3456392</v>
      </c>
      <c r="B14" s="430">
        <f>VLOOKUP(A14,Export!A:N,14,0)</f>
        <v>16406426</v>
      </c>
      <c r="C14" s="430" t="str">
        <f>VLOOKUP(A14,Export!A:P,16,0)</f>
        <v>MAURICIO ANDRÉS OLIVOS VILLALOBOS</v>
      </c>
      <c r="D14" s="431" t="str">
        <f>VLOOKUP(A14,Export!A:H,8,0)</f>
        <v>271-300</v>
      </c>
      <c r="E14" s="431" t="str">
        <f>VLOOKUP(A14,Export!A:I,9,0)</f>
        <v>301-330</v>
      </c>
      <c r="F14" s="431" t="s">
        <v>3616</v>
      </c>
      <c r="G14" s="431" t="str">
        <f>VLOOKUP(A14,Export!A:AH,34,0)</f>
        <v>NO RECUPERADO</v>
      </c>
      <c r="H14" s="432" t="s">
        <v>3617</v>
      </c>
      <c r="I14" s="431">
        <v>1</v>
      </c>
      <c r="J14" s="431">
        <f>VLOOKUP(A14,Export!A:B,2,0)</f>
        <v>318</v>
      </c>
      <c r="K14" s="433">
        <f>VLOOKUP(A14,Export!A:R,18,0)</f>
        <v>293.94400000000002</v>
      </c>
      <c r="L14" s="433">
        <f>VLOOKUP(A14,Export!A:D,4,0)</f>
        <v>5914470</v>
      </c>
      <c r="M14" s="434">
        <f t="shared" si="0"/>
        <v>293.94400000000002</v>
      </c>
      <c r="N14" s="440">
        <v>46205</v>
      </c>
      <c r="O14" s="431" t="s">
        <v>3621</v>
      </c>
      <c r="P14" s="436"/>
      <c r="Q14" s="437">
        <f t="shared" si="1"/>
        <v>0</v>
      </c>
      <c r="S14" s="438" t="b">
        <v>0</v>
      </c>
      <c r="T14" s="439" t="e">
        <f>VLOOKUP(A14,'OFICIO '!A:J,10,0)</f>
        <v>#N/A</v>
      </c>
    </row>
    <row r="15" spans="1:20" s="48" customFormat="1" hidden="1">
      <c r="A15" s="510">
        <v>2791803</v>
      </c>
      <c r="B15" s="430">
        <f>VLOOKUP(A15,Export!A:N,14,0)</f>
        <v>15029397</v>
      </c>
      <c r="C15" s="430" t="str">
        <f>VLOOKUP(A15,Export!A:P,16,0)</f>
        <v>MARIA PIA ROJAS RAVEST</v>
      </c>
      <c r="D15" s="431" t="str">
        <f>VLOOKUP(A15,Export!A:H,8,0)</f>
        <v>31-60</v>
      </c>
      <c r="E15" s="431" t="str">
        <f>VLOOKUP(A15,Export!A:I,9,0)</f>
        <v>61-90</v>
      </c>
      <c r="F15" s="431" t="s">
        <v>3620</v>
      </c>
      <c r="G15" s="431" t="str">
        <f>VLOOKUP(A15,Export!A:AH,34,0)</f>
        <v>NO RECUPERADO</v>
      </c>
      <c r="H15" s="432" t="s">
        <v>3617</v>
      </c>
      <c r="I15" s="431">
        <v>1</v>
      </c>
      <c r="J15" s="431">
        <f>VLOOKUP(A15,Export!A:B,2,0)</f>
        <v>72</v>
      </c>
      <c r="K15" s="433">
        <f>VLOOKUP(A15,Export!A:R,18,0)</f>
        <v>267.964</v>
      </c>
      <c r="L15" s="433">
        <f>VLOOKUP(A15,Export!A:D,4,0)</f>
        <v>5749965</v>
      </c>
      <c r="M15" s="434">
        <f t="shared" si="0"/>
        <v>267.964</v>
      </c>
      <c r="N15" s="435">
        <v>46233</v>
      </c>
      <c r="O15" s="431" t="s">
        <v>3621</v>
      </c>
      <c r="P15" s="436"/>
      <c r="Q15" s="437">
        <f t="shared" si="1"/>
        <v>0</v>
      </c>
      <c r="S15" s="438" t="b">
        <v>0</v>
      </c>
      <c r="T15" s="439" t="e">
        <f>VLOOKUP(A15,'OFICIO '!A:J,10,0)</f>
        <v>#N/A</v>
      </c>
    </row>
    <row r="16" spans="1:20" s="48" customFormat="1" hidden="1">
      <c r="A16" s="510">
        <v>3291352</v>
      </c>
      <c r="B16" s="430">
        <f>VLOOKUP(A16,Export!A:N,14,0)</f>
        <v>11378450</v>
      </c>
      <c r="C16" s="430" t="str">
        <f>VLOOKUP(A16,Export!A:P,16,0)</f>
        <v>MARCO ANTONIO NATIVIA ESCALERA</v>
      </c>
      <c r="D16" s="431" t="str">
        <f>VLOOKUP(A16,Export!A:H,8,0)</f>
        <v>151-180</v>
      </c>
      <c r="E16" s="431" t="str">
        <f>VLOOKUP(A16,Export!A:I,9,0)</f>
        <v>31-60</v>
      </c>
      <c r="F16" s="431" t="s">
        <v>3616</v>
      </c>
      <c r="G16" s="431" t="str">
        <f>VLOOKUP(A16,Export!A:AH,34,0)</f>
        <v>BAJA90</v>
      </c>
      <c r="H16" s="432" t="s">
        <v>3617</v>
      </c>
      <c r="I16" s="431">
        <v>4</v>
      </c>
      <c r="J16" s="431">
        <f>VLOOKUP(A16,Export!A:B,2,0)</f>
        <v>53</v>
      </c>
      <c r="K16" s="433">
        <f>VLOOKUP(A16,Export!A:R,18,0)</f>
        <v>147.577</v>
      </c>
      <c r="L16" s="433">
        <f>VLOOKUP(A16,Export!A:D,4,0)</f>
        <v>4680147</v>
      </c>
      <c r="M16" s="434">
        <f t="shared" si="0"/>
        <v>590.30799999999999</v>
      </c>
      <c r="N16" s="440">
        <v>46205</v>
      </c>
      <c r="O16" s="431" t="s">
        <v>3618</v>
      </c>
      <c r="P16" s="436"/>
      <c r="Q16" s="437">
        <f t="shared" si="1"/>
        <v>4680147</v>
      </c>
      <c r="S16" s="438" t="b">
        <v>0</v>
      </c>
      <c r="T16" s="439" t="e">
        <f>VLOOKUP(A16,'OFICIO '!A:J,10,0)</f>
        <v>#N/A</v>
      </c>
    </row>
    <row r="17" spans="1:20" s="48" customFormat="1">
      <c r="A17" s="510">
        <v>3089537</v>
      </c>
      <c r="B17" s="430">
        <f>VLOOKUP(A17,Export!A:N,14,0)</f>
        <v>14530681</v>
      </c>
      <c r="C17" s="430" t="str">
        <f>VLOOKUP(A17,Export!A:P,16,0)</f>
        <v>INGRID ALEJANDRA SANDOVAL MARDONES</v>
      </c>
      <c r="D17" s="431" t="str">
        <f>VLOOKUP(A17,Export!A:H,8,0)</f>
        <v>61-90</v>
      </c>
      <c r="E17" s="431" t="str">
        <f>VLOOKUP(A17,Export!A:I,9,0)</f>
        <v>61-90</v>
      </c>
      <c r="F17" s="431" t="s">
        <v>3491</v>
      </c>
      <c r="G17" s="431" t="str">
        <f>VLOOKUP(A17,Export!A:AH,34,0)</f>
        <v>BAJA90</v>
      </c>
      <c r="H17" s="432" t="s">
        <v>3617</v>
      </c>
      <c r="I17" s="431">
        <v>1</v>
      </c>
      <c r="J17" s="431">
        <f>VLOOKUP(A17,Export!A:B,2,0)</f>
        <v>66</v>
      </c>
      <c r="K17" s="433">
        <f>VLOOKUP(A17,Export!A:R,18,0)</f>
        <v>322.279</v>
      </c>
      <c r="L17" s="433">
        <f>VLOOKUP(A17,Export!A:D,4,0)</f>
        <v>7477518</v>
      </c>
      <c r="M17" s="434">
        <f t="shared" si="0"/>
        <v>322.279</v>
      </c>
      <c r="N17" s="440">
        <v>46204</v>
      </c>
      <c r="O17" s="431" t="s">
        <v>3618</v>
      </c>
      <c r="P17" s="436">
        <v>46204</v>
      </c>
      <c r="Q17" s="437">
        <f t="shared" si="1"/>
        <v>7477518</v>
      </c>
      <c r="S17" s="438" t="b">
        <v>0</v>
      </c>
      <c r="T17" s="439" t="e">
        <f>VLOOKUP(A17,'OFICIO '!A:J,10,0)</f>
        <v>#N/A</v>
      </c>
    </row>
    <row r="18" spans="1:20" s="48" customFormat="1">
      <c r="A18" s="510">
        <v>2820080</v>
      </c>
      <c r="B18" s="430">
        <f>VLOOKUP(A18,Export!A:N,14,0)</f>
        <v>14570180</v>
      </c>
      <c r="C18" s="430" t="str">
        <f>VLOOKUP(A18,Export!A:P,16,0)</f>
        <v>HIFFYT MARLENE AGUILERA  PEREZ</v>
      </c>
      <c r="D18" s="431" t="str">
        <f>VLOOKUP(A18,Export!A:H,8,0)</f>
        <v>61-90</v>
      </c>
      <c r="E18" s="431" t="str">
        <f>VLOOKUP(A18,Export!A:I,9,0)</f>
        <v>31-60</v>
      </c>
      <c r="F18" s="431" t="s">
        <v>3491</v>
      </c>
      <c r="G18" s="431" t="str">
        <f>VLOOKUP(A18,Export!A:AH,34,0)</f>
        <v>BAJA90</v>
      </c>
      <c r="H18" s="432" t="s">
        <v>3617</v>
      </c>
      <c r="I18" s="431">
        <v>2</v>
      </c>
      <c r="J18" s="431">
        <f>VLOOKUP(A18,Export!A:B,2,0)</f>
        <v>45</v>
      </c>
      <c r="K18" s="433">
        <f>VLOOKUP(A18,Export!A:R,18,0)</f>
        <v>360.517</v>
      </c>
      <c r="L18" s="433">
        <f>VLOOKUP(A18,Export!A:D,4,0)</f>
        <v>3173278</v>
      </c>
      <c r="M18" s="434">
        <f t="shared" si="0"/>
        <v>721.03399999999999</v>
      </c>
      <c r="N18" s="440"/>
      <c r="O18" s="431" t="s">
        <v>3618</v>
      </c>
      <c r="P18" s="436"/>
      <c r="Q18" s="437">
        <f t="shared" si="1"/>
        <v>3173278</v>
      </c>
      <c r="R18" s="48" t="s">
        <v>3623</v>
      </c>
      <c r="S18" s="438" t="b">
        <v>0</v>
      </c>
      <c r="T18" s="439" t="e">
        <f>VLOOKUP(A18,'OFICIO '!A:J,10,0)</f>
        <v>#N/A</v>
      </c>
    </row>
    <row r="19" spans="1:20" s="48" customFormat="1">
      <c r="A19" s="510">
        <v>2822126</v>
      </c>
      <c r="B19" s="430">
        <f>VLOOKUP(A19,Export!A:N,14,0)</f>
        <v>17484621</v>
      </c>
      <c r="C19" s="430" t="str">
        <f>VLOOKUP(A19,Export!A:P,16,0)</f>
        <v>PRISCILLA FERNANDA  SALDÍAS  BARROS</v>
      </c>
      <c r="D19" s="431" t="str">
        <f>VLOOKUP(A19,Export!A:H,8,0)</f>
        <v>61-90</v>
      </c>
      <c r="E19" s="431">
        <f>VLOOKUP(A19,Export!A:I,9,0)</f>
        <v>46052</v>
      </c>
      <c r="F19" s="431" t="s">
        <v>3491</v>
      </c>
      <c r="G19" s="431" t="str">
        <f>VLOOKUP(A19,Export!A:AH,34,0)</f>
        <v>BAJA90</v>
      </c>
      <c r="H19" s="432" t="s">
        <v>3617</v>
      </c>
      <c r="I19" s="431">
        <v>2</v>
      </c>
      <c r="J19" s="431">
        <f>VLOOKUP(A19,Export!A:B,2,0)</f>
        <v>30</v>
      </c>
      <c r="K19" s="433">
        <f>VLOOKUP(A19,Export!A:R,18,0)</f>
        <v>170.887</v>
      </c>
      <c r="L19" s="433">
        <f>VLOOKUP(A19,Export!A:D,4,0)</f>
        <v>2494587</v>
      </c>
      <c r="M19" s="434">
        <f t="shared" ref="M19:M43" si="2">IF(H19="PAGO CUOTAS",I19*K19,L19)</f>
        <v>341.774</v>
      </c>
      <c r="N19" s="440">
        <v>46205</v>
      </c>
      <c r="O19" s="431" t="s">
        <v>3618</v>
      </c>
      <c r="P19" s="436">
        <v>46205</v>
      </c>
      <c r="Q19" s="437">
        <f t="shared" ref="Q19:Q43" si="3">+SUMIF(O19,"PAGADO",L19)</f>
        <v>2494587</v>
      </c>
      <c r="S19" s="438" t="b">
        <v>0</v>
      </c>
      <c r="T19" s="439" t="e">
        <f>VLOOKUP(A19,'OFICIO '!A:J,10,0)</f>
        <v>#N/A</v>
      </c>
    </row>
    <row r="20" spans="1:20" s="48" customFormat="1">
      <c r="A20" s="510">
        <v>2381394</v>
      </c>
      <c r="B20" s="430">
        <f>VLOOKUP(A20,Export!A:N,14,0)</f>
        <v>13875254</v>
      </c>
      <c r="C20" s="430" t="str">
        <f>VLOOKUP(A20,Export!A:P,16,0)</f>
        <v>CARLA ORIANA MUÑOZ MIRANDA</v>
      </c>
      <c r="D20" s="431" t="str">
        <f>VLOOKUP(A20,Export!A:H,8,0)</f>
        <v>61-90</v>
      </c>
      <c r="E20" s="431" t="str">
        <f>VLOOKUP(A20,Export!A:I,9,0)</f>
        <v>31-60</v>
      </c>
      <c r="F20" s="431" t="s">
        <v>3491</v>
      </c>
      <c r="G20" s="431" t="str">
        <f>VLOOKUP(A20,Export!A:AH,34,0)</f>
        <v>BAJA90</v>
      </c>
      <c r="H20" s="432" t="s">
        <v>3617</v>
      </c>
      <c r="I20" s="431">
        <v>1</v>
      </c>
      <c r="J20" s="431">
        <f>VLOOKUP(A20,Export!A:B,2,0)</f>
        <v>58</v>
      </c>
      <c r="K20" s="433">
        <f>VLOOKUP(A20,Export!A:R,18,0)</f>
        <v>378.73099999999999</v>
      </c>
      <c r="L20" s="433">
        <f>VLOOKUP(A20,Export!A:D,4,0)</f>
        <v>3575169</v>
      </c>
      <c r="M20" s="434">
        <f t="shared" si="2"/>
        <v>378.73099999999999</v>
      </c>
      <c r="N20" s="440">
        <v>46204</v>
      </c>
      <c r="O20" s="431" t="s">
        <v>3618</v>
      </c>
      <c r="P20" s="436">
        <v>46204</v>
      </c>
      <c r="Q20" s="437">
        <f t="shared" si="3"/>
        <v>3575169</v>
      </c>
      <c r="S20" s="438" t="b">
        <v>0</v>
      </c>
      <c r="T20" s="439" t="e">
        <f>VLOOKUP(A20,'OFICIO '!A:J,10,0)</f>
        <v>#N/A</v>
      </c>
    </row>
    <row r="21" spans="1:20" s="48" customFormat="1" hidden="1">
      <c r="A21" s="510">
        <v>2545904</v>
      </c>
      <c r="B21" s="430">
        <f>VLOOKUP(A21,Export!A:N,14,0)</f>
        <v>13011353</v>
      </c>
      <c r="C21" s="430" t="str">
        <f>VLOOKUP(A21,Export!A:P,16,0)</f>
        <v>MAURICIO ALEJANDRO DIAZ CARRIZO</v>
      </c>
      <c r="D21" s="431" t="str">
        <f>VLOOKUP(A21,Export!A:H,8,0)</f>
        <v>31-60</v>
      </c>
      <c r="E21" s="431" t="str">
        <f>VLOOKUP(A21,Export!A:I,9,0)</f>
        <v>31-60</v>
      </c>
      <c r="F21" s="431" t="s">
        <v>3620</v>
      </c>
      <c r="G21" s="431" t="str">
        <f>VLOOKUP(A21,Export!A:AH,34,0)</f>
        <v>CONTENIDO</v>
      </c>
      <c r="H21" s="432" t="s">
        <v>3617</v>
      </c>
      <c r="I21" s="431">
        <v>2</v>
      </c>
      <c r="J21" s="431">
        <f>VLOOKUP(A21,Export!A:B,2,0)</f>
        <v>45</v>
      </c>
      <c r="K21" s="433">
        <f>VLOOKUP(A21,Export!A:R,18,0)</f>
        <v>189.035</v>
      </c>
      <c r="L21" s="433">
        <f>VLOOKUP(A21,Export!A:D,4,0)</f>
        <v>4134127</v>
      </c>
      <c r="M21" s="434">
        <f t="shared" si="2"/>
        <v>378.07</v>
      </c>
      <c r="N21" s="440">
        <v>46209</v>
      </c>
      <c r="O21" s="431" t="s">
        <v>3618</v>
      </c>
      <c r="P21" s="436"/>
      <c r="Q21" s="437">
        <f t="shared" si="3"/>
        <v>4134127</v>
      </c>
      <c r="S21" s="438" t="b">
        <v>0</v>
      </c>
      <c r="T21" s="439" t="e">
        <f>VLOOKUP(A21,'OFICIO '!A:J,10,0)</f>
        <v>#N/A</v>
      </c>
    </row>
    <row r="22" spans="1:20" s="48" customFormat="1" hidden="1">
      <c r="A22" s="510">
        <v>2993173</v>
      </c>
      <c r="B22" s="430">
        <f>VLOOKUP(A22,Export!A:N,14,0)</f>
        <v>13217975</v>
      </c>
      <c r="C22" s="430" t="str">
        <f>VLOOKUP(A22,Export!A:P,16,0)</f>
        <v>FERNANDO RAÚL FERNÁNDEZ ZAVALA</v>
      </c>
      <c r="D22" s="431" t="str">
        <f>VLOOKUP(A22,Export!A:H,8,0)</f>
        <v>211-240</v>
      </c>
      <c r="E22" s="431" t="str">
        <f>VLOOKUP(A22,Export!A:I,9,0)</f>
        <v>241-270</v>
      </c>
      <c r="F22" s="431" t="s">
        <v>3616</v>
      </c>
      <c r="G22" s="431" t="str">
        <f>VLOOKUP(A22,Export!A:AH,34,0)</f>
        <v>NO RECUPERADO</v>
      </c>
      <c r="H22" s="432" t="s">
        <v>3617</v>
      </c>
      <c r="I22" s="431">
        <v>6</v>
      </c>
      <c r="J22" s="431">
        <f>VLOOKUP(A22,Export!A:B,2,0)</f>
        <v>251</v>
      </c>
      <c r="K22" s="433">
        <f>VLOOKUP(A22,Export!A:R,18,0)</f>
        <v>304.43299999999999</v>
      </c>
      <c r="L22" s="433">
        <f>VLOOKUP(A22,Export!A:D,4,0)</f>
        <v>4482749</v>
      </c>
      <c r="M22" s="434">
        <f t="shared" si="2"/>
        <v>1826.598</v>
      </c>
      <c r="N22" s="440">
        <v>46234</v>
      </c>
      <c r="O22" s="431" t="s">
        <v>3618</v>
      </c>
      <c r="P22" s="436"/>
      <c r="Q22" s="437">
        <f t="shared" si="3"/>
        <v>4482749</v>
      </c>
      <c r="R22" s="48" t="s">
        <v>3624</v>
      </c>
      <c r="S22" s="438" t="b">
        <v>0</v>
      </c>
      <c r="T22" s="439" t="e">
        <f>VLOOKUP(A22,'OFICIO '!A:J,10,0)</f>
        <v>#N/A</v>
      </c>
    </row>
    <row r="23" spans="1:20" s="48" customFormat="1" hidden="1">
      <c r="A23" s="510">
        <v>2567747</v>
      </c>
      <c r="B23" s="430">
        <f>VLOOKUP(A23,Export!A:N,14,0)</f>
        <v>23109537</v>
      </c>
      <c r="C23" s="430" t="str">
        <f>VLOOKUP(A23,Export!A:P,16,0)</f>
        <v>BRAYAN GIAMPIER  BAZAN VIGO</v>
      </c>
      <c r="D23" s="431" t="str">
        <f>VLOOKUP(A23,Export!A:H,8,0)</f>
        <v>181-210</v>
      </c>
      <c r="E23" s="431" t="str">
        <f>VLOOKUP(A23,Export!A:I,9,0)</f>
        <v>211-240</v>
      </c>
      <c r="F23" s="431" t="s">
        <v>3616</v>
      </c>
      <c r="G23" s="431" t="str">
        <f>VLOOKUP(A23,Export!A:AH,34,0)</f>
        <v>NO RECUPERADO</v>
      </c>
      <c r="H23" s="432" t="s">
        <v>3617</v>
      </c>
      <c r="I23" s="431">
        <v>5</v>
      </c>
      <c r="J23" s="431">
        <f>VLOOKUP(A23,Export!A:B,2,0)</f>
        <v>222</v>
      </c>
      <c r="K23" s="433">
        <f>VLOOKUP(A23,Export!A:R,18,0)</f>
        <v>383.30700000000002</v>
      </c>
      <c r="L23" s="433">
        <f>VLOOKUP(A23,Export!A:D,4,0)</f>
        <v>9087248</v>
      </c>
      <c r="M23" s="434">
        <f t="shared" si="2"/>
        <v>1916.5350000000001</v>
      </c>
      <c r="N23" s="440">
        <v>46218</v>
      </c>
      <c r="O23" s="431" t="s">
        <v>3621</v>
      </c>
      <c r="P23" s="436"/>
      <c r="Q23" s="437">
        <f t="shared" si="3"/>
        <v>0</v>
      </c>
      <c r="S23" s="438" t="b">
        <v>0</v>
      </c>
      <c r="T23" s="439" t="e">
        <f>VLOOKUP(A23,'OFICIO '!A:J,10,0)</f>
        <v>#N/A</v>
      </c>
    </row>
    <row r="24" spans="1:20" s="48" customFormat="1">
      <c r="A24" s="510">
        <v>2877820</v>
      </c>
      <c r="B24" s="430">
        <f>VLOOKUP(A24,Export!A:N,14,0)</f>
        <v>7896030</v>
      </c>
      <c r="C24" s="430" t="str">
        <f>VLOOKUP(A24,Export!A:P,16,0)</f>
        <v>MIGUEL ANGEL CAMPOS CID</v>
      </c>
      <c r="D24" s="431" t="str">
        <f>VLOOKUP(A24,Export!A:H,8,0)</f>
        <v>61-90</v>
      </c>
      <c r="E24" s="431" t="str">
        <f>VLOOKUP(A24,Export!A:I,9,0)</f>
        <v>61-90</v>
      </c>
      <c r="F24" s="431" t="s">
        <v>3491</v>
      </c>
      <c r="G24" s="431" t="str">
        <f>VLOOKUP(A24,Export!A:AH,34,0)</f>
        <v>BAJA90</v>
      </c>
      <c r="H24" s="432" t="s">
        <v>3617</v>
      </c>
      <c r="I24" s="431">
        <v>1</v>
      </c>
      <c r="J24" s="431">
        <f>VLOOKUP(A24,Export!A:B,2,0)</f>
        <v>74</v>
      </c>
      <c r="K24" s="433">
        <f>VLOOKUP(A24,Export!A:R,18,0)</f>
        <v>336.65100000000001</v>
      </c>
      <c r="L24" s="433">
        <f>VLOOKUP(A24,Export!A:D,4,0)</f>
        <v>5841087</v>
      </c>
      <c r="M24" s="434">
        <f t="shared" si="2"/>
        <v>336.65100000000001</v>
      </c>
      <c r="N24" s="435">
        <v>46209</v>
      </c>
      <c r="O24" s="431" t="s">
        <v>3618</v>
      </c>
      <c r="P24" s="436">
        <v>46209</v>
      </c>
      <c r="Q24" s="437">
        <f t="shared" si="3"/>
        <v>5841087</v>
      </c>
      <c r="S24" s="438" t="b">
        <v>0</v>
      </c>
      <c r="T24" s="439" t="e">
        <f>VLOOKUP(A24,'OFICIO '!A:J,10,0)</f>
        <v>#N/A</v>
      </c>
    </row>
    <row r="25" spans="1:20" s="48" customFormat="1" hidden="1">
      <c r="A25" s="510">
        <v>2003692</v>
      </c>
      <c r="B25" s="430">
        <f>VLOOKUP(A25,Export!A:N,14,0)</f>
        <v>11527231</v>
      </c>
      <c r="C25" s="430" t="str">
        <f>VLOOKUP(A25,Export!A:P,16,0)</f>
        <v>LAURA DEL CARMEN SOTO BARRÍA</v>
      </c>
      <c r="D25" s="431" t="str">
        <f>VLOOKUP(A25,Export!A:H,8,0)</f>
        <v>151-180</v>
      </c>
      <c r="E25" s="431" t="str">
        <f>VLOOKUP(A25,Export!A:I,9,0)</f>
        <v>61-90</v>
      </c>
      <c r="F25" s="431" t="s">
        <v>3616</v>
      </c>
      <c r="G25" s="431" t="str">
        <f>VLOOKUP(A25,Export!A:AH,34,0)</f>
        <v>CONTENIDO</v>
      </c>
      <c r="H25" s="432" t="s">
        <v>3617</v>
      </c>
      <c r="I25" s="431">
        <v>4</v>
      </c>
      <c r="J25" s="431">
        <f>VLOOKUP(A25,Export!A:B,2,0)</f>
        <v>89</v>
      </c>
      <c r="K25" s="433">
        <f>VLOOKUP(A25,Export!A:R,18,0)</f>
        <v>399.39299999999997</v>
      </c>
      <c r="L25" s="433">
        <f>VLOOKUP(A25,Export!A:D,4,0)</f>
        <v>2205064</v>
      </c>
      <c r="M25" s="434">
        <f t="shared" si="2"/>
        <v>1597.5719999999999</v>
      </c>
      <c r="N25" s="440">
        <v>46216</v>
      </c>
      <c r="O25" s="431" t="s">
        <v>3618</v>
      </c>
      <c r="P25" s="436"/>
      <c r="Q25" s="437">
        <f t="shared" si="3"/>
        <v>2205064</v>
      </c>
      <c r="S25" s="438" t="b">
        <v>0</v>
      </c>
      <c r="T25" s="439" t="e">
        <f>VLOOKUP(A25,'OFICIO '!A:J,10,0)</f>
        <v>#N/A</v>
      </c>
    </row>
    <row r="26" spans="1:20" s="48" customFormat="1">
      <c r="A26" s="510">
        <v>3346863</v>
      </c>
      <c r="B26" s="430">
        <f>VLOOKUP(A26,Export!A:N,14,0)</f>
        <v>8331309</v>
      </c>
      <c r="C26" s="430" t="str">
        <f>VLOOKUP(A26,Export!A:P,16,0)</f>
        <v>MÓNICA ELIZABETH LINEROS FUENTES</v>
      </c>
      <c r="D26" s="431" t="str">
        <f>VLOOKUP(A26,Export!A:H,8,0)</f>
        <v>61-90</v>
      </c>
      <c r="E26" s="431" t="str">
        <f>VLOOKUP(A26,Export!A:I,9,0)</f>
        <v>91-120</v>
      </c>
      <c r="F26" s="431" t="s">
        <v>3491</v>
      </c>
      <c r="G26" s="431" t="str">
        <f>VLOOKUP(A26,Export!A:AH,34,0)</f>
        <v>NO RECUPERADO</v>
      </c>
      <c r="H26" s="432" t="s">
        <v>3617</v>
      </c>
      <c r="I26" s="431">
        <v>2</v>
      </c>
      <c r="J26" s="431">
        <f>VLOOKUP(A26,Export!A:B,2,0)</f>
        <v>97</v>
      </c>
      <c r="K26" s="433">
        <f>VLOOKUP(A26,Export!A:R,18,0)</f>
        <v>344.97500000000002</v>
      </c>
      <c r="L26" s="433">
        <f>VLOOKUP(A26,Export!A:D,4,0)</f>
        <v>10062772</v>
      </c>
      <c r="M26" s="434">
        <f t="shared" si="2"/>
        <v>689.95</v>
      </c>
      <c r="N26" s="440">
        <v>46233</v>
      </c>
      <c r="O26" s="431" t="s">
        <v>3621</v>
      </c>
      <c r="P26" s="436"/>
      <c r="Q26" s="437">
        <f t="shared" si="3"/>
        <v>0</v>
      </c>
      <c r="S26" s="438" t="b">
        <v>0</v>
      </c>
      <c r="T26" s="439" t="e">
        <f>VLOOKUP(A26,'OFICIO '!A:J,10,0)</f>
        <v>#N/A</v>
      </c>
    </row>
    <row r="27" spans="1:20" s="48" customFormat="1" hidden="1">
      <c r="A27" s="510">
        <v>1769482</v>
      </c>
      <c r="B27" s="430">
        <f>VLOOKUP(A27,Export!A:N,14,0)</f>
        <v>16986051</v>
      </c>
      <c r="C27" s="430" t="str">
        <f>VLOOKUP(A27,Export!A:P,16,0)</f>
        <v>CARLOS ANDRES POLANCO DIAZ</v>
      </c>
      <c r="D27" s="431" t="str">
        <f>VLOOKUP(A27,Export!A:H,8,0)</f>
        <v>211-240</v>
      </c>
      <c r="E27" s="431" t="str">
        <f>VLOOKUP(A27,Export!A:I,9,0)</f>
        <v>241-270</v>
      </c>
      <c r="F27" s="431" t="s">
        <v>3616</v>
      </c>
      <c r="G27" s="431" t="str">
        <f>VLOOKUP(A27,Export!A:AH,34,0)</f>
        <v>NO RECUPERADO</v>
      </c>
      <c r="H27" s="432" t="s">
        <v>3625</v>
      </c>
      <c r="I27" s="431"/>
      <c r="J27" s="431">
        <f>VLOOKUP(A27,Export!A:B,2,0)</f>
        <v>252</v>
      </c>
      <c r="K27" s="433">
        <f>VLOOKUP(A27,Export!A:R,18,0)</f>
        <v>336.303</v>
      </c>
      <c r="L27" s="433">
        <f>VLOOKUP(A27,Export!A:D,4,0)</f>
        <v>4635527</v>
      </c>
      <c r="M27" s="434">
        <f>IF(H27="PAGO CUOTAS",I27*K27,L27)</f>
        <v>4635527</v>
      </c>
      <c r="N27" s="440">
        <v>46234</v>
      </c>
      <c r="O27" s="431" t="s">
        <v>3621</v>
      </c>
      <c r="P27" s="436"/>
      <c r="Q27" s="437">
        <f>+SUMIF(O27,"PAGADO",L27)</f>
        <v>0</v>
      </c>
      <c r="S27" s="438" t="b">
        <v>0</v>
      </c>
      <c r="T27" s="439" t="e">
        <f>VLOOKUP(A27,'OFICIO '!A:J,10,0)</f>
        <v>#N/A</v>
      </c>
    </row>
    <row r="28" spans="1:20" s="48" customFormat="1">
      <c r="A28" s="510">
        <v>2348879</v>
      </c>
      <c r="B28" s="430">
        <f>VLOOKUP(A28,Export!A:N,14,0)</f>
        <v>19398935</v>
      </c>
      <c r="C28" s="430" t="str">
        <f>VLOOKUP(A28,Export!A:P,16,0)</f>
        <v>William Anselmo Morales Toro</v>
      </c>
      <c r="D28" s="431" t="str">
        <f>VLOOKUP(A28,Export!A:H,8,0)</f>
        <v>61-90</v>
      </c>
      <c r="E28" s="431">
        <f>VLOOKUP(A28,Export!A:I,9,0)</f>
        <v>46052</v>
      </c>
      <c r="F28" s="431" t="s">
        <v>3491</v>
      </c>
      <c r="G28" s="431" t="str">
        <f>VLOOKUP(A28,Export!A:AH,34,0)</f>
        <v>BAJA90</v>
      </c>
      <c r="H28" s="432" t="s">
        <v>3617</v>
      </c>
      <c r="I28" s="431">
        <v>3</v>
      </c>
      <c r="J28" s="431">
        <f>VLOOKUP(A28,Export!A:B,2,0)</f>
        <v>15</v>
      </c>
      <c r="K28" s="433">
        <f>VLOOKUP(A28,Export!A:R,18,0)</f>
        <v>226.684</v>
      </c>
      <c r="L28" s="433">
        <f>VLOOKUP(A28,Export!A:D,4,0)</f>
        <v>4943344</v>
      </c>
      <c r="M28" s="434">
        <f t="shared" si="2"/>
        <v>680.05200000000002</v>
      </c>
      <c r="N28" s="440">
        <v>46218</v>
      </c>
      <c r="O28" s="431" t="s">
        <v>3618</v>
      </c>
      <c r="P28" s="436"/>
      <c r="Q28" s="437">
        <f t="shared" si="3"/>
        <v>4943344</v>
      </c>
      <c r="S28" s="438" t="b">
        <v>0</v>
      </c>
      <c r="T28" s="439" t="e">
        <f>VLOOKUP(A28,'OFICIO '!A:J,10,0)</f>
        <v>#N/A</v>
      </c>
    </row>
    <row r="29" spans="1:20" s="48" customFormat="1" hidden="1">
      <c r="A29" s="510">
        <v>3378278</v>
      </c>
      <c r="B29" s="430">
        <f>VLOOKUP(A29,Export!A:N,14,0)</f>
        <v>10780067</v>
      </c>
      <c r="C29" s="430" t="str">
        <f>VLOOKUP(A29,Export!A:P,16,0)</f>
        <v>HERMAN ROGELIO VELIZ ITE</v>
      </c>
      <c r="D29" s="431" t="str">
        <f>VLOOKUP(A29,Export!A:H,8,0)</f>
        <v>91-120</v>
      </c>
      <c r="E29" s="431" t="str">
        <f>VLOOKUP(A29,Export!A:I,9,0)</f>
        <v>121-150</v>
      </c>
      <c r="F29" s="431" t="s">
        <v>3616</v>
      </c>
      <c r="G29" s="431" t="str">
        <f>VLOOKUP(A29,Export!A:AH,34,0)</f>
        <v>NO RECUPERADO</v>
      </c>
      <c r="H29" s="432" t="s">
        <v>3617</v>
      </c>
      <c r="I29" s="431">
        <v>2</v>
      </c>
      <c r="J29" s="431">
        <f>VLOOKUP(A29,Export!A:B,2,0)</f>
        <v>137</v>
      </c>
      <c r="K29" s="433">
        <f>VLOOKUP(A29,Export!A:R,18,0)</f>
        <v>253.85499999999999</v>
      </c>
      <c r="L29" s="433">
        <f>VLOOKUP(A29,Export!A:D,4,0)</f>
        <v>7299234</v>
      </c>
      <c r="M29" s="434">
        <f t="shared" si="2"/>
        <v>507.71</v>
      </c>
      <c r="N29" s="440">
        <v>46223</v>
      </c>
      <c r="O29" s="431" t="s">
        <v>3621</v>
      </c>
      <c r="P29" s="436"/>
      <c r="Q29" s="437">
        <f t="shared" si="3"/>
        <v>0</v>
      </c>
      <c r="S29" s="438" t="b">
        <v>0</v>
      </c>
      <c r="T29" s="439" t="e">
        <f>VLOOKUP(A29,'OFICIO '!A:J,10,0)</f>
        <v>#N/A</v>
      </c>
    </row>
    <row r="30" spans="1:20" s="48" customFormat="1">
      <c r="A30" s="510">
        <v>3217807</v>
      </c>
      <c r="B30" s="430">
        <f>VLOOKUP(A30,Export!A:N,14,0)</f>
        <v>13014709</v>
      </c>
      <c r="C30" s="430" t="str">
        <f>VLOOKUP(A30,Export!A:P,16,0)</f>
        <v>CLAUDIO ALBERTO MOLINA CHÁVEZ</v>
      </c>
      <c r="D30" s="431" t="str">
        <f>VLOOKUP(A30,Export!A:H,8,0)</f>
        <v>61-90</v>
      </c>
      <c r="E30" s="431" t="str">
        <f>VLOOKUP(A30,Export!A:I,9,0)</f>
        <v>91-120</v>
      </c>
      <c r="F30" s="431" t="s">
        <v>3491</v>
      </c>
      <c r="G30" s="431" t="str">
        <f>VLOOKUP(A30,Export!A:AH,34,0)</f>
        <v>NO RECUPERADO</v>
      </c>
      <c r="H30" s="432" t="s">
        <v>3617</v>
      </c>
      <c r="I30" s="431">
        <v>1</v>
      </c>
      <c r="J30" s="431">
        <f>VLOOKUP(A30,Export!A:B,2,0)</f>
        <v>92</v>
      </c>
      <c r="K30" s="433">
        <f>VLOOKUP(A30,Export!A:R,18,0)</f>
        <v>443.36099999999999</v>
      </c>
      <c r="L30" s="433">
        <f>VLOOKUP(A30,Export!A:D,4,0)</f>
        <v>10181670</v>
      </c>
      <c r="M30" s="434">
        <f t="shared" si="2"/>
        <v>443.36099999999999</v>
      </c>
      <c r="N30" s="440">
        <v>46214</v>
      </c>
      <c r="O30" s="431" t="s">
        <v>3621</v>
      </c>
      <c r="P30" s="436"/>
      <c r="Q30" s="437">
        <f t="shared" si="3"/>
        <v>0</v>
      </c>
      <c r="R30" s="48" t="s">
        <v>3626</v>
      </c>
      <c r="S30" s="438" t="b">
        <v>0</v>
      </c>
      <c r="T30" s="439" t="e">
        <f>VLOOKUP(A30,'OFICIO '!A:J,10,0)</f>
        <v>#N/A</v>
      </c>
    </row>
    <row r="31" spans="1:20" s="48" customFormat="1" hidden="1">
      <c r="A31" s="510">
        <v>2545904</v>
      </c>
      <c r="B31" s="430">
        <f>VLOOKUP(A31,Export!A:N,14,0)</f>
        <v>13011353</v>
      </c>
      <c r="C31" s="430" t="str">
        <f>VLOOKUP(A31,Export!A:P,16,0)</f>
        <v>MAURICIO ALEJANDRO DIAZ CARRIZO</v>
      </c>
      <c r="D31" s="431" t="str">
        <f>VLOOKUP(A31,Export!A:H,8,0)</f>
        <v>31-60</v>
      </c>
      <c r="E31" s="431" t="str">
        <f>VLOOKUP(A31,Export!A:I,9,0)</f>
        <v>31-60</v>
      </c>
      <c r="F31" s="431" t="s">
        <v>3620</v>
      </c>
      <c r="G31" s="431" t="str">
        <f>VLOOKUP(A31,Export!A:AH,34,0)</f>
        <v>CONTENIDO</v>
      </c>
      <c r="H31" s="432" t="s">
        <v>3617</v>
      </c>
      <c r="I31" s="431"/>
      <c r="J31" s="431">
        <f>VLOOKUP(A31,Export!A:B,2,0)</f>
        <v>45</v>
      </c>
      <c r="K31" s="433">
        <f>VLOOKUP(A31,Export!A:R,18,0)</f>
        <v>189.035</v>
      </c>
      <c r="L31" s="433">
        <f>VLOOKUP(A31,Export!A:D,4,0)</f>
        <v>4134127</v>
      </c>
      <c r="M31" s="434">
        <f t="shared" si="2"/>
        <v>0</v>
      </c>
      <c r="N31" s="440">
        <v>46209</v>
      </c>
      <c r="O31" s="431" t="s">
        <v>3618</v>
      </c>
      <c r="P31" s="436"/>
      <c r="Q31" s="437">
        <f t="shared" si="3"/>
        <v>4134127</v>
      </c>
      <c r="S31" s="438" t="b">
        <v>0</v>
      </c>
      <c r="T31" s="439" t="e">
        <f>VLOOKUP(A31,'OFICIO '!A:J,10,0)</f>
        <v>#N/A</v>
      </c>
    </row>
    <row r="32" spans="1:20" s="48" customFormat="1" hidden="1">
      <c r="A32" s="510">
        <v>2578418</v>
      </c>
      <c r="B32" s="430">
        <f>VLOOKUP(A32,Export!A:N,14,0)</f>
        <v>15815436</v>
      </c>
      <c r="C32" s="430" t="str">
        <f>VLOOKUP(A32,Export!A:P,16,0)</f>
        <v>MARIA ELENA LEAL REYES</v>
      </c>
      <c r="D32" s="431" t="str">
        <f>VLOOKUP(A32,Export!A:H,8,0)</f>
        <v>211-240</v>
      </c>
      <c r="E32" s="431" t="str">
        <f>VLOOKUP(A32,Export!A:I,9,0)</f>
        <v>241-270</v>
      </c>
      <c r="F32" s="431" t="s">
        <v>3616</v>
      </c>
      <c r="G32" s="431" t="str">
        <f>VLOOKUP(A32,Export!A:AH,34,0)</f>
        <v>NO RECUPERADO</v>
      </c>
      <c r="H32" s="432" t="s">
        <v>3627</v>
      </c>
      <c r="I32" s="431"/>
      <c r="J32" s="431">
        <f>VLOOKUP(A32,Export!A:B,2,0)</f>
        <v>257</v>
      </c>
      <c r="K32" s="433">
        <f>VLOOKUP(A32,Export!A:R,18,0)</f>
        <v>420.387</v>
      </c>
      <c r="L32" s="433">
        <f>VLOOKUP(A32,Export!A:D,4,0)</f>
        <v>3374696</v>
      </c>
      <c r="M32" s="434">
        <f t="shared" si="2"/>
        <v>3374696</v>
      </c>
      <c r="N32" s="440"/>
      <c r="O32" s="431" t="s">
        <v>3621</v>
      </c>
      <c r="P32" s="436"/>
      <c r="Q32" s="437">
        <f t="shared" si="3"/>
        <v>0</v>
      </c>
      <c r="R32" s="48" t="s">
        <v>3628</v>
      </c>
      <c r="S32" s="438" t="b">
        <v>0</v>
      </c>
      <c r="T32" s="439" t="e">
        <f>VLOOKUP(A32,'OFICIO '!A:J,10,0)</f>
        <v>#N/A</v>
      </c>
    </row>
    <row r="33" spans="1:20" s="48" customFormat="1">
      <c r="A33" s="510">
        <v>2949060</v>
      </c>
      <c r="B33" s="430">
        <f>VLOOKUP(A33,Export!A:N,14,0)</f>
        <v>6756651</v>
      </c>
      <c r="C33" s="430" t="str">
        <f>VLOOKUP(A33,Export!A:P,16,0)</f>
        <v>LUZVENIA DEL CARMEN FIGUEROA REPOL</v>
      </c>
      <c r="D33" s="431" t="str">
        <f>VLOOKUP(A33,Export!A:H,8,0)</f>
        <v>61-90</v>
      </c>
      <c r="E33" s="431" t="str">
        <f>VLOOKUP(A33,Export!A:I,9,0)</f>
        <v>61-90</v>
      </c>
      <c r="F33" s="431" t="s">
        <v>3491</v>
      </c>
      <c r="G33" s="431" t="str">
        <f>VLOOKUP(A33,Export!A:AH,34,0)</f>
        <v>NO RECUPERADO</v>
      </c>
      <c r="H33" s="432" t="s">
        <v>3617</v>
      </c>
      <c r="I33" s="431">
        <v>2</v>
      </c>
      <c r="J33" s="431">
        <f>VLOOKUP(A33,Export!A:B,2,0)</f>
        <v>84</v>
      </c>
      <c r="K33" s="433">
        <f>VLOOKUP(A33,Export!A:R,18,0)</f>
        <v>227.73099999999999</v>
      </c>
      <c r="L33" s="433">
        <f>VLOOKUP(A33,Export!A:D,4,0)</f>
        <v>2648525</v>
      </c>
      <c r="M33" s="434">
        <f t="shared" si="2"/>
        <v>455.46199999999999</v>
      </c>
      <c r="N33" s="440">
        <v>46225</v>
      </c>
      <c r="O33" s="431" t="s">
        <v>3621</v>
      </c>
      <c r="P33" s="436"/>
      <c r="Q33" s="437">
        <f t="shared" si="3"/>
        <v>0</v>
      </c>
      <c r="S33" s="438" t="b">
        <v>0</v>
      </c>
      <c r="T33" s="439" t="e">
        <f>VLOOKUP(A33,'OFICIO '!A:J,10,0)</f>
        <v>#N/A</v>
      </c>
    </row>
    <row r="34" spans="1:20" s="48" customFormat="1" hidden="1">
      <c r="A34" s="510">
        <v>3535778</v>
      </c>
      <c r="B34" s="430">
        <f>VLOOKUP(A34,Export!A:N,14,0)</f>
        <v>26530441</v>
      </c>
      <c r="C34" s="430" t="str">
        <f>VLOOKUP(A34,Export!A:P,16,0)</f>
        <v>ANDRES EDUARDO MARTINEZ GUEVARA</v>
      </c>
      <c r="D34" s="431" t="str">
        <f>VLOOKUP(A34,Export!A:H,8,0)</f>
        <v>121-150</v>
      </c>
      <c r="E34" s="431" t="str">
        <f>VLOOKUP(A34,Export!A:I,9,0)</f>
        <v>151-180</v>
      </c>
      <c r="F34" s="431" t="s">
        <v>3616</v>
      </c>
      <c r="G34" s="431" t="str">
        <f>VLOOKUP(A34,Export!A:AH,34,0)</f>
        <v>NO RECUPERADO</v>
      </c>
      <c r="H34" s="432" t="s">
        <v>87</v>
      </c>
      <c r="I34" s="431">
        <v>2</v>
      </c>
      <c r="J34" s="431">
        <f>VLOOKUP(A34,Export!A:B,2,0)</f>
        <v>169</v>
      </c>
      <c r="K34" s="433">
        <f>VLOOKUP(A34,Export!A:R,18,0)</f>
        <v>266.72899999999998</v>
      </c>
      <c r="L34" s="433">
        <f>VLOOKUP(A34,Export!A:D,4,0)</f>
        <v>7568627</v>
      </c>
      <c r="M34" s="434">
        <f t="shared" si="2"/>
        <v>7568627</v>
      </c>
      <c r="N34" s="508">
        <v>46212</v>
      </c>
      <c r="O34" s="431" t="s">
        <v>3621</v>
      </c>
      <c r="P34" s="436"/>
      <c r="Q34" s="437">
        <f t="shared" si="3"/>
        <v>0</v>
      </c>
      <c r="S34" s="438" t="b">
        <v>0</v>
      </c>
      <c r="T34" s="439" t="e">
        <f>VLOOKUP(A34,'OFICIO '!A:J,10,0)</f>
        <v>#N/A</v>
      </c>
    </row>
    <row r="35" spans="1:20" s="48" customFormat="1" hidden="1">
      <c r="A35" s="510">
        <v>3018067</v>
      </c>
      <c r="B35" s="430">
        <f>VLOOKUP(A35,Export!A:N,14,0)</f>
        <v>7806553</v>
      </c>
      <c r="C35" s="430" t="str">
        <f>VLOOKUP(A35,Export!A:P,16,0)</f>
        <v>PILAR ISABEL SEPÚLVEDA OLATE</v>
      </c>
      <c r="D35" s="431" t="str">
        <f>VLOOKUP(A35,Export!A:H,8,0)</f>
        <v>121-150</v>
      </c>
      <c r="E35" s="431" t="str">
        <f>VLOOKUP(A35,Export!A:I,9,0)</f>
        <v>91-120</v>
      </c>
      <c r="F35" s="431" t="s">
        <v>3616</v>
      </c>
      <c r="G35" s="431" t="str">
        <f>VLOOKUP(A35,Export!A:AH,34,0)</f>
        <v>CONTENIDO</v>
      </c>
      <c r="H35" s="432" t="s">
        <v>3617</v>
      </c>
      <c r="I35" s="431">
        <v>2</v>
      </c>
      <c r="J35" s="431">
        <f>VLOOKUP(A35,Export!A:B,2,0)</f>
        <v>110</v>
      </c>
      <c r="K35" s="433">
        <f>VLOOKUP(A35,Export!A:R,18,0)</f>
        <v>357.51600000000002</v>
      </c>
      <c r="L35" s="433">
        <f>VLOOKUP(A35,Export!A:D,4,0)</f>
        <v>7330135</v>
      </c>
      <c r="M35" s="434">
        <f t="shared" si="2"/>
        <v>715.03200000000004</v>
      </c>
      <c r="N35" s="440">
        <v>46234</v>
      </c>
      <c r="O35" s="431" t="s">
        <v>3618</v>
      </c>
      <c r="P35" s="436"/>
      <c r="Q35" s="437">
        <f t="shared" si="3"/>
        <v>7330135</v>
      </c>
      <c r="R35" s="48" t="s">
        <v>3629</v>
      </c>
      <c r="S35" s="438" t="b">
        <v>0</v>
      </c>
      <c r="T35" s="439" t="e">
        <f>VLOOKUP(A35,'OFICIO '!A:J,10,0)</f>
        <v>#N/A</v>
      </c>
    </row>
    <row r="36" spans="1:20" s="48" customFormat="1" hidden="1">
      <c r="A36" s="510">
        <v>2762576</v>
      </c>
      <c r="B36" s="430">
        <f>VLOOKUP(A36,Export!A:N,14,0)</f>
        <v>12829586</v>
      </c>
      <c r="C36" s="430" t="str">
        <f>VLOOKUP(A36,Export!A:P,16,0)</f>
        <v>MARÍA ELENA ARENAS VALDENEGRO</v>
      </c>
      <c r="D36" s="431" t="str">
        <f>VLOOKUP(A36,Export!A:H,8,0)</f>
        <v>91-120</v>
      </c>
      <c r="E36" s="431" t="str">
        <f>VLOOKUP(A36,Export!A:I,9,0)</f>
        <v>31-60</v>
      </c>
      <c r="F36" s="431" t="s">
        <v>3616</v>
      </c>
      <c r="G36" s="431"/>
      <c r="H36" s="432" t="s">
        <v>3617</v>
      </c>
      <c r="I36" s="431">
        <v>3</v>
      </c>
      <c r="J36" s="431">
        <f>VLOOKUP(A36,Export!A:B,2,0)</f>
        <v>44</v>
      </c>
      <c r="K36" s="433">
        <f>VLOOKUP(A36,Export!A:R,18,0)</f>
        <v>335.11500000000001</v>
      </c>
      <c r="L36" s="433">
        <f>VLOOKUP(A36,Export!A:D,4,0)</f>
        <v>5360106</v>
      </c>
      <c r="M36" s="434">
        <f t="shared" si="2"/>
        <v>1005.345</v>
      </c>
      <c r="N36" s="435">
        <v>46213</v>
      </c>
      <c r="O36" s="431" t="s">
        <v>3618</v>
      </c>
      <c r="P36" s="436"/>
      <c r="Q36" s="437">
        <f t="shared" si="3"/>
        <v>5360106</v>
      </c>
      <c r="S36" s="438" t="b">
        <v>0</v>
      </c>
      <c r="T36" s="439" t="e">
        <f>VLOOKUP(A36,'OFICIO '!A:J,10,0)</f>
        <v>#N/A</v>
      </c>
    </row>
    <row r="37" spans="1:20" s="48" customFormat="1" hidden="1">
      <c r="A37" s="510">
        <v>1854377</v>
      </c>
      <c r="B37" s="430">
        <f>VLOOKUP(A37,Export!A:N,14,0)</f>
        <v>13422825</v>
      </c>
      <c r="C37" s="430" t="str">
        <f>VLOOKUP(A37,Export!A:P,16,0)</f>
        <v>PAMELA ALEJANDRA MIRANDA GARCIA</v>
      </c>
      <c r="D37" s="431" t="str">
        <f>VLOOKUP(A37,Export!A:H,8,0)</f>
        <v>31-60</v>
      </c>
      <c r="E37" s="431">
        <f>VLOOKUP(A37,Export!A:I,9,0)</f>
        <v>46052</v>
      </c>
      <c r="F37" s="431" t="s">
        <v>3620</v>
      </c>
      <c r="G37" s="431" t="str">
        <f>VLOOKUP(A37,Export!A:AH,34,0)</f>
        <v>CONTENIDO</v>
      </c>
      <c r="H37" s="432" t="s">
        <v>3617</v>
      </c>
      <c r="I37" s="431">
        <v>1</v>
      </c>
      <c r="J37" s="431">
        <f>VLOOKUP(A37,Export!A:B,2,0)</f>
        <v>20</v>
      </c>
      <c r="K37" s="433">
        <f>VLOOKUP(A37,Export!A:R,18,0)</f>
        <v>236.31299999999999</v>
      </c>
      <c r="L37" s="433">
        <f>VLOOKUP(A37,Export!A:D,4,0)</f>
        <v>2473233</v>
      </c>
      <c r="M37" s="434">
        <f t="shared" si="2"/>
        <v>236.31299999999999</v>
      </c>
      <c r="N37" s="440">
        <v>46213</v>
      </c>
      <c r="O37" s="431" t="s">
        <v>3618</v>
      </c>
      <c r="P37" s="436"/>
      <c r="Q37" s="437">
        <f t="shared" si="3"/>
        <v>2473233</v>
      </c>
      <c r="S37" s="438" t="b">
        <v>0</v>
      </c>
      <c r="T37" s="439">
        <f>VLOOKUP(A37,'OFICIO '!A:J,10,0)</f>
        <v>46107</v>
      </c>
    </row>
    <row r="38" spans="1:20" s="48" customFormat="1" hidden="1">
      <c r="A38" s="510">
        <v>2916362</v>
      </c>
      <c r="B38" s="430">
        <f>VLOOKUP(A38,Export!A:N,14,0)</f>
        <v>17194972</v>
      </c>
      <c r="C38" s="430" t="str">
        <f>VLOOKUP(A38,Export!A:P,16,0)</f>
        <v>DANISA JOHANNA VILCHES ROJAS</v>
      </c>
      <c r="D38" s="431" t="str">
        <f>VLOOKUP(A38,Export!A:H,8,0)</f>
        <v>31-60</v>
      </c>
      <c r="E38" s="431" t="str">
        <f>VLOOKUP(A38,Export!A:I,9,0)</f>
        <v>31-60</v>
      </c>
      <c r="F38" s="431" t="s">
        <v>3620</v>
      </c>
      <c r="G38" s="431" t="str">
        <f>VLOOKUP(A38,Export!A:AH,34,0)</f>
        <v>CONTENIDO</v>
      </c>
      <c r="H38" s="432" t="s">
        <v>3617</v>
      </c>
      <c r="I38" s="431">
        <v>1</v>
      </c>
      <c r="J38" s="431">
        <f>VLOOKUP(A38,Export!A:B,2,0)</f>
        <v>45</v>
      </c>
      <c r="K38" s="433">
        <f>VLOOKUP(A38,Export!A:R,18,0)</f>
        <v>137.238</v>
      </c>
      <c r="L38" s="433">
        <f>VLOOKUP(A38,Export!A:D,4,0)</f>
        <v>1484865</v>
      </c>
      <c r="M38" s="434">
        <f t="shared" si="2"/>
        <v>137.238</v>
      </c>
      <c r="N38" s="440">
        <v>46204</v>
      </c>
      <c r="O38" s="431" t="s">
        <v>3618</v>
      </c>
      <c r="P38" s="436"/>
      <c r="Q38" s="437">
        <f t="shared" si="3"/>
        <v>1484865</v>
      </c>
      <c r="S38" s="438" t="b">
        <v>0</v>
      </c>
      <c r="T38" s="439" t="e">
        <f>VLOOKUP(A38,'OFICIO '!A:J,10,0)</f>
        <v>#N/A</v>
      </c>
    </row>
    <row r="39" spans="1:20" s="48" customFormat="1" hidden="1">
      <c r="A39" s="510">
        <v>3455901</v>
      </c>
      <c r="B39" s="430">
        <f>VLOOKUP(A39,Export!A:N,14,0)</f>
        <v>15915568</v>
      </c>
      <c r="C39" s="430" t="str">
        <f>VLOOKUP(A39,Export!A:P,16,0)</f>
        <v>RODRIGO ALEXIS MELLA VARGAS</v>
      </c>
      <c r="D39" s="431" t="str">
        <f>VLOOKUP(A39,Export!A:H,8,0)</f>
        <v>121-150</v>
      </c>
      <c r="E39" s="431" t="str">
        <f>VLOOKUP(A39,Export!A:I,9,0)</f>
        <v>31-60</v>
      </c>
      <c r="F39" s="431" t="s">
        <v>3616</v>
      </c>
      <c r="G39" s="431" t="str">
        <f>VLOOKUP(A39,Export!A:AH,34,0)</f>
        <v>BAJA90</v>
      </c>
      <c r="H39" s="432" t="s">
        <v>3617</v>
      </c>
      <c r="I39" s="431">
        <v>4</v>
      </c>
      <c r="J39" s="431">
        <f>VLOOKUP(A39,Export!A:B,2,0)</f>
        <v>43</v>
      </c>
      <c r="K39" s="433">
        <f>VLOOKUP(A39,Export!A:R,18,0)</f>
        <v>207.155</v>
      </c>
      <c r="L39" s="433">
        <f>VLOOKUP(A39,Export!A:D,4,0)</f>
        <v>4758382</v>
      </c>
      <c r="M39" s="434">
        <f t="shared" si="2"/>
        <v>828.62</v>
      </c>
      <c r="N39" s="435">
        <v>46216</v>
      </c>
      <c r="O39" s="431" t="s">
        <v>3618</v>
      </c>
      <c r="P39" s="436"/>
      <c r="Q39" s="437">
        <f t="shared" si="3"/>
        <v>4758382</v>
      </c>
      <c r="S39" s="438" t="b">
        <v>0</v>
      </c>
      <c r="T39" s="439" t="e">
        <f>VLOOKUP(A39,'OFICIO '!A:J,10,0)</f>
        <v>#N/A</v>
      </c>
    </row>
    <row r="40" spans="1:20" s="48" customFormat="1">
      <c r="A40" s="510">
        <v>3728601</v>
      </c>
      <c r="B40" s="430">
        <f>VLOOKUP(A40,Export!A:N,14,0)</f>
        <v>20782949</v>
      </c>
      <c r="C40" s="430" t="str">
        <f>VLOOKUP(A40,Export!A:P,16,0)</f>
        <v>DAFNE DENISSE REYES LEIVA</v>
      </c>
      <c r="D40" s="431" t="str">
        <f>VLOOKUP(A40,Export!A:H,8,0)</f>
        <v>61-90</v>
      </c>
      <c r="E40" s="431" t="str">
        <f>VLOOKUP(A40,Export!A:I,9,0)</f>
        <v>61-90</v>
      </c>
      <c r="F40" s="431" t="s">
        <v>3491</v>
      </c>
      <c r="G40" s="431" t="str">
        <f>VLOOKUP(A40,Export!A:AH,34,0)</f>
        <v>NO RECUPERADO</v>
      </c>
      <c r="H40" s="432" t="s">
        <v>3617</v>
      </c>
      <c r="I40" s="431">
        <v>3</v>
      </c>
      <c r="J40" s="431">
        <f>VLOOKUP(A40,Export!A:B,2,0)</f>
        <v>88</v>
      </c>
      <c r="K40" s="433">
        <f>VLOOKUP(A40,Export!A:R,18,0)</f>
        <v>418.15</v>
      </c>
      <c r="L40" s="433">
        <f>VLOOKUP(A40,Export!A:D,4,0)</f>
        <v>12538556</v>
      </c>
      <c r="M40" s="434">
        <f t="shared" si="2"/>
        <v>1254.4499999999998</v>
      </c>
      <c r="N40" s="440">
        <v>46227</v>
      </c>
      <c r="O40" s="431" t="s">
        <v>3621</v>
      </c>
      <c r="P40" s="436"/>
      <c r="Q40" s="437">
        <f t="shared" si="3"/>
        <v>0</v>
      </c>
      <c r="S40" s="438" t="b">
        <v>0</v>
      </c>
      <c r="T40" s="439" t="e">
        <f>VLOOKUP(A40,'OFICIO '!A:J,10,0)</f>
        <v>#N/A</v>
      </c>
    </row>
    <row r="41" spans="1:20" s="48" customFormat="1" hidden="1">
      <c r="A41" s="510">
        <v>3468638</v>
      </c>
      <c r="B41" s="430">
        <f>VLOOKUP(A41,Export!A:N,14,0)</f>
        <v>21240406</v>
      </c>
      <c r="C41" s="430" t="str">
        <f>VLOOKUP(A41,Export!A:P,16,0)</f>
        <v>MIGUEL ALEJANDRO THOMAS RIVADERA</v>
      </c>
      <c r="D41" s="431" t="str">
        <f>VLOOKUP(A41,Export!A:H,8,0)</f>
        <v>121-150</v>
      </c>
      <c r="E41" s="431" t="str">
        <f>VLOOKUP(A41,Export!A:I,9,0)</f>
        <v>151-180</v>
      </c>
      <c r="F41" s="431" t="s">
        <v>3616</v>
      </c>
      <c r="G41" s="431" t="str">
        <f>VLOOKUP(A41,Export!A:AH,34,0)</f>
        <v>NO RECUPERADO</v>
      </c>
      <c r="H41" s="432" t="s">
        <v>3617</v>
      </c>
      <c r="I41" s="431">
        <v>1</v>
      </c>
      <c r="J41" s="431">
        <f>VLOOKUP(A41,Export!A:B,2,0)</f>
        <v>165</v>
      </c>
      <c r="K41" s="433">
        <f>VLOOKUP(A41,Export!A:R,18,0)</f>
        <v>270.19799999999998</v>
      </c>
      <c r="L41" s="433">
        <f>VLOOKUP(A41,Export!A:D,4,0)</f>
        <v>7376704</v>
      </c>
      <c r="M41" s="434">
        <f t="shared" si="2"/>
        <v>270.19799999999998</v>
      </c>
      <c r="N41" s="435">
        <v>46226</v>
      </c>
      <c r="O41" s="431" t="s">
        <v>3621</v>
      </c>
      <c r="P41" s="436"/>
      <c r="Q41" s="437">
        <f t="shared" si="3"/>
        <v>0</v>
      </c>
      <c r="S41" s="438" t="b">
        <v>0</v>
      </c>
      <c r="T41" s="439" t="e">
        <f>VLOOKUP(A41,'OFICIO '!A:J,10,0)</f>
        <v>#N/A</v>
      </c>
    </row>
    <row r="42" spans="1:20" s="48" customFormat="1" hidden="1">
      <c r="A42" s="510">
        <v>3534190</v>
      </c>
      <c r="B42" s="430">
        <f>VLOOKUP(A42,Export!A:N,14,0)</f>
        <v>13478543</v>
      </c>
      <c r="C42" s="430" t="str">
        <f>VLOOKUP(A42,Export!A:P,16,0)</f>
        <v>JUAN LUIS RETAMAL PICHIPIL</v>
      </c>
      <c r="D42" s="431" t="str">
        <f>VLOOKUP(A42,Export!A:H,8,0)</f>
        <v>121-150</v>
      </c>
      <c r="E42" s="431" t="str">
        <f>VLOOKUP(A42,Export!A:I,9,0)</f>
        <v>61-90</v>
      </c>
      <c r="F42" s="431" t="s">
        <v>3616</v>
      </c>
      <c r="G42" s="431" t="str">
        <f>VLOOKUP(A42,Export!A:AH,34,0)</f>
        <v>CONTENIDO</v>
      </c>
      <c r="H42" s="432" t="s">
        <v>3617</v>
      </c>
      <c r="I42" s="431">
        <v>2</v>
      </c>
      <c r="J42" s="431">
        <f>VLOOKUP(A42,Export!A:B,2,0)</f>
        <v>80</v>
      </c>
      <c r="K42" s="433">
        <f>VLOOKUP(A42,Export!A:R,18,0)</f>
        <v>257.74900000000002</v>
      </c>
      <c r="L42" s="433">
        <f>VLOOKUP(A42,Export!A:D,4,0)</f>
        <v>6649242</v>
      </c>
      <c r="M42" s="434">
        <f t="shared" si="2"/>
        <v>515.49800000000005</v>
      </c>
      <c r="N42" s="440">
        <v>46227</v>
      </c>
      <c r="O42" s="431" t="s">
        <v>3618</v>
      </c>
      <c r="P42" s="436"/>
      <c r="Q42" s="437">
        <f t="shared" si="3"/>
        <v>6649242</v>
      </c>
      <c r="R42" s="48" t="s">
        <v>3630</v>
      </c>
      <c r="S42" s="438" t="b">
        <v>0</v>
      </c>
      <c r="T42" s="439" t="e">
        <f>VLOOKUP(A42,'OFICIO '!A:J,10,0)</f>
        <v>#N/A</v>
      </c>
    </row>
    <row r="43" spans="1:20" s="48" customFormat="1" hidden="1">
      <c r="A43" s="510">
        <v>1793060</v>
      </c>
      <c r="B43" s="430">
        <f>VLOOKUP(A43,Export!A:N,14,0)</f>
        <v>14562732</v>
      </c>
      <c r="C43" s="430" t="str">
        <f>VLOOKUP(A43,Export!A:P,16,0)</f>
        <v>ALEJANDRO ANTONIO VARGAS VERGARA</v>
      </c>
      <c r="D43" s="431" t="str">
        <f>VLOOKUP(A43,Export!A:H,8,0)</f>
        <v>121-150</v>
      </c>
      <c r="E43" s="431" t="str">
        <f>VLOOKUP(A43,Export!A:I,9,0)</f>
        <v>151-180</v>
      </c>
      <c r="F43" s="431" t="s">
        <v>3616</v>
      </c>
      <c r="G43" s="431" t="str">
        <f>VLOOKUP(A43,Export!A:AH,34,0)</f>
        <v>NO RECUPERADO</v>
      </c>
      <c r="H43" s="432" t="s">
        <v>3617</v>
      </c>
      <c r="I43" s="431">
        <v>1</v>
      </c>
      <c r="J43" s="431">
        <f>VLOOKUP(A43,Export!A:B,2,0)</f>
        <v>164</v>
      </c>
      <c r="K43" s="433">
        <f>VLOOKUP(A43,Export!A:R,18,0)</f>
        <v>320.28699999999998</v>
      </c>
      <c r="L43" s="433">
        <f>VLOOKUP(A43,Export!A:D,4,0)</f>
        <v>621128</v>
      </c>
      <c r="M43" s="434">
        <f t="shared" si="2"/>
        <v>320.28699999999998</v>
      </c>
      <c r="N43" s="440">
        <v>46224</v>
      </c>
      <c r="O43" s="431" t="s">
        <v>3621</v>
      </c>
      <c r="P43" s="436"/>
      <c r="Q43" s="437">
        <f t="shared" si="3"/>
        <v>0</v>
      </c>
      <c r="R43" s="48" t="s">
        <v>3631</v>
      </c>
      <c r="S43" s="438" t="b">
        <v>0</v>
      </c>
      <c r="T43" s="439" t="e">
        <f>VLOOKUP(A43,'OFICIO '!A:J,10,0)</f>
        <v>#N/A</v>
      </c>
    </row>
    <row r="44" spans="1:20" s="48" customFormat="1">
      <c r="A44" s="510">
        <v>2284509</v>
      </c>
      <c r="B44" s="430">
        <f>VLOOKUP(A44,Export!A:N,14,0)</f>
        <v>15465536</v>
      </c>
      <c r="C44" s="430" t="str">
        <f>VLOOKUP(A44,Export!A:P,16,0)</f>
        <v>HERNAN ALEJANDRO PEÑA ESTRADA</v>
      </c>
      <c r="D44" s="431" t="str">
        <f>VLOOKUP(A44,Export!A:H,8,0)</f>
        <v>61-90</v>
      </c>
      <c r="E44" s="431" t="str">
        <f>VLOOKUP(A44,Export!A:I,9,0)</f>
        <v>61-90</v>
      </c>
      <c r="F44" s="431" t="s">
        <v>3491</v>
      </c>
      <c r="G44" s="431" t="str">
        <f>VLOOKUP(A44,Export!A:AH,34,0)</f>
        <v>CONTENIDO</v>
      </c>
      <c r="H44" s="432" t="s">
        <v>3617</v>
      </c>
      <c r="I44" s="431">
        <v>1</v>
      </c>
      <c r="J44" s="431">
        <f>VLOOKUP(A44,Export!A:B,2,0)</f>
        <v>80</v>
      </c>
      <c r="K44" s="433" t="str">
        <f>VLOOKUP(A44,Export!A:R,18,0)</f>
        <v>1.593.299</v>
      </c>
      <c r="L44" s="433">
        <f>VLOOKUP(A44,Export!A:D,4,0)</f>
        <v>13837185</v>
      </c>
      <c r="M44" s="434" t="e">
        <f t="shared" ref="M44:M68" si="4">IF(H44="PAGO CUOTAS",I44*K44,L44)</f>
        <v>#VALUE!</v>
      </c>
      <c r="N44" s="440">
        <v>46216</v>
      </c>
      <c r="O44" s="431" t="s">
        <v>3618</v>
      </c>
      <c r="P44" s="436"/>
      <c r="Q44" s="437">
        <f t="shared" ref="Q44:Q68" si="5">+SUMIF(O44,"PAGADO",L44)</f>
        <v>13837185</v>
      </c>
      <c r="S44" s="438" t="b">
        <v>0</v>
      </c>
      <c r="T44" s="439" t="e">
        <f>VLOOKUP(A44,'OFICIO '!A:J,10,0)</f>
        <v>#N/A</v>
      </c>
    </row>
    <row r="45" spans="1:20" s="48" customFormat="1" hidden="1">
      <c r="A45" s="510">
        <v>2142176</v>
      </c>
      <c r="B45" s="430">
        <f>VLOOKUP(A45,Export!A:N,14,0)</f>
        <v>17280965</v>
      </c>
      <c r="C45" s="430" t="str">
        <f>VLOOKUP(A45,Export!A:P,16,0)</f>
        <v>CRISTIAN ENRIQUE VILLAGRA YAÑEZ</v>
      </c>
      <c r="D45" s="431" t="str">
        <f>VLOOKUP(A45,Export!A:H,8,0)</f>
        <v>151-180</v>
      </c>
      <c r="E45" s="431" t="str">
        <f>VLOOKUP(A45,Export!A:I,9,0)</f>
        <v>181-210</v>
      </c>
      <c r="F45" s="431" t="s">
        <v>3616</v>
      </c>
      <c r="G45" s="431" t="str">
        <f>VLOOKUP(A45,Export!A:AH,34,0)</f>
        <v>NO RECUPERADO</v>
      </c>
      <c r="H45" s="432" t="s">
        <v>3617</v>
      </c>
      <c r="I45" s="431">
        <v>3</v>
      </c>
      <c r="J45" s="431">
        <f>VLOOKUP(A45,Export!A:B,2,0)</f>
        <v>195</v>
      </c>
      <c r="K45" s="433">
        <f>VLOOKUP(A45,Export!A:R,18,0)</f>
        <v>228.678</v>
      </c>
      <c r="L45" s="433">
        <f>VLOOKUP(A45,Export!A:D,4,0)</f>
        <v>1576260</v>
      </c>
      <c r="M45" s="434">
        <f t="shared" si="4"/>
        <v>686.03399999999999</v>
      </c>
      <c r="N45" s="440">
        <v>46234</v>
      </c>
      <c r="O45" s="431" t="s">
        <v>3621</v>
      </c>
      <c r="P45" s="436"/>
      <c r="Q45" s="437">
        <f t="shared" si="5"/>
        <v>0</v>
      </c>
      <c r="S45" s="438" t="b">
        <v>0</v>
      </c>
      <c r="T45" s="439" t="e">
        <f>VLOOKUP(A45,'OFICIO '!A:J,10,0)</f>
        <v>#N/A</v>
      </c>
    </row>
    <row r="46" spans="1:20" s="48" customFormat="1" hidden="1">
      <c r="A46" s="510">
        <v>3457201</v>
      </c>
      <c r="B46" s="430">
        <f>VLOOKUP(A46,Export!A:N,14,0)</f>
        <v>12034672</v>
      </c>
      <c r="C46" s="430" t="str">
        <f>VLOOKUP(A46,Export!A:P,16,0)</f>
        <v>VIVIANA SOLEDAD AGUSTO AVALOS</v>
      </c>
      <c r="D46" s="431" t="str">
        <f>VLOOKUP(A46,Export!A:H,8,0)</f>
        <v>31-60</v>
      </c>
      <c r="E46" s="431" t="str">
        <f>VLOOKUP(A46,Export!A:I,9,0)</f>
        <v>61-90</v>
      </c>
      <c r="F46" s="431" t="s">
        <v>3620</v>
      </c>
      <c r="G46" s="431" t="str">
        <f>VLOOKUP(A46,Export!A:AH,34,0)</f>
        <v>NO RECUPERADO</v>
      </c>
      <c r="H46" s="432" t="s">
        <v>3617</v>
      </c>
      <c r="I46" s="431">
        <v>3</v>
      </c>
      <c r="J46" s="431">
        <f>VLOOKUP(A46,Export!A:B,2,0)</f>
        <v>68</v>
      </c>
      <c r="K46" s="433">
        <f>VLOOKUP(A46,Export!A:R,18,0)</f>
        <v>412.01900000000001</v>
      </c>
      <c r="L46" s="433">
        <f>VLOOKUP(A46,Export!A:D,4,0)</f>
        <v>12409556</v>
      </c>
      <c r="M46" s="434">
        <f t="shared" si="4"/>
        <v>1236.057</v>
      </c>
      <c r="N46" s="440">
        <v>46227</v>
      </c>
      <c r="O46" s="431" t="s">
        <v>3621</v>
      </c>
      <c r="P46" s="436"/>
      <c r="Q46" s="437">
        <f t="shared" si="5"/>
        <v>0</v>
      </c>
      <c r="S46" s="438" t="b">
        <v>0</v>
      </c>
      <c r="T46" s="439" t="e">
        <f>VLOOKUP(A46,'OFICIO '!A:J,10,0)</f>
        <v>#N/A</v>
      </c>
    </row>
    <row r="47" spans="1:20" s="48" customFormat="1" hidden="1">
      <c r="A47" s="510">
        <v>1307975</v>
      </c>
      <c r="B47" s="430">
        <f>VLOOKUP(A47,Export!A:N,14,0)</f>
        <v>8560731</v>
      </c>
      <c r="C47" s="430" t="str">
        <f>VLOOKUP(A47,Export!A:P,16,0)</f>
        <v>ANA PAOLA VEGA RODRÍGUEZ</v>
      </c>
      <c r="D47" s="431" t="str">
        <f>VLOOKUP(A47,Export!A:H,8,0)</f>
        <v>91-120</v>
      </c>
      <c r="E47" s="431" t="str">
        <f>VLOOKUP(A47,Export!A:I,9,0)</f>
        <v>121-150</v>
      </c>
      <c r="F47" s="431" t="s">
        <v>3616</v>
      </c>
      <c r="G47" s="431" t="str">
        <f>VLOOKUP(A47,Export!A:AH,34,0)</f>
        <v>NO RECUPERADO</v>
      </c>
      <c r="H47" s="432" t="s">
        <v>3617</v>
      </c>
      <c r="I47" s="431">
        <v>3</v>
      </c>
      <c r="J47" s="431">
        <f>VLOOKUP(A47,Export!A:B,2,0)</f>
        <v>137</v>
      </c>
      <c r="K47" s="433">
        <f>VLOOKUP(A47,Export!A:R,18,0)</f>
        <v>208.16900000000001</v>
      </c>
      <c r="L47" s="433">
        <f>VLOOKUP(A47,Export!A:D,4,0)</f>
        <v>990073</v>
      </c>
      <c r="M47" s="434">
        <f t="shared" si="4"/>
        <v>624.50700000000006</v>
      </c>
      <c r="N47" s="435">
        <v>46234</v>
      </c>
      <c r="O47" s="431" t="s">
        <v>3621</v>
      </c>
      <c r="P47" s="436"/>
      <c r="Q47" s="437">
        <f t="shared" si="5"/>
        <v>0</v>
      </c>
      <c r="S47" s="438" t="b">
        <v>0</v>
      </c>
      <c r="T47" s="439" t="e">
        <f>VLOOKUP(A47,'OFICIO '!A:J,10,0)</f>
        <v>#N/A</v>
      </c>
    </row>
    <row r="48" spans="1:20" s="48" customFormat="1" hidden="1">
      <c r="A48" s="510">
        <v>3353242</v>
      </c>
      <c r="B48" s="430">
        <f>VLOOKUP(A48,Export!A:N,14,0)</f>
        <v>17499289</v>
      </c>
      <c r="C48" s="430" t="str">
        <f>VLOOKUP(A48,Export!A:P,16,0)</f>
        <v>JAIRO ABEL SAEZ NAVARRO</v>
      </c>
      <c r="D48" s="431" t="str">
        <f>VLOOKUP(A48,Export!A:H,8,0)</f>
        <v>181-210</v>
      </c>
      <c r="E48" s="431" t="str">
        <f>VLOOKUP(A48,Export!A:I,9,0)</f>
        <v>61-90</v>
      </c>
      <c r="F48" s="431" t="s">
        <v>3616</v>
      </c>
      <c r="G48" s="431" t="str">
        <f>VLOOKUP(A48,Export!A:AH,34,0)</f>
        <v>BAJA90</v>
      </c>
      <c r="H48" s="432" t="s">
        <v>3617</v>
      </c>
      <c r="I48" s="431">
        <v>5</v>
      </c>
      <c r="J48" s="431">
        <f>VLOOKUP(A48,Export!A:B,2,0)</f>
        <v>66</v>
      </c>
      <c r="K48" s="433">
        <f>VLOOKUP(A48,Export!A:R,18,0)</f>
        <v>118.04300000000001</v>
      </c>
      <c r="L48" s="433">
        <f>VLOOKUP(A48,Export!A:D,4,0)</f>
        <v>4026591</v>
      </c>
      <c r="M48" s="434">
        <f t="shared" si="4"/>
        <v>590.21500000000003</v>
      </c>
      <c r="N48" s="440">
        <v>46218</v>
      </c>
      <c r="O48" s="431" t="s">
        <v>3618</v>
      </c>
      <c r="P48" s="436"/>
      <c r="Q48" s="437">
        <f t="shared" si="5"/>
        <v>4026591</v>
      </c>
      <c r="R48" s="48" t="s">
        <v>3632</v>
      </c>
      <c r="S48" s="438" t="b">
        <v>0</v>
      </c>
      <c r="T48" s="439" t="e">
        <f>VLOOKUP(A48,'OFICIO '!A:J,10,0)</f>
        <v>#N/A</v>
      </c>
    </row>
    <row r="49" spans="1:20" s="48" customFormat="1" hidden="1">
      <c r="A49" s="510">
        <v>3253109</v>
      </c>
      <c r="B49" s="430">
        <f>VLOOKUP(A49,Export!A:N,14,0)</f>
        <v>14242600</v>
      </c>
      <c r="C49" s="430" t="str">
        <f>VLOOKUP(A49,Export!A:P,16,0)</f>
        <v>JULIETA ADRIANA HENRÍQUEZ CAAMAÑO</v>
      </c>
      <c r="D49" s="431" t="str">
        <f>VLOOKUP(A49,Export!A:H,8,0)</f>
        <v>151-180</v>
      </c>
      <c r="E49" s="431" t="str">
        <f>VLOOKUP(A49,Export!A:I,9,0)</f>
        <v>181-210</v>
      </c>
      <c r="F49" s="431" t="s">
        <v>3616</v>
      </c>
      <c r="G49" s="431" t="str">
        <f>VLOOKUP(A49,Export!A:AH,34,0)</f>
        <v>NO RECUPERADO</v>
      </c>
      <c r="H49" s="432" t="s">
        <v>3617</v>
      </c>
      <c r="I49" s="431">
        <v>4</v>
      </c>
      <c r="J49" s="431">
        <f>VLOOKUP(A49,Export!A:B,2,0)</f>
        <v>196</v>
      </c>
      <c r="K49" s="433">
        <f>VLOOKUP(A49,Export!A:R,18,0)</f>
        <v>397.005</v>
      </c>
      <c r="L49" s="433">
        <f>VLOOKUP(A49,Export!A:D,4,0)</f>
        <v>10350477</v>
      </c>
      <c r="M49" s="434">
        <f>IF(H49="PAGO CUOTAS",I49*K49,L49)</f>
        <v>1588.02</v>
      </c>
      <c r="N49" s="435">
        <v>46227</v>
      </c>
      <c r="O49" s="431" t="s">
        <v>3621</v>
      </c>
      <c r="P49" s="436"/>
      <c r="Q49" s="437">
        <f t="shared" si="5"/>
        <v>0</v>
      </c>
      <c r="S49" s="438" t="b">
        <v>0</v>
      </c>
      <c r="T49" s="439" t="e">
        <f>VLOOKUP(A49,'OFICIO '!A:J,10,0)</f>
        <v>#N/A</v>
      </c>
    </row>
    <row r="50" spans="1:20" s="48" customFormat="1" hidden="1">
      <c r="A50" s="510">
        <v>3425380</v>
      </c>
      <c r="B50" s="430">
        <f>VLOOKUP(A50,Export!A:N,14,0)</f>
        <v>10498341</v>
      </c>
      <c r="C50" s="430" t="str">
        <f>VLOOKUP(A50,Export!A:P,16,0)</f>
        <v>PEDRO EDUARDO RAMIREZ VIDAL</v>
      </c>
      <c r="D50" s="431" t="str">
        <f>VLOOKUP(A50,Export!A:H,8,0)</f>
        <v>151-180</v>
      </c>
      <c r="E50" s="431" t="str">
        <f>VLOOKUP(A50,Export!A:I,9,0)</f>
        <v>181-210</v>
      </c>
      <c r="F50" s="431" t="s">
        <v>3616</v>
      </c>
      <c r="G50" s="431" t="str">
        <f>VLOOKUP(A50,Export!A:AH,34,0)</f>
        <v>NO RECUPERADO</v>
      </c>
      <c r="H50" s="432" t="s">
        <v>3617</v>
      </c>
      <c r="I50" s="431">
        <v>5</v>
      </c>
      <c r="J50" s="431">
        <f>VLOOKUP(A50,Export!A:B,2,0)</f>
        <v>198</v>
      </c>
      <c r="K50" s="433">
        <f>VLOOKUP(A50,Export!A:R,18,0)</f>
        <v>335.67700000000002</v>
      </c>
      <c r="L50" s="433">
        <f>VLOOKUP(A50,Export!A:D,4,0)</f>
        <v>9223296</v>
      </c>
      <c r="M50" s="434">
        <f t="shared" si="4"/>
        <v>1678.3850000000002</v>
      </c>
      <c r="N50" s="435">
        <v>46223</v>
      </c>
      <c r="O50" s="431" t="s">
        <v>3618</v>
      </c>
      <c r="P50" s="436"/>
      <c r="Q50" s="437">
        <f t="shared" si="5"/>
        <v>9223296</v>
      </c>
      <c r="S50" s="438" t="b">
        <v>0</v>
      </c>
      <c r="T50" s="439" t="e">
        <f>VLOOKUP(A50,'OFICIO '!A:J,10,0)</f>
        <v>#N/A</v>
      </c>
    </row>
    <row r="51" spans="1:20" s="48" customFormat="1" hidden="1">
      <c r="A51" s="510">
        <v>3559382</v>
      </c>
      <c r="B51" s="430">
        <f>VLOOKUP(A51,Export!A:N,14,0)</f>
        <v>15437007</v>
      </c>
      <c r="C51" s="430" t="str">
        <f>VLOOKUP(A51,Export!A:P,16,0)</f>
        <v>ADRIANA DE LOURDES VIELMA MACHUCA</v>
      </c>
      <c r="D51" s="431" t="str">
        <f>VLOOKUP(A51,Export!A:H,8,0)</f>
        <v>151-180</v>
      </c>
      <c r="E51" s="431" t="str">
        <f>VLOOKUP(A51,Export!A:I,9,0)</f>
        <v>181-210</v>
      </c>
      <c r="F51" s="431" t="s">
        <v>3616</v>
      </c>
      <c r="G51" s="431" t="str">
        <f>VLOOKUP(A51,Export!A:AH,34,0)</f>
        <v>NO RECUPERADO</v>
      </c>
      <c r="H51" s="432" t="s">
        <v>3617</v>
      </c>
      <c r="I51" s="431">
        <v>5</v>
      </c>
      <c r="J51" s="431">
        <f>VLOOKUP(A51,Export!A:B,2,0)</f>
        <v>198</v>
      </c>
      <c r="K51" s="433">
        <f>VLOOKUP(A51,Export!A:R,18,0)</f>
        <v>326.37</v>
      </c>
      <c r="L51" s="433">
        <f>VLOOKUP(A51,Export!A:D,4,0)</f>
        <v>9566857</v>
      </c>
      <c r="M51" s="434">
        <f>IF(H51="PAGO CUOTAS",I51*K51,L51)</f>
        <v>1631.85</v>
      </c>
      <c r="N51" s="508">
        <v>46226</v>
      </c>
      <c r="O51" s="431" t="s">
        <v>3621</v>
      </c>
      <c r="P51" s="436"/>
      <c r="Q51" s="437">
        <f t="shared" si="5"/>
        <v>0</v>
      </c>
      <c r="S51" s="438" t="b">
        <v>0</v>
      </c>
      <c r="T51" s="439" t="e">
        <f>VLOOKUP(A51,'OFICIO '!A:J,10,0)</f>
        <v>#N/A</v>
      </c>
    </row>
    <row r="52" spans="1:20" s="48" customFormat="1" hidden="1">
      <c r="A52" s="510">
        <v>3509994</v>
      </c>
      <c r="B52" s="430">
        <f>VLOOKUP(A52,Export!A:N,14,0)</f>
        <v>15974000</v>
      </c>
      <c r="C52" s="430" t="str">
        <f>VLOOKUP(A52,Export!A:P,16,0)</f>
        <v>ROMINA ALEJANDRA  TENORIO  ASTUDILLO</v>
      </c>
      <c r="D52" s="431" t="str">
        <f>VLOOKUP(A52,Export!A:H,8,0)</f>
        <v>121-150</v>
      </c>
      <c r="E52" s="431" t="str">
        <f>VLOOKUP(A52,Export!A:I,9,0)</f>
        <v>61-90</v>
      </c>
      <c r="F52" s="431" t="s">
        <v>3616</v>
      </c>
      <c r="G52" s="431" t="str">
        <f>VLOOKUP(A52,Export!A:AH,34,0)</f>
        <v>BAJA90</v>
      </c>
      <c r="H52" s="432" t="s">
        <v>3617</v>
      </c>
      <c r="I52" s="431">
        <v>3</v>
      </c>
      <c r="J52" s="431">
        <f>VLOOKUP(A52,Export!A:B,2,0)</f>
        <v>61</v>
      </c>
      <c r="K52" s="433">
        <f>VLOOKUP(A52,Export!A:R,18,0)</f>
        <v>231.38200000000001</v>
      </c>
      <c r="L52" s="433">
        <f>VLOOKUP(A52,Export!A:D,4,0)</f>
        <v>3807891</v>
      </c>
      <c r="M52" s="434">
        <f t="shared" si="4"/>
        <v>694.14599999999996</v>
      </c>
      <c r="N52" s="440">
        <v>46218</v>
      </c>
      <c r="O52" s="431" t="s">
        <v>3618</v>
      </c>
      <c r="P52" s="436"/>
      <c r="Q52" s="437">
        <f t="shared" si="5"/>
        <v>3807891</v>
      </c>
      <c r="S52" s="438" t="b">
        <v>0</v>
      </c>
      <c r="T52" s="439" t="e">
        <f>VLOOKUP(A52,'OFICIO '!A:J,10,0)</f>
        <v>#N/A</v>
      </c>
    </row>
    <row r="53" spans="1:20" s="48" customFormat="1" hidden="1">
      <c r="A53" s="510">
        <v>2472050</v>
      </c>
      <c r="B53" s="430">
        <f>VLOOKUP(A53,Export!A:N,14,0)</f>
        <v>11647024</v>
      </c>
      <c r="C53" s="430" t="str">
        <f>VLOOKUP(A53,Export!A:P,16,0)</f>
        <v>JOHANNA LUISA CERDA ROJAS</v>
      </c>
      <c r="D53" s="431" t="str">
        <f>VLOOKUP(A53,Export!A:H,8,0)</f>
        <v>121-150</v>
      </c>
      <c r="E53" s="431" t="str">
        <f>VLOOKUP(A53,Export!A:I,9,0)</f>
        <v>151-180</v>
      </c>
      <c r="F53" s="431">
        <v>90</v>
      </c>
      <c r="G53" s="431" t="str">
        <f>VLOOKUP(A53,Export!A:AH,34,0)</f>
        <v>NO RECUPERADO</v>
      </c>
      <c r="H53" s="432" t="s">
        <v>3617</v>
      </c>
      <c r="I53" s="431">
        <v>3</v>
      </c>
      <c r="J53" s="431">
        <f>VLOOKUP(A53,Export!A:B,2,0)</f>
        <v>169</v>
      </c>
      <c r="K53" s="433">
        <f>VLOOKUP(A53,Export!A:R,18,0)</f>
        <v>224.93</v>
      </c>
      <c r="L53" s="433">
        <f>VLOOKUP(A53,Export!A:D,4,0)</f>
        <v>2840554</v>
      </c>
      <c r="M53" s="434">
        <f t="shared" si="4"/>
        <v>674.79</v>
      </c>
      <c r="N53" s="440">
        <v>46224</v>
      </c>
      <c r="O53" s="431" t="s">
        <v>3621</v>
      </c>
      <c r="P53" s="436"/>
      <c r="Q53" s="437">
        <f t="shared" si="5"/>
        <v>0</v>
      </c>
      <c r="S53" s="438" t="b">
        <v>0</v>
      </c>
      <c r="T53" s="439" t="e">
        <f>VLOOKUP(A53,'OFICIO '!A:J,10,0)</f>
        <v>#N/A</v>
      </c>
    </row>
    <row r="54" spans="1:20" s="363" customFormat="1" hidden="1">
      <c r="A54" s="511">
        <v>2142176</v>
      </c>
      <c r="B54" s="512">
        <f>VLOOKUP(A54,Export!A:N,14,0)</f>
        <v>17280965</v>
      </c>
      <c r="C54" s="512" t="str">
        <f>VLOOKUP(A54,Export!A:P,16,0)</f>
        <v>CRISTIAN ENRIQUE VILLAGRA YAÑEZ</v>
      </c>
      <c r="D54" s="513" t="str">
        <f>VLOOKUP(A54,Export!A:H,8,0)</f>
        <v>151-180</v>
      </c>
      <c r="E54" s="513" t="str">
        <f>VLOOKUP(A54,Export!A:I,9,0)</f>
        <v>181-210</v>
      </c>
      <c r="F54" s="513" t="s">
        <v>3616</v>
      </c>
      <c r="G54" s="513" t="str">
        <f>VLOOKUP(A54,Export!A:AH,34,0)</f>
        <v>NO RECUPERADO</v>
      </c>
      <c r="H54" s="514" t="s">
        <v>3617</v>
      </c>
      <c r="I54" s="513">
        <v>3</v>
      </c>
      <c r="J54" s="513">
        <f>VLOOKUP(A54,Export!A:B,2,0)</f>
        <v>195</v>
      </c>
      <c r="K54" s="515">
        <f>VLOOKUP(A54,Export!A:R,18,0)</f>
        <v>228.678</v>
      </c>
      <c r="L54" s="515">
        <f>VLOOKUP(A54,Export!A:D,4,0)</f>
        <v>1576260</v>
      </c>
      <c r="M54" s="516">
        <f>IF(H54="PAGO CUOTAS",I54*K54,L54)</f>
        <v>686.03399999999999</v>
      </c>
      <c r="N54" s="517">
        <v>46233</v>
      </c>
      <c r="O54" s="513" t="s">
        <v>3621</v>
      </c>
      <c r="P54" s="518"/>
      <c r="Q54" s="519">
        <f t="shared" si="5"/>
        <v>0</v>
      </c>
      <c r="S54" s="520" t="b">
        <v>0</v>
      </c>
      <c r="T54" s="521" t="e">
        <f>VLOOKUP(A54,'OFICIO '!A:J,10,0)</f>
        <v>#N/A</v>
      </c>
    </row>
    <row r="55" spans="1:20" s="48" customFormat="1" hidden="1">
      <c r="A55" s="510">
        <v>3334914</v>
      </c>
      <c r="B55" s="430">
        <f>VLOOKUP(A55,Export!A:N,14,0)</f>
        <v>9507551</v>
      </c>
      <c r="C55" s="430" t="str">
        <f>VLOOKUP(A55,Export!A:P,16,0)</f>
        <v>JUAN LUIS HERNANDEZ ALMONACID</v>
      </c>
      <c r="D55" s="431" t="str">
        <f>VLOOKUP(A55,Export!A:H,8,0)</f>
        <v>121-150</v>
      </c>
      <c r="E55" s="431" t="str">
        <f>VLOOKUP(A55,Export!A:I,9,0)</f>
        <v>151-180</v>
      </c>
      <c r="F55" s="431" t="s">
        <v>3616</v>
      </c>
      <c r="G55" s="431" t="str">
        <f>VLOOKUP(A55,Export!A:AH,34,0)</f>
        <v>NO RECUPERADO</v>
      </c>
      <c r="H55" s="432" t="s">
        <v>3617</v>
      </c>
      <c r="I55" s="431">
        <v>3</v>
      </c>
      <c r="J55" s="431">
        <f>VLOOKUP(A55,Export!A:B,2,0)</f>
        <v>165</v>
      </c>
      <c r="K55" s="433">
        <f>VLOOKUP(A55,Export!A:R,18,0)</f>
        <v>367.18599999999998</v>
      </c>
      <c r="L55" s="433">
        <f>VLOOKUP(A55,Export!A:D,4,0)</f>
        <v>10255953</v>
      </c>
      <c r="M55" s="434">
        <f t="shared" si="4"/>
        <v>1101.558</v>
      </c>
      <c r="N55" s="440">
        <v>46223</v>
      </c>
      <c r="O55" s="431" t="s">
        <v>3621</v>
      </c>
      <c r="P55" s="436"/>
      <c r="Q55" s="437">
        <f t="shared" si="5"/>
        <v>0</v>
      </c>
      <c r="S55" s="438" t="b">
        <v>0</v>
      </c>
      <c r="T55" s="439" t="e">
        <f>VLOOKUP(A55,'OFICIO '!A:J,10,0)</f>
        <v>#N/A</v>
      </c>
    </row>
    <row r="56" spans="1:20" s="48" customFormat="1" hidden="1">
      <c r="A56" s="510">
        <v>1793060</v>
      </c>
      <c r="B56" s="430">
        <f>VLOOKUP(A56,Export!A:N,14,0)</f>
        <v>14562732</v>
      </c>
      <c r="C56" s="430" t="str">
        <f>VLOOKUP(A56,Export!A:P,16,0)</f>
        <v>ALEJANDRO ANTONIO VARGAS VERGARA</v>
      </c>
      <c r="D56" s="431" t="str">
        <f>VLOOKUP(A56,Export!A:H,8,0)</f>
        <v>121-150</v>
      </c>
      <c r="E56" s="431" t="str">
        <f>VLOOKUP(A56,Export!A:I,9,0)</f>
        <v>151-180</v>
      </c>
      <c r="F56" s="431" t="s">
        <v>3616</v>
      </c>
      <c r="G56" s="431" t="str">
        <f>VLOOKUP(A56,Export!A:AH,34,0)</f>
        <v>NO RECUPERADO</v>
      </c>
      <c r="H56" s="432" t="s">
        <v>3617</v>
      </c>
      <c r="I56" s="431">
        <v>2</v>
      </c>
      <c r="J56" s="431">
        <f>VLOOKUP(A56,Export!A:B,2,0)</f>
        <v>164</v>
      </c>
      <c r="K56" s="433">
        <f>VLOOKUP(A56,Export!A:R,18,0)</f>
        <v>320.28699999999998</v>
      </c>
      <c r="L56" s="433">
        <f>VLOOKUP(A56,Export!A:D,4,0)</f>
        <v>621128</v>
      </c>
      <c r="M56" s="434">
        <f t="shared" si="4"/>
        <v>640.57399999999996</v>
      </c>
      <c r="N56" s="440">
        <v>46224</v>
      </c>
      <c r="O56" s="431" t="s">
        <v>3621</v>
      </c>
      <c r="P56" s="436"/>
      <c r="Q56" s="437">
        <f t="shared" si="5"/>
        <v>0</v>
      </c>
      <c r="S56" s="438" t="b">
        <v>0</v>
      </c>
      <c r="T56" s="439" t="e">
        <f>VLOOKUP(A56,'OFICIO '!A:J,10,0)</f>
        <v>#N/A</v>
      </c>
    </row>
    <row r="57" spans="1:20" s="48" customFormat="1" hidden="1">
      <c r="A57" s="510">
        <v>3033889</v>
      </c>
      <c r="B57" s="430">
        <f>VLOOKUP(A57,Export!A:N,14,0)</f>
        <v>17440023</v>
      </c>
      <c r="C57" s="430" t="str">
        <f>VLOOKUP(A57,Export!A:P,16,0)</f>
        <v>FRANCISCO JAVIER AYULEF LARA</v>
      </c>
      <c r="D57" s="431" t="str">
        <f>VLOOKUP(A57,Export!A:H,8,0)</f>
        <v>181-210</v>
      </c>
      <c r="E57" s="431" t="str">
        <f>VLOOKUP(A57,Export!A:I,9,0)</f>
        <v>211-240</v>
      </c>
      <c r="F57" s="431" t="s">
        <v>3616</v>
      </c>
      <c r="G57" s="431" t="str">
        <f>VLOOKUP(A57,Export!A:AH,34,0)</f>
        <v>NO RECUPERADO</v>
      </c>
      <c r="H57" s="432" t="s">
        <v>3617</v>
      </c>
      <c r="I57" s="431">
        <v>8</v>
      </c>
      <c r="J57" s="431">
        <f>VLOOKUP(A57,Export!A:B,2,0)</f>
        <v>222</v>
      </c>
      <c r="K57" s="433">
        <f>VLOOKUP(A57,Export!A:R,18,0)</f>
        <v>116.027</v>
      </c>
      <c r="L57" s="433">
        <f>VLOOKUP(A57,Export!A:D,4,0)</f>
        <v>1884519</v>
      </c>
      <c r="M57" s="434">
        <f t="shared" si="4"/>
        <v>928.21600000000001</v>
      </c>
      <c r="N57" s="440">
        <v>46234</v>
      </c>
      <c r="O57" s="431" t="s">
        <v>3621</v>
      </c>
      <c r="P57" s="436"/>
      <c r="Q57" s="437">
        <f t="shared" si="5"/>
        <v>0</v>
      </c>
      <c r="S57" s="438" t="b">
        <v>0</v>
      </c>
      <c r="T57" s="439" t="e">
        <f>VLOOKUP(A57,'OFICIO '!A:J,10,0)</f>
        <v>#N/A</v>
      </c>
    </row>
    <row r="58" spans="1:20" s="48" customFormat="1" hidden="1">
      <c r="A58" s="510">
        <v>2671637</v>
      </c>
      <c r="B58" s="430">
        <f>VLOOKUP(A58,Export!A:N,14,0)</f>
        <v>13865701</v>
      </c>
      <c r="C58" s="430" t="str">
        <f>VLOOKUP(A58,Export!A:P,16,0)</f>
        <v>CARLOS ALBERTO MANRIQUEZ GARCIA</v>
      </c>
      <c r="D58" s="431" t="str">
        <f>VLOOKUP(A58,Export!A:H,8,0)</f>
        <v>121-150</v>
      </c>
      <c r="E58" s="431" t="str">
        <f>VLOOKUP(A58,Export!A:I,9,0)</f>
        <v>151-180</v>
      </c>
      <c r="F58" s="431" t="s">
        <v>3616</v>
      </c>
      <c r="G58" s="431" t="str">
        <f>VLOOKUP(A58,Export!A:AH,34,0)</f>
        <v>NO RECUPERADO</v>
      </c>
      <c r="H58" s="432" t="s">
        <v>3617</v>
      </c>
      <c r="I58" s="431">
        <v>3</v>
      </c>
      <c r="J58" s="431">
        <f>VLOOKUP(A58,Export!A:B,2,0)</f>
        <v>160</v>
      </c>
      <c r="K58" s="433">
        <f>VLOOKUP(A58,Export!A:R,18,0)</f>
        <v>376.36</v>
      </c>
      <c r="L58" s="433">
        <f>VLOOKUP(A58,Export!A:D,4,0)</f>
        <v>5817589</v>
      </c>
      <c r="M58" s="434">
        <f t="shared" si="4"/>
        <v>1129.08</v>
      </c>
      <c r="N58" s="440">
        <v>46234</v>
      </c>
      <c r="O58" s="431" t="s">
        <v>3621</v>
      </c>
      <c r="P58" s="436"/>
      <c r="Q58" s="437">
        <f t="shared" si="5"/>
        <v>0</v>
      </c>
      <c r="S58" s="438" t="b">
        <v>0</v>
      </c>
      <c r="T58" s="439" t="e">
        <f>VLOOKUP(A58,'OFICIO '!A:J,10,0)</f>
        <v>#N/A</v>
      </c>
    </row>
    <row r="59" spans="1:20" s="48" customFormat="1" hidden="1">
      <c r="A59" s="510">
        <v>2678831</v>
      </c>
      <c r="B59" s="430">
        <f>VLOOKUP(A59,Export!A:N,14,0)</f>
        <v>26423358</v>
      </c>
      <c r="C59" s="430" t="str">
        <f>VLOOKUP(A59,Export!A:P,16,0)</f>
        <v>CARLOS EDUARDO  GUERRA YAÑEZ</v>
      </c>
      <c r="D59" s="431" t="str">
        <f>VLOOKUP(A59,Export!A:H,8,0)</f>
        <v>31-60</v>
      </c>
      <c r="E59" s="431" t="str">
        <f>VLOOKUP(A59,Export!A:I,9,0)</f>
        <v>31-60</v>
      </c>
      <c r="F59" s="431" t="s">
        <v>3620</v>
      </c>
      <c r="G59" s="431" t="str">
        <f>VLOOKUP(A59,Export!A:AH,34,0)</f>
        <v>CONTENIDO</v>
      </c>
      <c r="H59" s="432" t="s">
        <v>3617</v>
      </c>
      <c r="I59" s="431">
        <v>1</v>
      </c>
      <c r="J59" s="431">
        <f>VLOOKUP(A59,Export!A:B,2,0)</f>
        <v>40</v>
      </c>
      <c r="K59" s="433">
        <f>VLOOKUP(A59,Export!A:R,18,0)</f>
        <v>203.815</v>
      </c>
      <c r="L59" s="433">
        <f>VLOOKUP(A59,Export!A:D,4,0)</f>
        <v>2891119</v>
      </c>
      <c r="M59" s="434">
        <f>IF(H59="PAGO CUOTAS",I59*K59,L59)</f>
        <v>203.815</v>
      </c>
      <c r="N59" s="440">
        <v>46223</v>
      </c>
      <c r="O59" s="431" t="s">
        <v>3618</v>
      </c>
      <c r="P59" s="436"/>
      <c r="Q59" s="437">
        <f t="shared" si="5"/>
        <v>2891119</v>
      </c>
      <c r="S59" s="438" t="b">
        <v>0</v>
      </c>
      <c r="T59" s="439">
        <f>VLOOKUP(A59,'OFICIO '!A:J,10,0)</f>
        <v>46054</v>
      </c>
    </row>
    <row r="60" spans="1:20" s="48" customFormat="1" hidden="1">
      <c r="A60" s="510">
        <v>3102979</v>
      </c>
      <c r="B60" s="430">
        <f>VLOOKUP(A60,Export!A:N,14,0)</f>
        <v>25491462</v>
      </c>
      <c r="C60" s="430" t="str">
        <f>VLOOKUP(A60,Export!A:P,16,0)</f>
        <v>MARIANTONIETA ZUBILLAGA CACERES</v>
      </c>
      <c r="D60" s="431" t="str">
        <f>VLOOKUP(A60,Export!A:H,8,0)</f>
        <v>121-150</v>
      </c>
      <c r="E60" s="431" t="str">
        <f>VLOOKUP(A60,Export!A:I,9,0)</f>
        <v>151-180</v>
      </c>
      <c r="F60" s="431" t="s">
        <v>3616</v>
      </c>
      <c r="G60" s="431" t="str">
        <f>VLOOKUP(A60,Export!A:AH,34,0)</f>
        <v>NO RECUPERADO</v>
      </c>
      <c r="H60" s="432" t="s">
        <v>3617</v>
      </c>
      <c r="I60" s="431">
        <v>3</v>
      </c>
      <c r="J60" s="431">
        <f>VLOOKUP(A60,Export!A:B,2,0)</f>
        <v>169</v>
      </c>
      <c r="K60" s="433">
        <f>VLOOKUP(A60,Export!A:R,18,0)</f>
        <v>324.755</v>
      </c>
      <c r="L60" s="433">
        <f>VLOOKUP(A60,Export!A:D,4,0)</f>
        <v>7415152</v>
      </c>
      <c r="M60" s="434">
        <f t="shared" si="4"/>
        <v>974.26499999999999</v>
      </c>
      <c r="N60" s="440">
        <v>46225</v>
      </c>
      <c r="O60" s="431" t="s">
        <v>3621</v>
      </c>
      <c r="P60" s="436"/>
      <c r="Q60" s="437">
        <f t="shared" si="5"/>
        <v>0</v>
      </c>
      <c r="S60" s="438" t="b">
        <v>0</v>
      </c>
      <c r="T60" s="439" t="e">
        <f>VLOOKUP(A60,'OFICIO '!A:J,10,0)</f>
        <v>#N/A</v>
      </c>
    </row>
    <row r="61" spans="1:20" s="48" customFormat="1" hidden="1">
      <c r="A61" s="510">
        <v>3172499</v>
      </c>
      <c r="B61" s="430">
        <f>VLOOKUP(A61,Export!A:N,14,0)</f>
        <v>18017458</v>
      </c>
      <c r="C61" s="430" t="str">
        <f>VLOOKUP(A61,Export!A:P,16,0)</f>
        <v>GERARDO AURELIO ANIÑIR ANTIMÁN</v>
      </c>
      <c r="D61" s="431" t="str">
        <f>VLOOKUP(A61,Export!A:H,8,0)</f>
        <v>31-60</v>
      </c>
      <c r="E61" s="431" t="str">
        <f>VLOOKUP(A61,Export!A:I,9,0)</f>
        <v>61-90</v>
      </c>
      <c r="F61" s="431" t="s">
        <v>3620</v>
      </c>
      <c r="G61" s="431" t="str">
        <f>VLOOKUP(A61,Export!A:AH,34,0)</f>
        <v>NO RECUPERADO</v>
      </c>
      <c r="H61" s="432" t="s">
        <v>3617</v>
      </c>
      <c r="I61" s="431">
        <v>1</v>
      </c>
      <c r="J61" s="431">
        <f>VLOOKUP(A61,Export!A:B,2,0)</f>
        <v>61</v>
      </c>
      <c r="K61" s="433">
        <f>VLOOKUP(A61,Export!A:R,18,0)</f>
        <v>174.95400000000001</v>
      </c>
      <c r="L61" s="433">
        <f>VLOOKUP(A61,Export!A:D,4,0)</f>
        <v>3821549</v>
      </c>
      <c r="M61" s="434">
        <f t="shared" si="4"/>
        <v>174.95400000000001</v>
      </c>
      <c r="N61" s="440">
        <v>46223</v>
      </c>
      <c r="O61" s="431" t="s">
        <v>3618</v>
      </c>
      <c r="P61" s="436"/>
      <c r="Q61" s="437">
        <f t="shared" si="5"/>
        <v>3821549</v>
      </c>
      <c r="S61" s="438" t="b">
        <v>0</v>
      </c>
      <c r="T61" s="439" t="e">
        <f>VLOOKUP(A61,'OFICIO '!A:J,10,0)</f>
        <v>#N/A</v>
      </c>
    </row>
    <row r="62" spans="1:20" s="48" customFormat="1" hidden="1">
      <c r="A62" s="510">
        <v>3378278</v>
      </c>
      <c r="B62" s="430">
        <f>VLOOKUP(A62,Export!A:N,14,0)</f>
        <v>10780067</v>
      </c>
      <c r="C62" s="430" t="str">
        <f>VLOOKUP(A62,Export!A:P,16,0)</f>
        <v>HERMAN ROGELIO VELIZ ITE</v>
      </c>
      <c r="D62" s="431" t="str">
        <f>VLOOKUP(A62,Export!A:H,8,0)</f>
        <v>91-120</v>
      </c>
      <c r="E62" s="431" t="str">
        <f>VLOOKUP(A62,Export!A:I,9,0)</f>
        <v>121-150</v>
      </c>
      <c r="F62" s="431" t="s">
        <v>3616</v>
      </c>
      <c r="G62" s="431" t="str">
        <f>VLOOKUP(A62,Export!A:AH,34,0)</f>
        <v>NO RECUPERADO</v>
      </c>
      <c r="H62" s="432" t="s">
        <v>3617</v>
      </c>
      <c r="I62" s="431">
        <v>2</v>
      </c>
      <c r="J62" s="431">
        <f>VLOOKUP(A62,Export!A:B,2,0)</f>
        <v>137</v>
      </c>
      <c r="K62" s="433">
        <f>VLOOKUP(A62,Export!A:R,18,0)</f>
        <v>253.85499999999999</v>
      </c>
      <c r="L62" s="433">
        <f>VLOOKUP(A62,Export!A:D,4,0)</f>
        <v>7299234</v>
      </c>
      <c r="M62" s="434">
        <f t="shared" si="4"/>
        <v>507.71</v>
      </c>
      <c r="N62" s="440">
        <v>46223</v>
      </c>
      <c r="O62" s="431" t="s">
        <v>3621</v>
      </c>
      <c r="P62" s="436"/>
      <c r="Q62" s="437">
        <f t="shared" si="5"/>
        <v>0</v>
      </c>
      <c r="S62" s="438" t="b">
        <v>0</v>
      </c>
      <c r="T62" s="439" t="e">
        <f>VLOOKUP(A62,'OFICIO '!A:J,10,0)</f>
        <v>#N/A</v>
      </c>
    </row>
    <row r="63" spans="1:20" s="48" customFormat="1" hidden="1">
      <c r="A63" s="510">
        <v>3248956</v>
      </c>
      <c r="B63" s="430">
        <f>VLOOKUP(A63,Export!A:N,14,0)</f>
        <v>15744477</v>
      </c>
      <c r="C63" s="430" t="str">
        <f>VLOOKUP(A63,Export!A:P,16,0)</f>
        <v>CARLOS ANDRÉS MATURANA SOTO</v>
      </c>
      <c r="D63" s="431" t="str">
        <f>VLOOKUP(A63,Export!A:H,8,0)</f>
        <v>151-180</v>
      </c>
      <c r="E63" s="431" t="str">
        <f>VLOOKUP(A63,Export!A:I,9,0)</f>
        <v>181-210</v>
      </c>
      <c r="F63" s="431" t="s">
        <v>3616</v>
      </c>
      <c r="G63" s="431" t="str">
        <f>VLOOKUP(A63,Export!A:AH,34,0)</f>
        <v>NO RECUPERADO</v>
      </c>
      <c r="H63" s="432" t="s">
        <v>3617</v>
      </c>
      <c r="I63" s="431">
        <v>4</v>
      </c>
      <c r="J63" s="431">
        <f>VLOOKUP(A63,Export!A:B,2,0)</f>
        <v>196</v>
      </c>
      <c r="K63" s="433">
        <f>VLOOKUP(A63,Export!A:R,18,0)</f>
        <v>568.53300000000002</v>
      </c>
      <c r="L63" s="433">
        <f>VLOOKUP(A63,Export!A:D,4,0)</f>
        <v>6371861</v>
      </c>
      <c r="M63" s="434">
        <f t="shared" si="4"/>
        <v>2274.1320000000001</v>
      </c>
      <c r="N63" s="440">
        <v>46230</v>
      </c>
      <c r="O63" s="431" t="s">
        <v>3621</v>
      </c>
      <c r="P63" s="436"/>
      <c r="Q63" s="437">
        <f t="shared" si="5"/>
        <v>0</v>
      </c>
      <c r="S63" s="438" t="b">
        <v>0</v>
      </c>
      <c r="T63" s="439" t="e">
        <f>VLOOKUP(A63,'OFICIO '!A:J,10,0)</f>
        <v>#N/A</v>
      </c>
    </row>
    <row r="64" spans="1:20" s="48" customFormat="1" hidden="1">
      <c r="A64" s="510">
        <v>3632660</v>
      </c>
      <c r="B64" s="430">
        <f>VLOOKUP(A64,Export!A:N,14,0)</f>
        <v>7944304</v>
      </c>
      <c r="C64" s="430" t="str">
        <f>VLOOKUP(A64,Export!A:P,16,0)</f>
        <v>JAIME DEL CARMEN HERRERA DELGADO</v>
      </c>
      <c r="D64" s="431" t="str">
        <f>VLOOKUP(A64,Export!A:H,8,0)</f>
        <v>31-60</v>
      </c>
      <c r="E64" s="431" t="str">
        <f>VLOOKUP(A64,Export!A:I,9,0)</f>
        <v>61-90</v>
      </c>
      <c r="F64" s="431" t="s">
        <v>3620</v>
      </c>
      <c r="G64" s="431" t="str">
        <f>VLOOKUP(A64,Export!A:AH,34,0)</f>
        <v>NO RECUPERADO</v>
      </c>
      <c r="H64" s="432" t="s">
        <v>3617</v>
      </c>
      <c r="I64" s="431">
        <v>3</v>
      </c>
      <c r="J64" s="431">
        <f>VLOOKUP(A64,Export!A:B,2,0)</f>
        <v>69</v>
      </c>
      <c r="K64" s="433">
        <f>VLOOKUP(A64,Export!A:R,18,0)</f>
        <v>351.23700000000002</v>
      </c>
      <c r="L64" s="433">
        <f>VLOOKUP(A64,Export!A:D,4,0)</f>
        <v>11368089</v>
      </c>
      <c r="M64" s="434">
        <f t="shared" si="4"/>
        <v>1053.711</v>
      </c>
      <c r="N64" s="440">
        <v>46227</v>
      </c>
      <c r="O64" s="431" t="s">
        <v>3621</v>
      </c>
      <c r="P64" s="436"/>
      <c r="Q64" s="437">
        <f t="shared" si="5"/>
        <v>0</v>
      </c>
      <c r="S64" s="438" t="b">
        <v>0</v>
      </c>
      <c r="T64" s="439" t="e">
        <f>VLOOKUP(A64,'OFICIO '!A:J,10,0)</f>
        <v>#N/A</v>
      </c>
    </row>
    <row r="65" spans="1:20" s="48" customFormat="1" hidden="1">
      <c r="A65" s="510"/>
      <c r="B65" s="430" t="e">
        <f>VLOOKUP(A65,Export!A:N,14,0)</f>
        <v>#N/A</v>
      </c>
      <c r="C65" s="430" t="e">
        <f>VLOOKUP(A65,Export!A:P,16,0)</f>
        <v>#N/A</v>
      </c>
      <c r="D65" s="431" t="e">
        <f>VLOOKUP(A65,Export!A:H,8,0)</f>
        <v>#N/A</v>
      </c>
      <c r="E65" s="431" t="e">
        <f>VLOOKUP(A65,Export!A:I,9,0)</f>
        <v>#N/A</v>
      </c>
      <c r="F65" s="431"/>
      <c r="G65" s="431" t="e">
        <f>VLOOKUP(A65,Export!A:AH,34,0)</f>
        <v>#N/A</v>
      </c>
      <c r="H65" s="432"/>
      <c r="I65" s="431"/>
      <c r="J65" s="431" t="e">
        <f>VLOOKUP(A65,Export!A:B,2,0)</f>
        <v>#N/A</v>
      </c>
      <c r="K65" s="433" t="e">
        <f>VLOOKUP(A65,Export!A:R,18,0)</f>
        <v>#N/A</v>
      </c>
      <c r="L65" s="433" t="e">
        <f>VLOOKUP(A65,Export!A:D,4,0)</f>
        <v>#N/A</v>
      </c>
      <c r="M65" s="434" t="e">
        <f t="shared" si="4"/>
        <v>#N/A</v>
      </c>
      <c r="N65" s="435"/>
      <c r="O65" s="431" t="s">
        <v>3621</v>
      </c>
      <c r="P65" s="436"/>
      <c r="Q65" s="437">
        <f t="shared" si="5"/>
        <v>0</v>
      </c>
      <c r="S65" s="438" t="b">
        <v>0</v>
      </c>
      <c r="T65" s="439" t="e">
        <f>VLOOKUP(A65,'OFICIO '!A:J,10,0)</f>
        <v>#N/A</v>
      </c>
    </row>
    <row r="66" spans="1:20" s="48" customFormat="1" hidden="1">
      <c r="A66" s="510"/>
      <c r="B66" s="430" t="e">
        <f>VLOOKUP(A66,Export!A:N,14,0)</f>
        <v>#N/A</v>
      </c>
      <c r="C66" s="430" t="e">
        <f>VLOOKUP(A66,Export!A:P,16,0)</f>
        <v>#N/A</v>
      </c>
      <c r="D66" s="431" t="e">
        <f>VLOOKUP(A66,Export!A:H,8,0)</f>
        <v>#N/A</v>
      </c>
      <c r="E66" s="431" t="e">
        <f>VLOOKUP(A66,Export!A:I,9,0)</f>
        <v>#N/A</v>
      </c>
      <c r="F66" s="431"/>
      <c r="G66" s="431" t="e">
        <f>VLOOKUP(A66,Export!A:AH,34,0)</f>
        <v>#N/A</v>
      </c>
      <c r="H66" s="432"/>
      <c r="I66" s="431"/>
      <c r="J66" s="431" t="e">
        <f>VLOOKUP(A66,Export!A:B,2,0)</f>
        <v>#N/A</v>
      </c>
      <c r="K66" s="433" t="e">
        <f>VLOOKUP(A66,Export!A:R,18,0)</f>
        <v>#N/A</v>
      </c>
      <c r="L66" s="433" t="e">
        <f>VLOOKUP(A66,Export!A:D,4,0)</f>
        <v>#N/A</v>
      </c>
      <c r="M66" s="434" t="e">
        <f t="shared" si="4"/>
        <v>#N/A</v>
      </c>
      <c r="N66" s="440"/>
      <c r="O66" s="431" t="s">
        <v>3621</v>
      </c>
      <c r="P66" s="436"/>
      <c r="Q66" s="437">
        <f t="shared" si="5"/>
        <v>0</v>
      </c>
      <c r="S66" s="438" t="b">
        <v>0</v>
      </c>
      <c r="T66" s="439" t="e">
        <f>VLOOKUP(A66,'OFICIO '!A:J,10,0)</f>
        <v>#N/A</v>
      </c>
    </row>
    <row r="67" spans="1:20" s="48" customFormat="1" hidden="1">
      <c r="A67" s="510"/>
      <c r="B67" s="430" t="e">
        <f>VLOOKUP(A67,Export!A:N,14,0)</f>
        <v>#N/A</v>
      </c>
      <c r="C67" s="430" t="e">
        <f>VLOOKUP(A67,Export!A:P,16,0)</f>
        <v>#N/A</v>
      </c>
      <c r="D67" s="431" t="e">
        <f>VLOOKUP(A67,Export!A:H,8,0)</f>
        <v>#N/A</v>
      </c>
      <c r="E67" s="431" t="e">
        <f>VLOOKUP(A67,Export!A:I,9,0)</f>
        <v>#N/A</v>
      </c>
      <c r="F67" s="431"/>
      <c r="G67" s="431" t="e">
        <f>VLOOKUP(A67,Export!A:AH,34,0)</f>
        <v>#N/A</v>
      </c>
      <c r="H67" s="432"/>
      <c r="I67" s="431"/>
      <c r="J67" s="431" t="e">
        <f>VLOOKUP(A67,Export!A:B,2,0)</f>
        <v>#N/A</v>
      </c>
      <c r="K67" s="433" t="e">
        <f>VLOOKUP(A67,Export!A:R,18,0)</f>
        <v>#N/A</v>
      </c>
      <c r="L67" s="433" t="e">
        <f>VLOOKUP(A67,Export!A:D,4,0)</f>
        <v>#N/A</v>
      </c>
      <c r="M67" s="434" t="e">
        <f t="shared" si="4"/>
        <v>#N/A</v>
      </c>
      <c r="N67" s="440"/>
      <c r="O67" s="431" t="s">
        <v>3621</v>
      </c>
      <c r="P67" s="436"/>
      <c r="Q67" s="437">
        <f t="shared" si="5"/>
        <v>0</v>
      </c>
      <c r="S67" s="438" t="b">
        <v>0</v>
      </c>
      <c r="T67" s="439" t="e">
        <f>VLOOKUP(A67,'OFICIO '!A:J,10,0)</f>
        <v>#N/A</v>
      </c>
    </row>
    <row r="68" spans="1:20" s="48" customFormat="1" hidden="1">
      <c r="A68" s="510"/>
      <c r="B68" s="430" t="e">
        <f>VLOOKUP(A68,Export!A:N,14,0)</f>
        <v>#N/A</v>
      </c>
      <c r="C68" s="430" t="e">
        <f>VLOOKUP(A68,Export!A:P,16,0)</f>
        <v>#N/A</v>
      </c>
      <c r="D68" s="431" t="e">
        <f>VLOOKUP(A68,Export!A:H,8,0)</f>
        <v>#N/A</v>
      </c>
      <c r="E68" s="431" t="e">
        <f>VLOOKUP(A68,Export!A:I,9,0)</f>
        <v>#N/A</v>
      </c>
      <c r="F68" s="431"/>
      <c r="G68" s="431" t="e">
        <f>VLOOKUP(A68,Export!A:AH,34,0)</f>
        <v>#N/A</v>
      </c>
      <c r="H68" s="432"/>
      <c r="I68" s="431"/>
      <c r="J68" s="431" t="e">
        <f>VLOOKUP(A68,Export!A:B,2,0)</f>
        <v>#N/A</v>
      </c>
      <c r="K68" s="433" t="e">
        <f>VLOOKUP(A68,Export!A:R,18,0)</f>
        <v>#N/A</v>
      </c>
      <c r="L68" s="433" t="e">
        <f>VLOOKUP(A68,Export!A:D,4,0)</f>
        <v>#N/A</v>
      </c>
      <c r="M68" s="434" t="e">
        <f t="shared" si="4"/>
        <v>#N/A</v>
      </c>
      <c r="N68" s="440"/>
      <c r="O68" s="431" t="s">
        <v>3621</v>
      </c>
      <c r="P68" s="436"/>
      <c r="Q68" s="437">
        <f t="shared" si="5"/>
        <v>0</v>
      </c>
      <c r="S68" s="438" t="b">
        <v>0</v>
      </c>
      <c r="T68" s="439" t="e">
        <f>VLOOKUP(A68,'OFICIO '!A:J,10,0)</f>
        <v>#N/A</v>
      </c>
    </row>
    <row r="69" spans="1:20" s="48" customFormat="1" hidden="1">
      <c r="A69" s="510"/>
      <c r="B69" s="430" t="e">
        <f>VLOOKUP(A69,Export!A:N,14,0)</f>
        <v>#N/A</v>
      </c>
      <c r="C69" s="430" t="e">
        <f>VLOOKUP(A69,Export!A:P,16,0)</f>
        <v>#N/A</v>
      </c>
      <c r="D69" s="431" t="e">
        <f>VLOOKUP(A69,Export!A:H,8,0)</f>
        <v>#N/A</v>
      </c>
      <c r="E69" s="431" t="e">
        <f>VLOOKUP(A69,Export!A:I,9,0)</f>
        <v>#N/A</v>
      </c>
      <c r="F69" s="431"/>
      <c r="G69" s="431" t="e">
        <f>VLOOKUP(A69,Export!A:AH,34,0)</f>
        <v>#N/A</v>
      </c>
      <c r="H69" s="432"/>
      <c r="I69" s="431"/>
      <c r="J69" s="431" t="e">
        <f>VLOOKUP(A69,Export!A:B,2,0)</f>
        <v>#N/A</v>
      </c>
      <c r="K69" s="433" t="e">
        <f>VLOOKUP(A69,Export!A:R,18,0)</f>
        <v>#N/A</v>
      </c>
      <c r="L69" s="433" t="e">
        <f>VLOOKUP(A69,Export!A:D,4,0)</f>
        <v>#N/A</v>
      </c>
      <c r="M69" s="434" t="e">
        <f t="shared" ref="M69:M77" si="6">IF(H69="PAGO CUOTAS",I69*K69,L69)</f>
        <v>#N/A</v>
      </c>
      <c r="N69" s="440"/>
      <c r="O69" s="431" t="s">
        <v>3621</v>
      </c>
      <c r="P69" s="436"/>
      <c r="Q69" s="437">
        <f t="shared" ref="Q69:Q77" si="7">+SUMIF(O69,"PAGADO",L69)</f>
        <v>0</v>
      </c>
      <c r="S69" s="438" t="b">
        <v>0</v>
      </c>
      <c r="T69" s="439" t="e">
        <f>VLOOKUP(A69,'OFICIO '!A:J,10,0)</f>
        <v>#N/A</v>
      </c>
    </row>
    <row r="70" spans="1:20" s="48" customFormat="1" hidden="1">
      <c r="A70" s="510"/>
      <c r="B70" s="430" t="e">
        <f>VLOOKUP(A70,Export!A:N,14,0)</f>
        <v>#N/A</v>
      </c>
      <c r="C70" s="430" t="e">
        <f>VLOOKUP(A70,Export!A:P,16,0)</f>
        <v>#N/A</v>
      </c>
      <c r="D70" s="431" t="e">
        <f>VLOOKUP(A70,Export!A:H,8,0)</f>
        <v>#N/A</v>
      </c>
      <c r="E70" s="431" t="e">
        <f>VLOOKUP(A70,Export!A:I,9,0)</f>
        <v>#N/A</v>
      </c>
      <c r="F70" s="431"/>
      <c r="G70" s="431" t="e">
        <f>VLOOKUP(A70,Export!A:AH,34,0)</f>
        <v>#N/A</v>
      </c>
      <c r="H70" s="432"/>
      <c r="I70" s="431"/>
      <c r="J70" s="431" t="e">
        <f>VLOOKUP(A70,Export!A:B,2,0)</f>
        <v>#N/A</v>
      </c>
      <c r="K70" s="433" t="e">
        <f>VLOOKUP(A70,Export!A:R,18,0)</f>
        <v>#N/A</v>
      </c>
      <c r="L70" s="433" t="e">
        <f>VLOOKUP(A70,Export!A:D,4,0)</f>
        <v>#N/A</v>
      </c>
      <c r="M70" s="434" t="e">
        <f t="shared" si="6"/>
        <v>#N/A</v>
      </c>
      <c r="N70" s="440"/>
      <c r="O70" s="431" t="s">
        <v>3621</v>
      </c>
      <c r="P70" s="436"/>
      <c r="Q70" s="437">
        <f t="shared" si="7"/>
        <v>0</v>
      </c>
      <c r="S70" s="438" t="b">
        <v>0</v>
      </c>
      <c r="T70" s="439" t="e">
        <f>VLOOKUP(A70,'OFICIO '!A:J,10,0)</f>
        <v>#N/A</v>
      </c>
    </row>
    <row r="71" spans="1:20" s="48" customFormat="1" hidden="1">
      <c r="A71" s="510"/>
      <c r="B71" s="430" t="e">
        <f>VLOOKUP(A71,Export!A:N,14,0)</f>
        <v>#N/A</v>
      </c>
      <c r="C71" s="430" t="e">
        <f>VLOOKUP(A71,Export!A:P,16,0)</f>
        <v>#N/A</v>
      </c>
      <c r="D71" s="431" t="e">
        <f>VLOOKUP(A71,Export!A:H,8,0)</f>
        <v>#N/A</v>
      </c>
      <c r="E71" s="431" t="e">
        <f>VLOOKUP(A71,Export!A:I,9,0)</f>
        <v>#N/A</v>
      </c>
      <c r="F71" s="431"/>
      <c r="G71" s="431" t="e">
        <f>VLOOKUP(A71,Export!A:AH,34,0)</f>
        <v>#N/A</v>
      </c>
      <c r="H71" s="432"/>
      <c r="I71" s="431"/>
      <c r="J71" s="431" t="e">
        <f>VLOOKUP(A71,Export!A:B,2,0)</f>
        <v>#N/A</v>
      </c>
      <c r="K71" s="433" t="e">
        <f>VLOOKUP(A71,Export!A:R,18,0)</f>
        <v>#N/A</v>
      </c>
      <c r="L71" s="433" t="e">
        <f>VLOOKUP(A71,Export!A:D,4,0)</f>
        <v>#N/A</v>
      </c>
      <c r="M71" s="434" t="e">
        <f t="shared" si="6"/>
        <v>#N/A</v>
      </c>
      <c r="N71" s="440"/>
      <c r="O71" s="431" t="s">
        <v>3621</v>
      </c>
      <c r="P71" s="436"/>
      <c r="Q71" s="437">
        <f t="shared" si="7"/>
        <v>0</v>
      </c>
      <c r="S71" s="438" t="b">
        <v>0</v>
      </c>
      <c r="T71" s="439" t="e">
        <f>VLOOKUP(A71,'OFICIO '!A:J,10,0)</f>
        <v>#N/A</v>
      </c>
    </row>
    <row r="72" spans="1:20" s="48" customFormat="1" hidden="1">
      <c r="A72" s="510"/>
      <c r="B72" s="430" t="e">
        <f>VLOOKUP(A72,Export!A:N,14,0)</f>
        <v>#N/A</v>
      </c>
      <c r="C72" s="430" t="e">
        <f>VLOOKUP(A72,Export!A:P,16,0)</f>
        <v>#N/A</v>
      </c>
      <c r="D72" s="431" t="e">
        <f>VLOOKUP(A72,Export!A:H,8,0)</f>
        <v>#N/A</v>
      </c>
      <c r="E72" s="431" t="e">
        <f>VLOOKUP(A72,Export!A:I,9,0)</f>
        <v>#N/A</v>
      </c>
      <c r="F72" s="431"/>
      <c r="G72" s="431" t="e">
        <f>VLOOKUP(A72,Export!A:AH,34,0)</f>
        <v>#N/A</v>
      </c>
      <c r="H72" s="432"/>
      <c r="I72" s="431"/>
      <c r="J72" s="431" t="e">
        <f>VLOOKUP(A72,Export!A:B,2,0)</f>
        <v>#N/A</v>
      </c>
      <c r="K72" s="433" t="e">
        <f>VLOOKUP(A72,Export!A:R,18,0)</f>
        <v>#N/A</v>
      </c>
      <c r="L72" s="433" t="e">
        <f>VLOOKUP(A72,Export!A:D,4,0)</f>
        <v>#N/A</v>
      </c>
      <c r="M72" s="434" t="e">
        <f t="shared" si="6"/>
        <v>#N/A</v>
      </c>
      <c r="N72" s="440"/>
      <c r="O72" s="431" t="s">
        <v>3621</v>
      </c>
      <c r="P72" s="436"/>
      <c r="Q72" s="437">
        <f t="shared" si="7"/>
        <v>0</v>
      </c>
      <c r="S72" s="438" t="b">
        <v>0</v>
      </c>
      <c r="T72" s="439" t="e">
        <f>VLOOKUP(A72,'OFICIO '!A:J,10,0)</f>
        <v>#N/A</v>
      </c>
    </row>
    <row r="73" spans="1:20" s="48" customFormat="1" hidden="1">
      <c r="A73" s="510"/>
      <c r="B73" s="430" t="e">
        <f>VLOOKUP(A73,Export!A:N,14,0)</f>
        <v>#N/A</v>
      </c>
      <c r="C73" s="430" t="e">
        <f>VLOOKUP(A73,Export!A:P,16,0)</f>
        <v>#N/A</v>
      </c>
      <c r="D73" s="431" t="e">
        <f>VLOOKUP(A73,Export!A:H,8,0)</f>
        <v>#N/A</v>
      </c>
      <c r="E73" s="431" t="e">
        <f>VLOOKUP(A73,Export!A:I,9,0)</f>
        <v>#N/A</v>
      </c>
      <c r="F73" s="431"/>
      <c r="G73" s="431" t="e">
        <f>VLOOKUP(A73,Export!A:AH,34,0)</f>
        <v>#N/A</v>
      </c>
      <c r="H73" s="432"/>
      <c r="I73" s="431"/>
      <c r="J73" s="431" t="e">
        <f>VLOOKUP(A73,Export!A:B,2,0)</f>
        <v>#N/A</v>
      </c>
      <c r="K73" s="433" t="e">
        <f>VLOOKUP(A73,Export!A:R,18,0)</f>
        <v>#N/A</v>
      </c>
      <c r="L73" s="433" t="e">
        <f>VLOOKUP(A73,Export!A:D,4,0)</f>
        <v>#N/A</v>
      </c>
      <c r="M73" s="434" t="e">
        <f t="shared" si="6"/>
        <v>#N/A</v>
      </c>
      <c r="N73" s="440"/>
      <c r="O73" s="431" t="s">
        <v>3621</v>
      </c>
      <c r="P73" s="436"/>
      <c r="Q73" s="437">
        <f t="shared" si="7"/>
        <v>0</v>
      </c>
      <c r="S73" s="438" t="b">
        <v>0</v>
      </c>
      <c r="T73" s="439" t="e">
        <f>VLOOKUP(A73,'OFICIO '!A:J,10,0)</f>
        <v>#N/A</v>
      </c>
    </row>
    <row r="74" spans="1:20" s="48" customFormat="1" hidden="1">
      <c r="A74" s="510"/>
      <c r="B74" s="430" t="e">
        <f>VLOOKUP(A74,Export!A:N,14,0)</f>
        <v>#N/A</v>
      </c>
      <c r="C74" s="430" t="e">
        <f>VLOOKUP(A74,Export!A:P,16,0)</f>
        <v>#N/A</v>
      </c>
      <c r="D74" s="431" t="e">
        <f>VLOOKUP(A74,Export!A:H,8,0)</f>
        <v>#N/A</v>
      </c>
      <c r="E74" s="431" t="e">
        <f>VLOOKUP(A74,Export!A:I,9,0)</f>
        <v>#N/A</v>
      </c>
      <c r="F74" s="431"/>
      <c r="G74" s="431" t="e">
        <f>VLOOKUP(A74,Export!A:AH,34,0)</f>
        <v>#N/A</v>
      </c>
      <c r="H74" s="432"/>
      <c r="I74" s="431"/>
      <c r="J74" s="431" t="e">
        <f>VLOOKUP(A74,Export!A:B,2,0)</f>
        <v>#N/A</v>
      </c>
      <c r="K74" s="433" t="e">
        <f>VLOOKUP(A74,Export!A:R,18,0)</f>
        <v>#N/A</v>
      </c>
      <c r="L74" s="433" t="e">
        <f>VLOOKUP(A74,Export!A:D,4,0)</f>
        <v>#N/A</v>
      </c>
      <c r="M74" s="434" t="e">
        <f t="shared" si="6"/>
        <v>#N/A</v>
      </c>
      <c r="N74" s="440"/>
      <c r="O74" s="431" t="s">
        <v>3621</v>
      </c>
      <c r="P74" s="436"/>
      <c r="Q74" s="437">
        <f t="shared" si="7"/>
        <v>0</v>
      </c>
      <c r="S74" s="438" t="b">
        <v>0</v>
      </c>
      <c r="T74" s="439" t="e">
        <f>VLOOKUP(A74,'OFICIO '!A:J,10,0)</f>
        <v>#N/A</v>
      </c>
    </row>
    <row r="75" spans="1:20" s="48" customFormat="1" hidden="1">
      <c r="A75" s="510"/>
      <c r="B75" s="430" t="e">
        <f>VLOOKUP(A75,Export!A:N,14,0)</f>
        <v>#N/A</v>
      </c>
      <c r="C75" s="430" t="e">
        <f>VLOOKUP(A75,Export!A:P,16,0)</f>
        <v>#N/A</v>
      </c>
      <c r="D75" s="431" t="e">
        <f>VLOOKUP(A75,Export!A:H,8,0)</f>
        <v>#N/A</v>
      </c>
      <c r="E75" s="431" t="e">
        <f>VLOOKUP(A75,Export!A:I,9,0)</f>
        <v>#N/A</v>
      </c>
      <c r="F75" s="431"/>
      <c r="G75" s="431" t="e">
        <f>VLOOKUP(A75,Export!A:AH,34,0)</f>
        <v>#N/A</v>
      </c>
      <c r="H75" s="432"/>
      <c r="I75" s="431"/>
      <c r="J75" s="431" t="e">
        <f>VLOOKUP(A75,Export!A:B,2,0)</f>
        <v>#N/A</v>
      </c>
      <c r="K75" s="433" t="e">
        <f>VLOOKUP(A75,Export!A:R,18,0)</f>
        <v>#N/A</v>
      </c>
      <c r="L75" s="433" t="e">
        <f>VLOOKUP(A75,Export!A:D,4,0)</f>
        <v>#N/A</v>
      </c>
      <c r="M75" s="434" t="e">
        <f t="shared" si="6"/>
        <v>#N/A</v>
      </c>
      <c r="N75" s="440"/>
      <c r="O75" s="431" t="s">
        <v>3621</v>
      </c>
      <c r="P75" s="436"/>
      <c r="Q75" s="437">
        <f t="shared" si="7"/>
        <v>0</v>
      </c>
      <c r="S75" s="438" t="b">
        <v>0</v>
      </c>
      <c r="T75" s="439" t="e">
        <f>VLOOKUP(A75,'OFICIO '!A:J,10,0)</f>
        <v>#N/A</v>
      </c>
    </row>
    <row r="76" spans="1:20" s="48" customFormat="1" hidden="1">
      <c r="A76" s="510"/>
      <c r="B76" s="430" t="e">
        <f>VLOOKUP(A76,Export!A:N,14,0)</f>
        <v>#N/A</v>
      </c>
      <c r="C76" s="430" t="e">
        <f>VLOOKUP(A76,Export!A:P,16,0)</f>
        <v>#N/A</v>
      </c>
      <c r="D76" s="431" t="e">
        <f>VLOOKUP(A76,Export!A:H,8,0)</f>
        <v>#N/A</v>
      </c>
      <c r="E76" s="431" t="e">
        <f>VLOOKUP(A76,Export!A:I,9,0)</f>
        <v>#N/A</v>
      </c>
      <c r="F76" s="431"/>
      <c r="G76" s="431" t="e">
        <f>VLOOKUP(A76,Export!A:AH,34,0)</f>
        <v>#N/A</v>
      </c>
      <c r="H76" s="432"/>
      <c r="I76" s="431"/>
      <c r="J76" s="431" t="e">
        <f>VLOOKUP(A76,Export!A:B,2,0)</f>
        <v>#N/A</v>
      </c>
      <c r="K76" s="433" t="e">
        <f>VLOOKUP(A76,Export!A:R,18,0)</f>
        <v>#N/A</v>
      </c>
      <c r="L76" s="433" t="e">
        <f>VLOOKUP(A76,Export!A:D,4,0)</f>
        <v>#N/A</v>
      </c>
      <c r="M76" s="434" t="e">
        <f t="shared" si="6"/>
        <v>#N/A</v>
      </c>
      <c r="N76" s="440"/>
      <c r="O76" s="431" t="s">
        <v>3621</v>
      </c>
      <c r="P76" s="436"/>
      <c r="Q76" s="437">
        <f t="shared" si="7"/>
        <v>0</v>
      </c>
      <c r="S76" s="438" t="b">
        <v>0</v>
      </c>
      <c r="T76" s="439" t="e">
        <f>VLOOKUP(A76,'OFICIO '!A:J,10,0)</f>
        <v>#N/A</v>
      </c>
    </row>
    <row r="77" spans="1:20" s="48" customFormat="1" hidden="1">
      <c r="A77" s="510"/>
      <c r="B77" s="430" t="e">
        <f>VLOOKUP(A77,Export!A:N,14,0)</f>
        <v>#N/A</v>
      </c>
      <c r="C77" s="430" t="e">
        <f>VLOOKUP(A77,Export!A:P,16,0)</f>
        <v>#N/A</v>
      </c>
      <c r="D77" s="431" t="e">
        <f>VLOOKUP(A77,Export!A:H,8,0)</f>
        <v>#N/A</v>
      </c>
      <c r="E77" s="431" t="e">
        <f>VLOOKUP(A77,Export!A:I,9,0)</f>
        <v>#N/A</v>
      </c>
      <c r="F77" s="431"/>
      <c r="G77" s="431" t="e">
        <f>VLOOKUP(A77,Export!A:AH,34,0)</f>
        <v>#N/A</v>
      </c>
      <c r="H77" s="432"/>
      <c r="I77" s="431"/>
      <c r="J77" s="431" t="e">
        <f>VLOOKUP(A77,Export!A:B,2,0)</f>
        <v>#N/A</v>
      </c>
      <c r="K77" s="433" t="e">
        <f>VLOOKUP(A77,Export!A:R,18,0)</f>
        <v>#N/A</v>
      </c>
      <c r="L77" s="433" t="e">
        <f>VLOOKUP(A77,Export!A:D,4,0)</f>
        <v>#N/A</v>
      </c>
      <c r="M77" s="434" t="e">
        <f t="shared" si="6"/>
        <v>#N/A</v>
      </c>
      <c r="N77" s="440"/>
      <c r="O77" s="431" t="s">
        <v>3621</v>
      </c>
      <c r="P77" s="436"/>
      <c r="Q77" s="437">
        <f t="shared" si="7"/>
        <v>0</v>
      </c>
      <c r="S77" s="438" t="b">
        <v>0</v>
      </c>
      <c r="T77" s="439" t="e">
        <f>VLOOKUP(A77,'OFICIO '!A:J,10,0)</f>
        <v>#N/A</v>
      </c>
    </row>
    <row r="79" spans="1:20">
      <c r="I79" s="2"/>
      <c r="J79" s="2"/>
    </row>
    <row r="80" spans="1:20">
      <c r="I80" s="3"/>
      <c r="J80" s="3"/>
    </row>
    <row r="84" spans="2:4" ht="15.75" thickBot="1"/>
    <row r="85" spans="2:4">
      <c r="B85" s="445" t="s">
        <v>3633</v>
      </c>
      <c r="C85" s="407">
        <f>+SUMIF(D:D,"61-90",L:L)</f>
        <v>99876811</v>
      </c>
      <c r="D85">
        <f>+COUNTIF(F:F,"C4")-E88</f>
        <v>14</v>
      </c>
    </row>
    <row r="86" spans="2:4">
      <c r="B86" s="446" t="s">
        <v>3634</v>
      </c>
      <c r="C86" s="408">
        <v>118000000</v>
      </c>
    </row>
    <row r="87" spans="2:4">
      <c r="B87" s="446" t="s">
        <v>3635</v>
      </c>
      <c r="C87" s="441">
        <f>C85/C86</f>
        <v>0.84641365254237289</v>
      </c>
    </row>
    <row r="88" spans="2:4">
      <c r="B88" s="446" t="s">
        <v>3636</v>
      </c>
      <c r="C88" s="408">
        <f>+SUMIFS(L:L,O:O,"PAGADO",D:D,"61-90")</f>
        <v>64445288</v>
      </c>
      <c r="D88">
        <f>+COUNTIFS(F:F,"C4",O:O,"PAGADO")</f>
        <v>10</v>
      </c>
    </row>
    <row r="89" spans="2:4" ht="15.75" thickBot="1">
      <c r="B89" s="447" t="s">
        <v>3637</v>
      </c>
      <c r="C89" s="442">
        <f>+C88/C86</f>
        <v>0.54614650847457624</v>
      </c>
    </row>
    <row r="90" spans="2:4" ht="15.75" thickBot="1"/>
    <row r="91" spans="2:4">
      <c r="B91" s="445" t="s">
        <v>3638</v>
      </c>
      <c r="C91" s="407">
        <f>+SUMIF(F:F,"90+",L:L)</f>
        <v>185558044</v>
      </c>
      <c r="D91">
        <f>+COUNTIF(F:F,"90+")-D94</f>
        <v>21</v>
      </c>
    </row>
    <row r="92" spans="2:4">
      <c r="B92" s="446" t="s">
        <v>3634</v>
      </c>
      <c r="C92" s="408">
        <v>188000000</v>
      </c>
    </row>
    <row r="93" spans="2:4">
      <c r="B93" s="446" t="s">
        <v>3635</v>
      </c>
      <c r="C93" s="443">
        <f>C91/C92</f>
        <v>0.9870108723404255</v>
      </c>
    </row>
    <row r="94" spans="2:4">
      <c r="B94" s="446" t="s">
        <v>3639</v>
      </c>
      <c r="C94" s="408">
        <f>+SUMIFS(L:L,O:O,"PAGADO",F:F,"90+")</f>
        <v>65699094</v>
      </c>
      <c r="D94">
        <f>+COUNTIFS(F:F,"90+",O:O,"PAGADO")</f>
        <v>13</v>
      </c>
    </row>
    <row r="95" spans="2:4" ht="15.75" thickBot="1">
      <c r="B95" s="447" t="s">
        <v>3637</v>
      </c>
      <c r="C95" s="444">
        <f>+C94/C92</f>
        <v>0.34946326595744681</v>
      </c>
    </row>
  </sheetData>
  <autoFilter ref="A1:T77" xr:uid="{5303BFFC-F433-4BEE-A9CA-DFFC955199CD}">
    <filterColumn colId="5">
      <filters>
        <filter val="C4"/>
      </filters>
    </filterColumn>
  </autoFilter>
  <phoneticPr fontId="52" type="noConversion"/>
  <conditionalFormatting sqref="A1">
    <cfRule type="duplicateValues" dxfId="43" priority="42"/>
  </conditionalFormatting>
  <conditionalFormatting sqref="A2:T7 A8:Q8 S8:T8 A9:T77">
    <cfRule type="expression" dxfId="42" priority="1">
      <formula>$O2="PAGADO"</formula>
    </cfRule>
  </conditionalFormatting>
  <conditionalFormatting sqref="E1:G77">
    <cfRule type="containsText" dxfId="41" priority="2" operator="containsText" text="No Factura">
      <formula>NOT(ISERROR(SEARCH("No Factura",E1)))</formula>
    </cfRule>
  </conditionalFormatting>
  <dataValidations count="3">
    <dataValidation type="list" allowBlank="1" showInputMessage="1" showErrorMessage="1" sqref="H1" xr:uid="{FCECA092-2A1C-42AB-95AA-0BCA2D6C1C46}">
      <formula1>"DACIÓN,RENEGOCIACIÓN,PAGO CUOTAS,PREPAGO,PLAN DE PAGO,EXCEPCION PUT"</formula1>
    </dataValidation>
    <dataValidation type="list" allowBlank="1" showInputMessage="1" showErrorMessage="1" sqref="O1:O77" xr:uid="{3E0A037E-A8E5-423D-B561-66F0E5BCA6FB}">
      <formula1>"PAGADO,PENDIENTE,ROTO"</formula1>
    </dataValidation>
    <dataValidation type="list" allowBlank="1" showInputMessage="1" showErrorMessage="1" sqref="H2:H77" xr:uid="{925C2C13-6A09-4BF1-891D-64547DE70842}">
      <formula1>"DACIÓN,RENEGOCIACIÓN,PAGO CUOTAS,CHEQUE,PREPAGO,PLAN DE PAGO,NUEVO PLAN DE PAGO,EXCEPCION PUT, PUT EN PARTES, INTENCION DE PAGO"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1917-F36F-4396-8AF8-A9B4EB5CF7AE}">
  <sheetPr>
    <tabColor theme="8" tint="-0.249977111117893"/>
  </sheetPr>
  <dimension ref="A1:N49"/>
  <sheetViews>
    <sheetView tabSelected="1" workbookViewId="0">
      <selection activeCell="I8" sqref="I8"/>
    </sheetView>
  </sheetViews>
  <sheetFormatPr defaultColWidth="11.42578125" defaultRowHeight="15"/>
  <cols>
    <col min="1" max="1" width="9.85546875" style="463" customWidth="1"/>
    <col min="2" max="2" width="12.5703125" style="260" customWidth="1"/>
    <col min="3" max="3" width="36.5703125" style="260" customWidth="1"/>
    <col min="4" max="4" width="14.42578125" style="260" customWidth="1"/>
    <col min="5" max="5" width="16.140625" style="260" customWidth="1"/>
    <col min="6" max="6" width="8.7109375" style="464" customWidth="1"/>
    <col min="7" max="7" width="14.85546875" style="260" customWidth="1"/>
    <col min="8" max="8" width="11.140625" style="260" customWidth="1"/>
    <col min="9" max="10" width="11.42578125" style="260"/>
    <col min="11" max="11" width="13.28515625" style="260" customWidth="1"/>
    <col min="12" max="13" width="11.42578125" style="260"/>
    <col min="14" max="14" width="16.7109375" style="260" customWidth="1"/>
    <col min="15" max="16384" width="11.42578125" style="260"/>
  </cols>
  <sheetData>
    <row r="1" spans="1:14" s="448" customFormat="1" ht="15.75">
      <c r="A1" s="459" t="s">
        <v>3598</v>
      </c>
      <c r="B1" s="460" t="s">
        <v>36</v>
      </c>
      <c r="C1" s="456" t="s">
        <v>3599</v>
      </c>
      <c r="D1" s="454" t="s">
        <v>3603</v>
      </c>
      <c r="E1" s="455" t="s">
        <v>3640</v>
      </c>
      <c r="F1" s="469" t="s">
        <v>3641</v>
      </c>
      <c r="G1" s="456" t="s">
        <v>3642</v>
      </c>
      <c r="H1" s="456" t="s">
        <v>3643</v>
      </c>
      <c r="I1" s="457" t="s">
        <v>3609</v>
      </c>
      <c r="J1" s="453" t="s">
        <v>3610</v>
      </c>
      <c r="K1" s="458" t="s">
        <v>3611</v>
      </c>
      <c r="L1" s="455" t="s">
        <v>3612</v>
      </c>
      <c r="M1" s="455" t="s">
        <v>3644</v>
      </c>
      <c r="N1" s="454" t="s">
        <v>3613</v>
      </c>
    </row>
    <row r="2" spans="1:14" s="452" customFormat="1">
      <c r="A2" s="461">
        <v>2359330</v>
      </c>
      <c r="B2" s="242">
        <f>VLOOKUP(A2,Export!A:N,14,0)</f>
        <v>14387173</v>
      </c>
      <c r="C2" s="243" t="str">
        <f>VLOOKUP(A2,Export!A:P,16,0)</f>
        <v>SOLEDAD DEL CARMEN ALFARO PINTO</v>
      </c>
      <c r="D2" s="259" t="s">
        <v>248</v>
      </c>
      <c r="E2" s="246">
        <f>VLOOKUP(A2,Export!A:D,4,0)</f>
        <v>17079615</v>
      </c>
      <c r="F2" s="470">
        <v>1</v>
      </c>
      <c r="G2" s="247">
        <f>+VLOOKUP(A2,'PLAN DE PAGO'!A:D,4,0)</f>
        <v>294000</v>
      </c>
      <c r="H2" s="240" t="s">
        <v>3645</v>
      </c>
      <c r="I2" s="449">
        <v>46203</v>
      </c>
      <c r="J2" s="244" t="s">
        <v>3618</v>
      </c>
      <c r="K2" s="450">
        <v>46203</v>
      </c>
      <c r="L2" s="451">
        <f>+G2*F2</f>
        <v>294000</v>
      </c>
      <c r="M2" s="465" t="b">
        <v>0</v>
      </c>
      <c r="N2" s="452" t="s">
        <v>3646</v>
      </c>
    </row>
    <row r="3" spans="1:14" s="452" customFormat="1">
      <c r="A3" s="461">
        <v>1923591</v>
      </c>
      <c r="B3" s="242">
        <f>VLOOKUP(A3,Export!A:N,14,0)</f>
        <v>16647012</v>
      </c>
      <c r="C3" s="243" t="str">
        <f>VLOOKUP(A3,Export!A:P,16,0)</f>
        <v>FABRICIO ALEJANDRO  VALENZUELA LEIVA</v>
      </c>
      <c r="D3" s="259" t="s">
        <v>248</v>
      </c>
      <c r="E3" s="246">
        <f>VLOOKUP(A3,Export!A:D,4,0)</f>
        <v>11082144</v>
      </c>
      <c r="F3" s="470">
        <v>1</v>
      </c>
      <c r="G3" s="247">
        <f>+VLOOKUP(A3,'PLAN DE PAGO'!A:D,4,0)</f>
        <v>170895</v>
      </c>
      <c r="H3" s="240" t="s">
        <v>3573</v>
      </c>
      <c r="I3" s="449">
        <v>46234</v>
      </c>
      <c r="J3" s="244" t="s">
        <v>3618</v>
      </c>
      <c r="K3" s="450">
        <v>46206</v>
      </c>
      <c r="L3" s="451">
        <f t="shared" ref="L3:L23" si="0">+G3*F3</f>
        <v>170895</v>
      </c>
      <c r="M3" s="465" t="b">
        <v>0</v>
      </c>
      <c r="N3" s="452" t="s">
        <v>3647</v>
      </c>
    </row>
    <row r="4" spans="1:14" s="452" customFormat="1">
      <c r="A4" s="461">
        <v>1987553</v>
      </c>
      <c r="B4" s="242">
        <f>VLOOKUP(A4,Export!A:N,14,0)</f>
        <v>15242687</v>
      </c>
      <c r="C4" s="243" t="str">
        <f>VLOOKUP(A4,Export!A:P,16,0)</f>
        <v>GIORGIO GENNARO SARTORI TORRES</v>
      </c>
      <c r="D4" s="259" t="s">
        <v>248</v>
      </c>
      <c r="E4" s="246">
        <f>VLOOKUP(A4,Export!A:D,4,0)</f>
        <v>10554087</v>
      </c>
      <c r="F4" s="470"/>
      <c r="G4" s="247">
        <f>+VLOOKUP(A4,'PLAN DE PAGO'!A:D,4,0)</f>
        <v>348087</v>
      </c>
      <c r="H4" s="240" t="s">
        <v>3648</v>
      </c>
      <c r="I4" s="449"/>
      <c r="J4" s="244" t="s">
        <v>3621</v>
      </c>
      <c r="K4" s="450"/>
      <c r="L4" s="451">
        <f t="shared" si="0"/>
        <v>0</v>
      </c>
      <c r="M4" s="465" t="b">
        <v>0</v>
      </c>
    </row>
    <row r="5" spans="1:14" s="452" customFormat="1">
      <c r="A5" s="461">
        <v>1769156</v>
      </c>
      <c r="B5" s="242">
        <f>VLOOKUP(A5,Export!A:N,14,0)</f>
        <v>7710884</v>
      </c>
      <c r="C5" s="243" t="str">
        <f>VLOOKUP(A5,Export!A:P,16,0)</f>
        <v>MARÍA ANGÉLICA VERGARA SILVA</v>
      </c>
      <c r="D5" s="259" t="s">
        <v>248</v>
      </c>
      <c r="E5" s="246">
        <f>VLOOKUP(A5,Export!A:D,4,0)</f>
        <v>7241243</v>
      </c>
      <c r="F5" s="470"/>
      <c r="G5" s="247">
        <f>+VLOOKUP(A5,'PLAN DE PAGO'!A:D,4,0)</f>
        <v>197552</v>
      </c>
      <c r="H5" s="240" t="s">
        <v>3558</v>
      </c>
      <c r="I5" s="449"/>
      <c r="J5" s="244" t="s">
        <v>3621</v>
      </c>
      <c r="K5" s="450"/>
      <c r="L5" s="451">
        <f t="shared" si="0"/>
        <v>0</v>
      </c>
      <c r="M5" s="465" t="b">
        <v>0</v>
      </c>
    </row>
    <row r="6" spans="1:14" s="452" customFormat="1">
      <c r="A6" s="259">
        <v>1700218</v>
      </c>
      <c r="B6" s="242">
        <f>VLOOKUP(A6,Export!A:N,14,0)</f>
        <v>12218160</v>
      </c>
      <c r="C6" s="243" t="str">
        <f>VLOOKUP(A6,Export!A:P,16,0)</f>
        <v>JUAN ALEX  OLIVARES  ALANO</v>
      </c>
      <c r="D6" s="259" t="s">
        <v>248</v>
      </c>
      <c r="E6" s="246">
        <f>VLOOKUP(A6,Export!A:D,4,0)</f>
        <v>6879999</v>
      </c>
      <c r="F6" s="470">
        <v>2</v>
      </c>
      <c r="G6" s="247">
        <f>+VLOOKUP(A6,'PLAN DE PAGO'!A:D,4,0)</f>
        <v>259734</v>
      </c>
      <c r="H6" s="506">
        <v>46055</v>
      </c>
      <c r="I6" s="449"/>
      <c r="J6" s="244" t="s">
        <v>3621</v>
      </c>
      <c r="K6" s="450"/>
      <c r="L6" s="451">
        <f t="shared" si="0"/>
        <v>519468</v>
      </c>
      <c r="M6" s="465" t="b">
        <v>0</v>
      </c>
    </row>
    <row r="7" spans="1:14">
      <c r="A7" s="461">
        <v>2359330</v>
      </c>
      <c r="B7" s="242">
        <f>VLOOKUP(A7,Export!A:N,14,0)</f>
        <v>14387173</v>
      </c>
      <c r="C7" s="243" t="str">
        <f>VLOOKUP(A7,Export!A:P,16,0)</f>
        <v>SOLEDAD DEL CARMEN ALFARO PINTO</v>
      </c>
      <c r="D7" s="259" t="s">
        <v>248</v>
      </c>
      <c r="E7" s="246">
        <f>VLOOKUP(A7,Export!A:D,4,0)</f>
        <v>17079615</v>
      </c>
      <c r="F7" s="470"/>
      <c r="G7" s="247">
        <f>+VLOOKUP(A7,'PLAN DE PAGO'!A:D,4,0)</f>
        <v>294000</v>
      </c>
      <c r="H7" s="240" t="s">
        <v>3649</v>
      </c>
      <c r="I7" s="462"/>
      <c r="J7" s="244" t="s">
        <v>3621</v>
      </c>
      <c r="K7" s="462"/>
      <c r="L7" s="451">
        <f t="shared" si="0"/>
        <v>0</v>
      </c>
      <c r="M7" s="465" t="b">
        <v>0</v>
      </c>
    </row>
    <row r="8" spans="1:14">
      <c r="A8" s="461">
        <v>2410360</v>
      </c>
      <c r="B8" s="242">
        <f>VLOOKUP(A8,Export!A:N,14,0)</f>
        <v>13291544</v>
      </c>
      <c r="C8" s="243" t="str">
        <f>VLOOKUP(A8,Export!A:P,16,0)</f>
        <v>ANDREA DEL PILAR GONZÁLEZ URETA</v>
      </c>
      <c r="D8" s="259" t="s">
        <v>248</v>
      </c>
      <c r="E8" s="246">
        <f>VLOOKUP(A8,Export!A:D,4,0)</f>
        <v>5047680</v>
      </c>
      <c r="F8" s="470"/>
      <c r="G8" s="247">
        <f>+VLOOKUP(A8,'PLAN DE PAGO'!A:D,4,0)</f>
        <v>246730</v>
      </c>
      <c r="H8" s="240" t="s">
        <v>3650</v>
      </c>
      <c r="I8" s="462"/>
      <c r="J8" s="244" t="s">
        <v>3621</v>
      </c>
      <c r="L8" s="451">
        <f t="shared" si="0"/>
        <v>0</v>
      </c>
      <c r="M8" s="465" t="b">
        <v>0</v>
      </c>
    </row>
    <row r="9" spans="1:14" s="452" customFormat="1">
      <c r="A9" s="461">
        <v>1769156</v>
      </c>
      <c r="B9" s="242">
        <f>VLOOKUP(A9,Export!A:N,14,0)</f>
        <v>7710884</v>
      </c>
      <c r="C9" s="243" t="str">
        <f>VLOOKUP(A9,Export!A:P,16,0)</f>
        <v>MARÍA ANGÉLICA VERGARA SILVA</v>
      </c>
      <c r="D9" s="259" t="s">
        <v>248</v>
      </c>
      <c r="E9" s="246">
        <f>VLOOKUP(A9,Export!A:D,4,0)</f>
        <v>7241243</v>
      </c>
      <c r="F9" s="470"/>
      <c r="G9" s="247">
        <f>+VLOOKUP(A9,'PLAN DE PAGO'!A:D,4,0)</f>
        <v>197552</v>
      </c>
      <c r="H9" s="240" t="s">
        <v>3651</v>
      </c>
      <c r="I9" s="449"/>
      <c r="J9" s="244" t="s">
        <v>3621</v>
      </c>
      <c r="K9" s="450"/>
      <c r="L9" s="451">
        <f t="shared" si="0"/>
        <v>0</v>
      </c>
      <c r="M9" s="465" t="b">
        <v>0</v>
      </c>
    </row>
    <row r="10" spans="1:14" ht="15.75" customHeight="1">
      <c r="A10" s="461">
        <v>1638465</v>
      </c>
      <c r="B10" s="242">
        <f>VLOOKUP(A10,Export!A:N,14,0)</f>
        <v>27070326</v>
      </c>
      <c r="C10" s="243" t="str">
        <f>VLOOKUP(A10,Export!A:P,16,0)</f>
        <v>LIBIA ROSA  VERA TUBIÑEZ</v>
      </c>
      <c r="D10" s="259" t="s">
        <v>248</v>
      </c>
      <c r="E10" s="246">
        <f>VLOOKUP(A10,Export!A:D,4,0)</f>
        <v>3871396</v>
      </c>
      <c r="F10" s="470"/>
      <c r="G10" s="247">
        <f>+VLOOKUP(A10,'PLAN DE PAGO'!A:D,4,0)</f>
        <v>172022</v>
      </c>
      <c r="H10" s="240" t="s">
        <v>3652</v>
      </c>
      <c r="I10" s="462"/>
      <c r="J10" s="244" t="s">
        <v>3621</v>
      </c>
      <c r="K10" s="450"/>
      <c r="L10" s="451">
        <f t="shared" si="0"/>
        <v>0</v>
      </c>
      <c r="M10" s="465" t="b">
        <v>0</v>
      </c>
    </row>
    <row r="11" spans="1:14">
      <c r="A11" s="461">
        <v>2041907</v>
      </c>
      <c r="B11" s="242">
        <f>VLOOKUP(A11,Export!A:N,14,0)</f>
        <v>12446328</v>
      </c>
      <c r="C11" s="243" t="str">
        <f>VLOOKUP(A11,Export!A:P,16,0)</f>
        <v>CLAUDIA LORENA ROJAS ARRIARÁN</v>
      </c>
      <c r="D11" s="259" t="s">
        <v>248</v>
      </c>
      <c r="E11" s="246">
        <f>VLOOKUP(A11,Export!A:D,4,0)</f>
        <v>8500246</v>
      </c>
      <c r="F11" s="470">
        <v>1</v>
      </c>
      <c r="G11" s="247">
        <f>+VLOOKUP(A11,'PLAN DE PAGO'!A:D,4,0)</f>
        <v>202800</v>
      </c>
      <c r="H11" s="240" t="s">
        <v>3653</v>
      </c>
      <c r="I11" s="462">
        <v>46203</v>
      </c>
      <c r="J11" s="244" t="s">
        <v>3618</v>
      </c>
      <c r="K11" s="450">
        <v>46203</v>
      </c>
      <c r="L11" s="451">
        <f t="shared" si="0"/>
        <v>202800</v>
      </c>
      <c r="M11" s="465" t="b">
        <v>0</v>
      </c>
      <c r="N11" s="452" t="s">
        <v>3646</v>
      </c>
    </row>
    <row r="12" spans="1:14">
      <c r="A12" s="461">
        <v>1791083</v>
      </c>
      <c r="B12" s="242">
        <f>VLOOKUP(A12,Export!A:N,14,0)</f>
        <v>15236244</v>
      </c>
      <c r="C12" s="243" t="str">
        <f>VLOOKUP(A12,Export!A:P,16,0)</f>
        <v>RUBÉN ANER CARILAO BARRA</v>
      </c>
      <c r="D12" s="259" t="s">
        <v>248</v>
      </c>
      <c r="E12" s="246">
        <f>VLOOKUP(A12,Export!A:D,4,0)</f>
        <v>7569433</v>
      </c>
      <c r="F12" s="470"/>
      <c r="G12" s="247">
        <f>+VLOOKUP(A12,'PLAN DE PAGO'!A:D,4,0)</f>
        <v>273726</v>
      </c>
      <c r="H12" s="240" t="s">
        <v>3654</v>
      </c>
      <c r="I12" s="462"/>
      <c r="J12" s="244" t="s">
        <v>3621</v>
      </c>
      <c r="K12" s="450"/>
      <c r="L12" s="451">
        <f t="shared" si="0"/>
        <v>0</v>
      </c>
      <c r="M12" s="465" t="b">
        <v>0</v>
      </c>
    </row>
    <row r="13" spans="1:14">
      <c r="A13" s="463">
        <v>1644932</v>
      </c>
      <c r="B13" s="242">
        <f>VLOOKUP(A13,Export!A:N,14,0)</f>
        <v>16002296</v>
      </c>
      <c r="C13" s="243" t="str">
        <f>VLOOKUP(A13,Export!A:P,16,0)</f>
        <v>MIGUEL ANGEL  ACEVEDO ARAVENA</v>
      </c>
      <c r="D13" s="259" t="s">
        <v>248</v>
      </c>
      <c r="E13" s="246">
        <f>VLOOKUP(A13,Export!A:D,4,0)</f>
        <v>4868802</v>
      </c>
      <c r="F13" s="470"/>
      <c r="G13" s="247">
        <f>+VLOOKUP(A13,'PLAN DE PAGO'!A:D,4,0)</f>
        <v>148700</v>
      </c>
      <c r="H13" s="240" t="s">
        <v>3655</v>
      </c>
      <c r="I13" s="462"/>
      <c r="J13" s="244" t="s">
        <v>3621</v>
      </c>
      <c r="K13" s="450"/>
      <c r="L13" s="451">
        <f t="shared" si="0"/>
        <v>0</v>
      </c>
      <c r="M13" s="465" t="b">
        <v>0</v>
      </c>
    </row>
    <row r="14" spans="1:14">
      <c r="A14" s="463">
        <v>2242697</v>
      </c>
      <c r="B14" s="242">
        <f>VLOOKUP(A14,Export!A:N,14,0)</f>
        <v>76478759</v>
      </c>
      <c r="C14" s="243" t="str">
        <f>VLOOKUP(A14,Export!A:P,16,0)</f>
        <v>SOLUCIONES DE INGENIERÍA CESAR CESPEDES SPA</v>
      </c>
      <c r="D14" s="259" t="s">
        <v>3656</v>
      </c>
      <c r="E14" s="246">
        <f>VLOOKUP(A14,Export!A:D,4,0)</f>
        <v>14329489</v>
      </c>
      <c r="F14" s="470"/>
      <c r="G14" s="247">
        <v>2723220</v>
      </c>
      <c r="H14" s="240" t="s">
        <v>3657</v>
      </c>
      <c r="I14" s="462"/>
      <c r="J14" s="244" t="s">
        <v>3621</v>
      </c>
      <c r="K14" s="450"/>
      <c r="L14" s="451">
        <f t="shared" si="0"/>
        <v>0</v>
      </c>
      <c r="M14" s="465" t="b">
        <v>0</v>
      </c>
    </row>
    <row r="15" spans="1:14">
      <c r="A15" s="463">
        <v>2757617</v>
      </c>
      <c r="B15" s="242">
        <f>VLOOKUP(A15,Export!A:N,14,0)</f>
        <v>10908669</v>
      </c>
      <c r="C15" s="243" t="str">
        <f>VLOOKUP(A15,Export!A:P,16,0)</f>
        <v>OSCAR RICARDO ROMERO GONZÁLEZ</v>
      </c>
      <c r="D15" s="259" t="s">
        <v>3658</v>
      </c>
      <c r="E15" s="246">
        <f>VLOOKUP(A15,Export!A:D,4,0)</f>
        <v>9115829</v>
      </c>
      <c r="F15" s="470"/>
      <c r="G15" s="247">
        <v>1500000</v>
      </c>
      <c r="H15" s="240"/>
      <c r="I15" s="462"/>
      <c r="J15" s="244" t="s">
        <v>3621</v>
      </c>
      <c r="K15" s="450"/>
      <c r="L15" s="451">
        <f t="shared" si="0"/>
        <v>0</v>
      </c>
      <c r="M15" s="465" t="b">
        <v>0</v>
      </c>
      <c r="N15" s="260" t="s">
        <v>3659</v>
      </c>
    </row>
    <row r="16" spans="1:14">
      <c r="A16" s="463">
        <v>2056023</v>
      </c>
      <c r="B16" s="242">
        <f>VLOOKUP(A16,Export!A:N,14,0)</f>
        <v>76823538</v>
      </c>
      <c r="C16" s="243" t="str">
        <f>VLOOKUP(A16,Export!A:P,16,0)</f>
        <v>COMERCIALIZADORA CORRALES DEL CAMPO CL  SPA</v>
      </c>
      <c r="D16" s="259" t="s">
        <v>3658</v>
      </c>
      <c r="E16" s="246">
        <f>VLOOKUP(A16,Export!A:D,4,0)</f>
        <v>13686046</v>
      </c>
      <c r="F16" s="470"/>
      <c r="G16" s="247">
        <v>3000000</v>
      </c>
      <c r="I16" s="462"/>
      <c r="J16" s="244" t="s">
        <v>3621</v>
      </c>
      <c r="K16" s="450"/>
      <c r="L16" s="451">
        <f t="shared" si="0"/>
        <v>0</v>
      </c>
      <c r="M16" s="465" t="b">
        <v>0</v>
      </c>
    </row>
    <row r="17" spans="1:14">
      <c r="A17" s="463">
        <v>1966918</v>
      </c>
      <c r="B17" s="242">
        <f>VLOOKUP(A17,Export!A:N,14,0)</f>
        <v>15167058</v>
      </c>
      <c r="C17" s="243" t="str">
        <f>VLOOKUP(A17,Export!A:P,16,0)</f>
        <v>CRISTIAN ALBERTO  REYES  INZUNZA</v>
      </c>
      <c r="D17" s="259" t="s">
        <v>248</v>
      </c>
      <c r="E17" s="246">
        <f>VLOOKUP(A17,Export!A:D,4,0)</f>
        <v>6520106</v>
      </c>
      <c r="F17" s="470">
        <v>1</v>
      </c>
      <c r="G17" s="247">
        <v>280877</v>
      </c>
      <c r="H17" s="240" t="s">
        <v>3660</v>
      </c>
      <c r="I17" s="462"/>
      <c r="J17" s="244" t="s">
        <v>3618</v>
      </c>
      <c r="K17" s="450"/>
      <c r="L17" s="451">
        <f t="shared" si="0"/>
        <v>280877</v>
      </c>
      <c r="M17" s="465" t="b">
        <v>0</v>
      </c>
      <c r="N17" s="260" t="s">
        <v>3661</v>
      </c>
    </row>
    <row r="18" spans="1:14">
      <c r="A18" s="463">
        <v>3289969</v>
      </c>
      <c r="B18" s="242">
        <f>VLOOKUP(A18,Export!A:N,14,0)</f>
        <v>12285582</v>
      </c>
      <c r="C18" s="243" t="str">
        <f>VLOOKUP(A18,Export!A:P,16,0)</f>
        <v>GUILLERMO URBANO NEIRA ROA</v>
      </c>
      <c r="D18" s="259" t="s">
        <v>3662</v>
      </c>
      <c r="E18" s="246">
        <f>VLOOKUP(A18,Export!A:D,4,0)</f>
        <v>11183501</v>
      </c>
      <c r="F18" s="470"/>
      <c r="G18" s="247">
        <v>8387626</v>
      </c>
      <c r="I18" s="462">
        <v>46230</v>
      </c>
      <c r="J18" s="244" t="s">
        <v>3621</v>
      </c>
      <c r="K18" s="450"/>
      <c r="L18" s="451">
        <f t="shared" si="0"/>
        <v>0</v>
      </c>
      <c r="M18" s="465" t="b">
        <v>0</v>
      </c>
    </row>
    <row r="19" spans="1:14">
      <c r="A19" s="463">
        <v>1530466</v>
      </c>
      <c r="B19" s="242">
        <f>VLOOKUP(A19,Export!A:N,14,0)</f>
        <v>15741073</v>
      </c>
      <c r="C19" s="243" t="str">
        <f>VLOOKUP(A19,Export!A:P,16,0)</f>
        <v>YANIRA ANDREA  CHELMES ARAYA</v>
      </c>
      <c r="D19" s="259"/>
      <c r="E19" s="246">
        <f>VLOOKUP(A19,Export!A:D,4,0)</f>
        <v>4391250</v>
      </c>
      <c r="F19" s="470">
        <v>1</v>
      </c>
      <c r="G19" s="247">
        <v>3300000</v>
      </c>
      <c r="I19" s="462">
        <v>46211</v>
      </c>
      <c r="J19" s="244" t="s">
        <v>3618</v>
      </c>
      <c r="K19" s="450"/>
      <c r="L19" s="451">
        <f t="shared" si="0"/>
        <v>3300000</v>
      </c>
      <c r="M19" s="465" t="b">
        <v>0</v>
      </c>
    </row>
    <row r="20" spans="1:14">
      <c r="A20" s="463">
        <v>3136967</v>
      </c>
      <c r="B20" s="242">
        <f>VLOOKUP(A20,Export!A:N,14,0)</f>
        <v>19914674</v>
      </c>
      <c r="C20" s="243" t="str">
        <f>VLOOKUP(A20,Export!A:P,16,0)</f>
        <v>MARIEL ANDREA GARCÍA GONZÁLEZ</v>
      </c>
      <c r="D20" s="259" t="s">
        <v>3663</v>
      </c>
      <c r="E20" s="246">
        <f>VLOOKUP(A20,Export!A:D,4,0)</f>
        <v>4486091</v>
      </c>
      <c r="F20" s="470">
        <v>1</v>
      </c>
      <c r="G20" s="247" t="e">
        <f>+VLOOKUP(A20,'PLAN DE PAGO'!A:D,4,0)</f>
        <v>#N/A</v>
      </c>
      <c r="J20" s="244" t="s">
        <v>3621</v>
      </c>
      <c r="K20" s="450"/>
      <c r="L20" s="451" t="e">
        <f t="shared" si="0"/>
        <v>#N/A</v>
      </c>
      <c r="M20" s="465" t="b">
        <v>0</v>
      </c>
    </row>
    <row r="21" spans="1:14">
      <c r="A21" s="463">
        <v>2751867</v>
      </c>
      <c r="B21" s="242">
        <f>VLOOKUP(A21,Export!A:N,14,0)</f>
        <v>25588177</v>
      </c>
      <c r="C21" s="243" t="str">
        <f>VLOOKUP(A21,Export!A:P,16,0)</f>
        <v>BIANEY YOSELY RODRIGUEZ DELGADO</v>
      </c>
      <c r="D21" s="259" t="s">
        <v>3664</v>
      </c>
      <c r="E21" s="246">
        <f>VLOOKUP(A21,Export!A:D,4,0)</f>
        <v>5982190</v>
      </c>
      <c r="F21" s="470"/>
      <c r="G21" s="247">
        <v>400000</v>
      </c>
      <c r="J21" s="244" t="s">
        <v>3621</v>
      </c>
      <c r="K21" s="450"/>
      <c r="L21" s="451">
        <f t="shared" si="0"/>
        <v>0</v>
      </c>
      <c r="M21" s="465" t="b">
        <v>0</v>
      </c>
    </row>
    <row r="22" spans="1:14">
      <c r="B22" s="242" t="e">
        <f>VLOOKUP(A22,Export!A:N,14,0)</f>
        <v>#N/A</v>
      </c>
      <c r="C22" s="243" t="e">
        <f>VLOOKUP(A22,Export!A:P,16,0)</f>
        <v>#N/A</v>
      </c>
      <c r="D22" s="259"/>
      <c r="E22" s="246" t="e">
        <f>VLOOKUP(A22,Export!A:D,4,0)</f>
        <v>#N/A</v>
      </c>
      <c r="F22" s="470"/>
      <c r="G22" s="247" t="e">
        <f>+VLOOKUP(A22,'PLAN DE PAGO'!A:D,4,0)</f>
        <v>#N/A</v>
      </c>
      <c r="J22" s="244"/>
      <c r="K22" s="450"/>
      <c r="L22" s="451" t="e">
        <f t="shared" si="0"/>
        <v>#N/A</v>
      </c>
      <c r="M22" s="465" t="b">
        <v>0</v>
      </c>
    </row>
    <row r="23" spans="1:14">
      <c r="B23" s="242" t="e">
        <f>VLOOKUP(A23,Export!A:N,14,0)</f>
        <v>#N/A</v>
      </c>
      <c r="C23" s="243" t="e">
        <f>VLOOKUP(A23,Export!A:P,16,0)</f>
        <v>#N/A</v>
      </c>
      <c r="D23" s="259"/>
      <c r="E23" s="246" t="e">
        <f>VLOOKUP(A23,Export!A:D,4,0)</f>
        <v>#N/A</v>
      </c>
      <c r="F23" s="470"/>
      <c r="G23" s="247" t="e">
        <f>+VLOOKUP(A23,'PLAN DE PAGO'!A:D,4,0)</f>
        <v>#N/A</v>
      </c>
      <c r="J23" s="244"/>
      <c r="K23" s="450"/>
      <c r="L23" s="451" t="e">
        <f t="shared" si="0"/>
        <v>#N/A</v>
      </c>
      <c r="M23" s="465" t="b">
        <v>0</v>
      </c>
    </row>
    <row r="24" spans="1:14">
      <c r="B24" s="242" t="e">
        <f>VLOOKUP(A24,Export!A:N,14,0)</f>
        <v>#N/A</v>
      </c>
      <c r="C24" s="243" t="e">
        <f>VLOOKUP(A24,Export!A:P,16,0)</f>
        <v>#N/A</v>
      </c>
      <c r="D24" s="259"/>
      <c r="E24" s="246" t="e">
        <f>VLOOKUP(A24,Export!A:D,4,0)</f>
        <v>#N/A</v>
      </c>
      <c r="F24" s="470"/>
      <c r="G24" s="247" t="e">
        <f>+VLOOKUP(A24,'PLAN DE PAGO'!A:D,4,0)</f>
        <v>#N/A</v>
      </c>
      <c r="J24" s="244"/>
      <c r="K24" s="450"/>
      <c r="M24" s="465" t="b">
        <v>0</v>
      </c>
    </row>
    <row r="25" spans="1:14">
      <c r="E25" s="246"/>
      <c r="F25" s="470"/>
      <c r="L25" s="451" t="e">
        <f>+G24*F24</f>
        <v>#N/A</v>
      </c>
    </row>
    <row r="26" spans="1:14" ht="15.75" thickBot="1">
      <c r="E26" s="246"/>
      <c r="F26" s="470"/>
      <c r="G26" s="471">
        <f>+SUM(G2:G18)</f>
        <v>18697521</v>
      </c>
    </row>
    <row r="27" spans="1:14">
      <c r="A27" s="472" t="s">
        <v>3634</v>
      </c>
      <c r="B27" s="466">
        <v>33500000</v>
      </c>
      <c r="D27" s="471"/>
      <c r="E27" s="246"/>
      <c r="F27" s="470"/>
    </row>
    <row r="28" spans="1:14">
      <c r="A28" s="473" t="s">
        <v>3618</v>
      </c>
      <c r="B28" s="467">
        <f>+SUMIF(J:J,"PAGADO",L:L)</f>
        <v>4248572</v>
      </c>
      <c r="E28" s="246"/>
      <c r="F28" s="470"/>
    </row>
    <row r="29" spans="1:14" ht="15.75" thickBot="1">
      <c r="A29" s="474" t="s">
        <v>3665</v>
      </c>
      <c r="B29" s="468">
        <f>+B28/B27</f>
        <v>0.12682304477611941</v>
      </c>
      <c r="E29" s="246"/>
      <c r="F29" s="470"/>
    </row>
    <row r="30" spans="1:14">
      <c r="E30" s="246"/>
      <c r="F30" s="470"/>
    </row>
    <row r="31" spans="1:14">
      <c r="E31" s="246"/>
      <c r="F31" s="470"/>
    </row>
    <row r="32" spans="1:14">
      <c r="A32" s="463">
        <v>2013176</v>
      </c>
      <c r="B32" s="260" t="s">
        <v>3666</v>
      </c>
      <c r="E32" s="246"/>
      <c r="F32" s="470"/>
    </row>
    <row r="33" spans="1:6">
      <c r="A33" s="463">
        <v>3030656</v>
      </c>
      <c r="B33" s="260" t="s">
        <v>3667</v>
      </c>
      <c r="E33" s="246"/>
      <c r="F33" s="470"/>
    </row>
    <row r="34" spans="1:6">
      <c r="A34" s="463">
        <v>2184639</v>
      </c>
      <c r="B34" s="260" t="s">
        <v>3668</v>
      </c>
      <c r="E34" s="246"/>
      <c r="F34" s="470"/>
    </row>
    <row r="35" spans="1:6">
      <c r="A35" s="259">
        <v>1645952</v>
      </c>
      <c r="E35" s="246"/>
      <c r="F35" s="470"/>
    </row>
    <row r="36" spans="1:6">
      <c r="A36" s="259">
        <v>2310878</v>
      </c>
      <c r="E36" s="246"/>
      <c r="F36" s="470"/>
    </row>
    <row r="37" spans="1:6">
      <c r="A37" s="259">
        <v>2361546</v>
      </c>
      <c r="B37" s="260" t="s">
        <v>3669</v>
      </c>
      <c r="E37" s="246"/>
      <c r="F37" s="470"/>
    </row>
    <row r="38" spans="1:6">
      <c r="A38" s="259">
        <v>3142604</v>
      </c>
      <c r="B38" s="260" t="s">
        <v>3670</v>
      </c>
      <c r="E38" s="246"/>
      <c r="F38" s="470"/>
    </row>
    <row r="39" spans="1:6">
      <c r="A39" s="259">
        <v>1891178</v>
      </c>
      <c r="B39" s="260" t="s">
        <v>3669</v>
      </c>
      <c r="E39" s="246"/>
      <c r="F39" s="470"/>
    </row>
    <row r="40" spans="1:6">
      <c r="A40" s="463">
        <v>2926004</v>
      </c>
      <c r="E40" s="246"/>
      <c r="F40" s="470"/>
    </row>
    <row r="41" spans="1:6">
      <c r="A41" s="463">
        <v>1996495</v>
      </c>
      <c r="B41" s="260" t="s">
        <v>3671</v>
      </c>
      <c r="E41" s="246"/>
      <c r="F41" s="470"/>
    </row>
    <row r="42" spans="1:6">
      <c r="A42" s="463">
        <v>1479919</v>
      </c>
      <c r="B42" s="260" t="s">
        <v>3672</v>
      </c>
      <c r="E42" s="246"/>
      <c r="F42" s="470"/>
    </row>
    <row r="43" spans="1:6">
      <c r="A43" s="463">
        <v>1540238</v>
      </c>
      <c r="B43" s="260" t="s">
        <v>3673</v>
      </c>
      <c r="E43" s="246"/>
      <c r="F43" s="470"/>
    </row>
    <row r="44" spans="1:6">
      <c r="A44" s="463">
        <v>2926004</v>
      </c>
      <c r="B44" s="260" t="s">
        <v>3674</v>
      </c>
      <c r="E44" s="246"/>
      <c r="F44" s="470"/>
    </row>
    <row r="45" spans="1:6">
      <c r="A45" s="507">
        <v>2577744</v>
      </c>
      <c r="B45" s="260" t="s">
        <v>3675</v>
      </c>
      <c r="E45" s="246"/>
      <c r="F45" s="470"/>
    </row>
    <row r="46" spans="1:6">
      <c r="A46" s="463">
        <v>1782538</v>
      </c>
      <c r="B46" s="260" t="s">
        <v>3674</v>
      </c>
      <c r="E46" s="246"/>
      <c r="F46" s="470"/>
    </row>
    <row r="47" spans="1:6">
      <c r="A47" s="507">
        <v>2959119</v>
      </c>
      <c r="B47" s="260" t="s">
        <v>3676</v>
      </c>
      <c r="E47" s="246"/>
      <c r="F47" s="470"/>
    </row>
    <row r="48" spans="1:6">
      <c r="A48" s="507">
        <v>2246738</v>
      </c>
    </row>
    <row r="49" spans="1:2">
      <c r="A49" s="463">
        <v>3111100</v>
      </c>
      <c r="B49" s="260" t="s">
        <v>3677</v>
      </c>
    </row>
  </sheetData>
  <conditionalFormatting sqref="A35:A39">
    <cfRule type="expression" dxfId="40" priority="1">
      <formula>$J35="PAGADO"</formula>
    </cfRule>
    <cfRule type="duplicateValues" dxfId="39" priority="2"/>
  </conditionalFormatting>
  <conditionalFormatting sqref="A2:N2 G3:K9 A3:F11 L3:N23 G10:J13 K10:K24 D12 A12:C13 E12:F13 A14:J24 M24:N24 A25:N26 A27:C27 E27:N27 A28:N34 B35:N39 A40:N44 B45:N45 A46:N46 B47:N47">
    <cfRule type="expression" dxfId="38" priority="3">
      <formula>$J2="PAGADO"</formula>
    </cfRule>
  </conditionalFormatting>
  <conditionalFormatting sqref="D13 L25">
    <cfRule type="expression" dxfId="37" priority="244">
      <formula>$J12="PAGADO"</formula>
    </cfRule>
  </conditionalFormatting>
  <dataValidations count="5">
    <dataValidation type="list" allowBlank="1" showInputMessage="1" showErrorMessage="1" sqref="D1" xr:uid="{F8C25B28-20D0-4346-833B-EE35AF95E147}">
      <formula1>"DACIÓN,PLAN DE PAGO,NUEVO PLAN DE PAGO,EXCEPCION PUT, PUT EN PARTES, INTENCION DE PAGO"</formula1>
    </dataValidation>
    <dataValidation type="list" allowBlank="1" showInputMessage="1" showErrorMessage="1" sqref="D1" xr:uid="{F1258203-166C-4A81-9010-3E99F4CD990D}">
      <formula1>"DACIÓN,RENEGOCIACIÓN,PAGO CUOTAS,PREPAGO,PLAN DE PAGO,EXCEPCION PUT"</formula1>
    </dataValidation>
    <dataValidation type="date" operator="greaterThan" allowBlank="1" showInputMessage="1" showErrorMessage="1" sqref="I9 I1:I6" xr:uid="{74079D8E-0CB8-4AB2-9055-B9EF975FE01B}">
      <formula1>45870</formula1>
    </dataValidation>
    <dataValidation type="list" allowBlank="1" showInputMessage="1" showErrorMessage="1" sqref="J1:J24" xr:uid="{817578DE-FA0E-4EFD-92C5-F22361B74FEB}">
      <formula1>"PAGADO,PENDIENTE,ROTO"</formula1>
    </dataValidation>
    <dataValidation type="list" allowBlank="1" showInputMessage="1" showErrorMessage="1" sqref="D2:D24" xr:uid="{9DE6A277-EE4C-4ADE-8C48-D0A9CB77E194}">
      <formula1>",PLAN DE PAGO,DACION,CHEQUE,NUEVO PLAN DE PAGO,EXCEPCION PUT, PUT EN PARTES, INTENCION DE PAGO"</formula1>
    </dataValidation>
  </dataValidations>
  <hyperlinks>
    <hyperlink ref="A45" r:id="rId1" display="https://dev.bigbytes.cc/row/gestion?rut=25810620&amp;idCartera=519" xr:uid="{EA6AF0CE-299A-46C3-A56A-F504B2BFE928}"/>
    <hyperlink ref="A47" r:id="rId2" display="https://dev.bigbytes.cc/row/gestion?idCartera=519&amp;rut=19898341&amp;fono=965066157&amp;idMandante=6&amp;campanaDocumentoVi=16400735&amp;leadId=23425362&amp;recordingId=&amp;uniqueId=1784147273.1290416&amp;callid=V7151627530023425362&amp;campana=13376" xr:uid="{4DE0A8FC-F2B7-4C83-946F-A5CB8CB427A4}"/>
    <hyperlink ref="A48" r:id="rId3" display="https://dev.bigbytes.cc/row/gestion?idCartera=519&amp;rut=8457326&amp;fono=998503973&amp;idMandante=6&amp;campanaDocumentoVi=16460253&amp;leadId=23514252&amp;recordingId=&amp;uniqueId=1784306791.1408933&amp;callid=V7171246290023514252&amp;campana=13414" xr:uid="{47C017AA-2147-43EC-819E-BBE44788A5D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C0649-B05C-463D-BB05-5CB334B17178}">
  <dimension ref="A1:S29"/>
  <sheetViews>
    <sheetView workbookViewId="0">
      <selection activeCell="A24" sqref="A24"/>
    </sheetView>
  </sheetViews>
  <sheetFormatPr defaultColWidth="11.42578125" defaultRowHeight="15"/>
  <cols>
    <col min="1" max="1" width="11.42578125" style="2"/>
    <col min="3" max="3" width="30.42578125" customWidth="1"/>
    <col min="4" max="4" width="15.140625" customWidth="1"/>
    <col min="5" max="5" width="14.42578125" customWidth="1"/>
    <col min="6" max="6" width="15.140625" customWidth="1"/>
    <col min="7" max="7" width="18.85546875" customWidth="1"/>
    <col min="8" max="8" width="19.140625" customWidth="1"/>
    <col min="16" max="16" width="15" customWidth="1"/>
  </cols>
  <sheetData>
    <row r="1" spans="1:19" s="138" customFormat="1" ht="15.75">
      <c r="A1" s="409" t="s">
        <v>3598</v>
      </c>
      <c r="B1" s="131" t="s">
        <v>36</v>
      </c>
      <c r="C1" s="132" t="s">
        <v>3599</v>
      </c>
      <c r="D1" s="133" t="s">
        <v>3600</v>
      </c>
      <c r="E1" s="130" t="s">
        <v>3603</v>
      </c>
      <c r="F1" s="134" t="s">
        <v>3607</v>
      </c>
      <c r="G1" s="132" t="s">
        <v>3678</v>
      </c>
      <c r="H1" s="132" t="s">
        <v>3643</v>
      </c>
      <c r="I1" s="135" t="s">
        <v>3609</v>
      </c>
      <c r="J1" s="133" t="s">
        <v>3610</v>
      </c>
      <c r="K1" s="136" t="s">
        <v>3611</v>
      </c>
      <c r="L1" s="134" t="s">
        <v>3612</v>
      </c>
      <c r="M1" s="130" t="s">
        <v>3613</v>
      </c>
      <c r="N1" s="132" t="s">
        <v>3679</v>
      </c>
      <c r="O1" s="137" t="s">
        <v>3614</v>
      </c>
      <c r="P1" s="138" t="s">
        <v>3615</v>
      </c>
      <c r="R1" s="139" t="s">
        <v>3680</v>
      </c>
      <c r="S1" s="140" t="s">
        <v>3681</v>
      </c>
    </row>
    <row r="2" spans="1:19" s="152" customFormat="1">
      <c r="A2" s="410">
        <v>2359330</v>
      </c>
      <c r="B2" s="176">
        <f>VLOOKUP(A2,Export!A:N,14,0)</f>
        <v>14387173</v>
      </c>
      <c r="C2" s="177" t="str">
        <f>VLOOKUP(A2,Export!A:P,16,0)</f>
        <v>SOLEDAD DEL CARMEN ALFARO PINTO</v>
      </c>
      <c r="D2" s="178" t="str">
        <f>VLOOKUP(A2,Export!A:H,8,0)</f>
        <v>366-730</v>
      </c>
      <c r="E2" s="175" t="s">
        <v>248</v>
      </c>
      <c r="F2" s="179">
        <f>VLOOKUP(A2,'[1]ORIGINAL '!D:M,5,0)</f>
        <v>17079615</v>
      </c>
      <c r="G2" s="180">
        <v>294000</v>
      </c>
      <c r="H2" s="181" t="s">
        <v>3645</v>
      </c>
      <c r="I2" s="213">
        <v>46147</v>
      </c>
      <c r="J2" s="178" t="s">
        <v>3618</v>
      </c>
      <c r="K2" s="182"/>
      <c r="L2" s="149">
        <f t="shared" ref="L2:L6" si="0">SUMIF(J2,"PAGADO",G2)</f>
        <v>294000</v>
      </c>
      <c r="M2" s="152" t="s">
        <v>3682</v>
      </c>
      <c r="N2" s="143"/>
      <c r="O2" s="150" t="b">
        <v>0</v>
      </c>
      <c r="P2" s="151" t="e">
        <f>VLOOKUP(A2,'[1]ORIGINAL '!D:I,6,0)</f>
        <v>#N/A</v>
      </c>
    </row>
    <row r="3" spans="1:19" s="152" customFormat="1">
      <c r="A3" s="411">
        <v>1923591</v>
      </c>
      <c r="B3" s="142">
        <f>VLOOKUP(A3,Export!A:N,14,0)</f>
        <v>16647012</v>
      </c>
      <c r="C3" s="143" t="str">
        <f>VLOOKUP(A3,Export!A:P,16,0)</f>
        <v>FABRICIO ALEJANDRO  VALENZUELA LEIVA</v>
      </c>
      <c r="D3" s="144" t="str">
        <f>VLOOKUP(A3,Export!A:H,8,0)</f>
        <v>0-365</v>
      </c>
      <c r="E3" s="141" t="s">
        <v>248</v>
      </c>
      <c r="F3" s="145">
        <f>VLOOKUP(A3,'[1]ORIGINAL '!D:M,5,0)</f>
        <v>11082144</v>
      </c>
      <c r="G3" s="146">
        <v>170895</v>
      </c>
      <c r="H3" s="147">
        <v>6</v>
      </c>
      <c r="I3" s="214">
        <v>46147</v>
      </c>
      <c r="J3" s="144" t="s">
        <v>3618</v>
      </c>
      <c r="K3" s="148"/>
      <c r="L3" s="149">
        <f t="shared" si="0"/>
        <v>170895</v>
      </c>
      <c r="M3" s="152" t="s">
        <v>3683</v>
      </c>
      <c r="N3" s="143"/>
      <c r="O3" s="150" t="b">
        <v>0</v>
      </c>
      <c r="P3" s="151" t="e">
        <f>VLOOKUP(A3,'[1]ORIGINAL '!D:I,6,0)</f>
        <v>#N/A</v>
      </c>
    </row>
    <row r="4" spans="1:19" s="152" customFormat="1">
      <c r="A4" s="411">
        <v>1987553</v>
      </c>
      <c r="B4" s="142">
        <f>VLOOKUP(A4,Export!A:N,14,0)</f>
        <v>15242687</v>
      </c>
      <c r="C4" s="143" t="str">
        <f>VLOOKUP(A4,Export!A:P,16,0)</f>
        <v>GIORGIO GENNARO SARTORI TORRES</v>
      </c>
      <c r="D4" s="144" t="str">
        <f>VLOOKUP(A4,Export!A:H,8,0)</f>
        <v>366-730</v>
      </c>
      <c r="E4" s="141" t="s">
        <v>248</v>
      </c>
      <c r="F4" s="145">
        <f>VLOOKUP(A4,'[1]ORIGINAL '!D:M,5,0)</f>
        <v>10554087</v>
      </c>
      <c r="G4" s="146">
        <v>348087</v>
      </c>
      <c r="H4" s="147" t="s">
        <v>3648</v>
      </c>
      <c r="I4" s="214">
        <v>46142</v>
      </c>
      <c r="J4" s="144" t="s">
        <v>3618</v>
      </c>
      <c r="K4" s="148"/>
      <c r="L4" s="149">
        <f t="shared" si="0"/>
        <v>348087</v>
      </c>
      <c r="M4" s="152" t="s">
        <v>3684</v>
      </c>
      <c r="N4" s="143"/>
      <c r="O4" s="150" t="b">
        <v>0</v>
      </c>
      <c r="P4" s="151" t="e">
        <f>VLOOKUP(A4,'[1]ORIGINAL '!D:I,6,0)</f>
        <v>#N/A</v>
      </c>
      <c r="R4" s="153"/>
    </row>
    <row r="5" spans="1:19" s="152" customFormat="1">
      <c r="A5" s="411">
        <v>1769156</v>
      </c>
      <c r="B5" s="142">
        <f>VLOOKUP(A5,Export!A:N,14,0)</f>
        <v>7710884</v>
      </c>
      <c r="C5" s="143" t="str">
        <f>VLOOKUP(A5,Export!A:P,16,0)</f>
        <v>MARÍA ANGÉLICA VERGARA SILVA</v>
      </c>
      <c r="D5" s="144" t="str">
        <f>VLOOKUP(A5,Export!A:H,8,0)</f>
        <v>366-730</v>
      </c>
      <c r="E5" s="141" t="s">
        <v>248</v>
      </c>
      <c r="F5" s="145">
        <f>VLOOKUP(A5,'[1]ORIGINAL '!D:M,5,0)</f>
        <v>7241243</v>
      </c>
      <c r="G5" s="146">
        <v>197552</v>
      </c>
      <c r="H5" s="147" t="s">
        <v>3558</v>
      </c>
      <c r="I5" s="214">
        <v>46127</v>
      </c>
      <c r="J5" s="144" t="s">
        <v>3618</v>
      </c>
      <c r="K5" s="148"/>
      <c r="L5" s="149">
        <f t="shared" si="0"/>
        <v>197552</v>
      </c>
      <c r="N5" s="143"/>
      <c r="O5" s="150" t="b">
        <v>0</v>
      </c>
      <c r="P5" s="151" t="e">
        <f>VLOOKUP(A5,'[1]ORIGINAL '!D:I,6,0)</f>
        <v>#N/A</v>
      </c>
      <c r="R5" s="153"/>
    </row>
    <row r="6" spans="1:19" s="152" customFormat="1">
      <c r="A6" s="141">
        <v>1700218</v>
      </c>
      <c r="B6" s="142">
        <f>VLOOKUP(A6,Export!A:N,14,0)</f>
        <v>12218160</v>
      </c>
      <c r="C6" s="143" t="str">
        <f>VLOOKUP(A6,Export!A:P,16,0)</f>
        <v>JUAN ALEX  OLIVARES  ALANO</v>
      </c>
      <c r="D6" s="144" t="str">
        <f>VLOOKUP(A6,Export!A:H,8,0)</f>
        <v>0-365</v>
      </c>
      <c r="E6" s="141" t="s">
        <v>3658</v>
      </c>
      <c r="F6" s="145">
        <f>VLOOKUP(A6,'[1]ORIGINAL '!D:M,5,0)</f>
        <v>6879999</v>
      </c>
      <c r="G6" s="146">
        <v>1400000</v>
      </c>
      <c r="H6" s="154"/>
      <c r="I6" s="214">
        <v>46157</v>
      </c>
      <c r="J6" s="144" t="s">
        <v>3618</v>
      </c>
      <c r="K6" s="148"/>
      <c r="L6" s="149">
        <f t="shared" si="0"/>
        <v>1400000</v>
      </c>
      <c r="M6" s="152" t="s">
        <v>3683</v>
      </c>
      <c r="N6" s="143"/>
      <c r="O6" s="150" t="b">
        <v>0</v>
      </c>
      <c r="P6" s="151" t="e">
        <f>VLOOKUP(A6,'[1]ORIGINAL '!D:I,6,0)</f>
        <v>#N/A</v>
      </c>
    </row>
    <row r="7" spans="1:19">
      <c r="A7" s="239">
        <v>1735638</v>
      </c>
      <c r="B7" s="142">
        <f>VLOOKUP(A7,Export!A:N,14,0)</f>
        <v>15656935</v>
      </c>
      <c r="C7" s="143" t="str">
        <f>VLOOKUP(A7,Export!A:P,16,0)</f>
        <v>RAMÓN ALONSO VÁSQUEZ BUSTOS</v>
      </c>
      <c r="D7" s="144" t="str">
        <f>VLOOKUP(A7,Export!A:H,8,0)</f>
        <v>0-365</v>
      </c>
      <c r="E7" s="75" t="s">
        <v>3658</v>
      </c>
      <c r="F7" s="145">
        <v>1000000</v>
      </c>
      <c r="G7" s="146">
        <f t="shared" ref="G7" si="1">F7</f>
        <v>1000000</v>
      </c>
      <c r="H7" s="147" t="s">
        <v>3685</v>
      </c>
      <c r="I7" s="3">
        <v>46149</v>
      </c>
      <c r="J7" t="s">
        <v>3686</v>
      </c>
      <c r="L7" s="4">
        <v>1000000</v>
      </c>
    </row>
    <row r="8" spans="1:19" s="174" customFormat="1">
      <c r="A8" s="410">
        <v>2359330</v>
      </c>
      <c r="B8" s="176">
        <f>VLOOKUP(A8,Export!A:N,14,0)</f>
        <v>14387173</v>
      </c>
      <c r="C8" s="177" t="str">
        <f>VLOOKUP(A8,Export!A:P,16,0)</f>
        <v>SOLEDAD DEL CARMEN ALFARO PINTO</v>
      </c>
      <c r="D8" s="178" t="str">
        <f>VLOOKUP(A8,Export!A:H,8,0)</f>
        <v>366-730</v>
      </c>
      <c r="E8" s="174" t="s">
        <v>248</v>
      </c>
      <c r="F8" s="179">
        <f>VLOOKUP(A8,'[1]ORIGINAL '!D:M,5,0)</f>
        <v>17079615</v>
      </c>
      <c r="G8" s="180">
        <v>457241</v>
      </c>
      <c r="H8" s="181" t="s">
        <v>3649</v>
      </c>
      <c r="I8" s="215">
        <v>46171</v>
      </c>
      <c r="J8" s="174" t="s">
        <v>3687</v>
      </c>
      <c r="K8" s="215">
        <v>46171</v>
      </c>
      <c r="L8" s="344">
        <v>457241</v>
      </c>
    </row>
    <row r="9" spans="1:19">
      <c r="A9" s="411">
        <v>2410360</v>
      </c>
      <c r="B9" s="142">
        <f>VLOOKUP(A9,Export!A:N,14,0)</f>
        <v>13291544</v>
      </c>
      <c r="C9" s="143" t="str">
        <f>VLOOKUP(A9,Export!A:P,16,0)</f>
        <v>ANDREA DEL PILAR GONZÁLEZ URETA</v>
      </c>
      <c r="D9" s="144" t="str">
        <f>VLOOKUP(A9,Export!A:H,8,0)</f>
        <v>0-365</v>
      </c>
      <c r="E9" t="s">
        <v>248</v>
      </c>
      <c r="F9" s="145">
        <f>VLOOKUP(A9,'[1]ORIGINAL '!D:M,5,0)</f>
        <v>5047680</v>
      </c>
      <c r="G9" s="146">
        <v>274744</v>
      </c>
      <c r="H9" s="173" t="s">
        <v>3688</v>
      </c>
      <c r="I9" s="3">
        <v>46167</v>
      </c>
      <c r="J9" t="s">
        <v>3686</v>
      </c>
      <c r="L9" s="4">
        <v>246730</v>
      </c>
    </row>
    <row r="10" spans="1:19">
      <c r="A10" s="175">
        <v>1858227</v>
      </c>
      <c r="B10" s="142" t="e">
        <f>VLOOKUP(A10,Export!A:N,14,0)</f>
        <v>#N/A</v>
      </c>
      <c r="C10" s="143" t="e">
        <f>VLOOKUP(A10,Export!A:P,16,0)</f>
        <v>#N/A</v>
      </c>
      <c r="D10" s="174"/>
      <c r="E10" s="174" t="s">
        <v>3689</v>
      </c>
      <c r="F10" s="174">
        <v>6900000</v>
      </c>
      <c r="G10" s="174">
        <v>6900000</v>
      </c>
      <c r="H10" s="174"/>
      <c r="I10" s="215">
        <v>46150</v>
      </c>
      <c r="J10" s="174" t="s">
        <v>3690</v>
      </c>
      <c r="L10" s="4">
        <v>6900000</v>
      </c>
    </row>
    <row r="11" spans="1:19" s="152" customFormat="1">
      <c r="A11" s="410">
        <v>1769156</v>
      </c>
      <c r="B11" s="142">
        <f>VLOOKUP(A11,Export!A:N,14,0)</f>
        <v>7710884</v>
      </c>
      <c r="C11" s="143" t="str">
        <f>VLOOKUP(A11,Export!A:P,16,0)</f>
        <v>MARÍA ANGÉLICA VERGARA SILVA</v>
      </c>
      <c r="D11" s="144" t="str">
        <f>VLOOKUP(A11,Export!A:H,8,0)</f>
        <v>366-730</v>
      </c>
      <c r="E11" s="141" t="s">
        <v>248</v>
      </c>
      <c r="F11" s="145">
        <f>VLOOKUP(A11,'[1]ORIGINAL '!D:M,5,0)</f>
        <v>7241243</v>
      </c>
      <c r="G11" s="146">
        <v>197552</v>
      </c>
      <c r="H11" s="147" t="s">
        <v>3651</v>
      </c>
      <c r="I11" s="214">
        <v>46157</v>
      </c>
      <c r="J11" s="144" t="s">
        <v>3618</v>
      </c>
      <c r="K11" s="148"/>
      <c r="L11" s="149">
        <f t="shared" ref="L11" si="2">SUMIF(J11,"PAGADO",G11)</f>
        <v>197552</v>
      </c>
      <c r="N11" s="143"/>
      <c r="O11" s="150" t="b">
        <v>0</v>
      </c>
      <c r="P11" s="151" t="e">
        <f>VLOOKUP(A11,'[1]ORIGINAL '!D:I,6,0)</f>
        <v>#N/A</v>
      </c>
      <c r="R11" s="153"/>
    </row>
    <row r="12" spans="1:19" s="245" customFormat="1">
      <c r="A12" s="259">
        <v>1914398</v>
      </c>
      <c r="B12" s="242" t="e">
        <f>VLOOKUP(A12,Export!A:N,14,0)</f>
        <v>#N/A</v>
      </c>
      <c r="C12" s="243" t="e">
        <f>VLOOKUP(A12,Export!A:P,16,0)</f>
        <v>#N/A</v>
      </c>
      <c r="D12" s="244" t="e">
        <f>VLOOKUP(A12,Export!A:H,8,0)</f>
        <v>#N/A</v>
      </c>
      <c r="E12" s="260" t="s">
        <v>3689</v>
      </c>
      <c r="F12" s="246">
        <f>VLOOKUP(A12,'[1]ORIGINAL '!D:M,5,0)</f>
        <v>7257716</v>
      </c>
      <c r="G12" s="247">
        <v>5443287</v>
      </c>
      <c r="H12" s="240" t="s">
        <v>3691</v>
      </c>
      <c r="I12" s="248"/>
      <c r="J12" s="245" t="s">
        <v>3692</v>
      </c>
      <c r="L12" s="249">
        <v>457241</v>
      </c>
    </row>
    <row r="13" spans="1:19" s="245" customFormat="1">
      <c r="A13" s="259">
        <v>3136967</v>
      </c>
      <c r="B13" s="242">
        <f>VLOOKUP(A13,Export!A:N,14,0)</f>
        <v>19914674</v>
      </c>
      <c r="C13" s="243" t="str">
        <f>VLOOKUP(A13,Export!A:P,16,0)</f>
        <v>MARIEL ANDREA GARCÍA GONZÁLEZ</v>
      </c>
      <c r="D13" s="244" t="str">
        <f>VLOOKUP(A13,Export!A:H,8,0)</f>
        <v>0-365</v>
      </c>
      <c r="E13" s="42" t="s">
        <v>3658</v>
      </c>
      <c r="F13" s="246">
        <v>1000000</v>
      </c>
      <c r="G13" s="247">
        <f t="shared" ref="G13:G14" si="3">F13</f>
        <v>1000000</v>
      </c>
      <c r="H13" s="240" t="s">
        <v>3693</v>
      </c>
      <c r="I13" s="248"/>
      <c r="J13" s="245" t="s">
        <v>3692</v>
      </c>
      <c r="L13" s="249">
        <v>457241</v>
      </c>
    </row>
    <row r="14" spans="1:19" s="245" customFormat="1" ht="15.75" customHeight="1">
      <c r="A14" s="412">
        <v>1638465</v>
      </c>
      <c r="B14" s="242">
        <f>VLOOKUP(A14,Export!A:N,14,0)</f>
        <v>27070326</v>
      </c>
      <c r="C14" s="243" t="str">
        <f>VLOOKUP(A14,Export!A:P,16,0)</f>
        <v>LIBIA ROSA  VERA TUBIÑEZ</v>
      </c>
      <c r="D14" s="244" t="str">
        <f>VLOOKUP(A14,Export!A:H,8,0)</f>
        <v>366-730</v>
      </c>
      <c r="E14" s="245" t="s">
        <v>248</v>
      </c>
      <c r="F14" s="246">
        <f>VLOOKUP(A14,'[1]ORIGINAL '!D:M,5,0)</f>
        <v>3871396</v>
      </c>
      <c r="G14" s="247">
        <f t="shared" si="3"/>
        <v>3871396</v>
      </c>
      <c r="H14" s="240" t="s">
        <v>3693</v>
      </c>
      <c r="I14" s="248"/>
      <c r="J14" s="245" t="s">
        <v>3692</v>
      </c>
      <c r="L14" s="249">
        <v>457241</v>
      </c>
    </row>
    <row r="15" spans="1:19" s="245" customFormat="1">
      <c r="A15" s="412">
        <v>2041907</v>
      </c>
      <c r="B15" s="242">
        <f>VLOOKUP(A15,Export!A:N,14,0)</f>
        <v>12446328</v>
      </c>
      <c r="C15" s="243" t="str">
        <f>VLOOKUP(A15,Export!A:P,16,0)</f>
        <v>CLAUDIA LORENA ROJAS ARRIARÁN</v>
      </c>
      <c r="D15" s="244" t="str">
        <f>VLOOKUP(A15,Export!A:H,8,0)</f>
        <v>366-730</v>
      </c>
      <c r="E15" s="245" t="s">
        <v>248</v>
      </c>
      <c r="F15" s="246">
        <f>VLOOKUP(A15,'[1]ORIGINAL '!D:M,5,0)</f>
        <v>8500246</v>
      </c>
      <c r="G15" s="247">
        <v>202800</v>
      </c>
      <c r="H15" s="240" t="s">
        <v>3653</v>
      </c>
      <c r="I15" s="248">
        <v>46171</v>
      </c>
      <c r="J15" s="245" t="s">
        <v>3692</v>
      </c>
      <c r="L15" s="249">
        <v>457241</v>
      </c>
    </row>
    <row r="16" spans="1:19" s="245" customFormat="1">
      <c r="A16" s="412">
        <v>1791083</v>
      </c>
      <c r="B16" s="242">
        <f>VLOOKUP(A16,Export!A:N,14,0)</f>
        <v>15236244</v>
      </c>
      <c r="C16" s="243" t="str">
        <f>VLOOKUP(A16,Export!A:P,16,0)</f>
        <v>RUBÉN ANER CARILAO BARRA</v>
      </c>
      <c r="D16" s="244" t="str">
        <f>VLOOKUP(A16,Export!A:H,8,0)</f>
        <v>366-730</v>
      </c>
      <c r="E16" s="245" t="s">
        <v>248</v>
      </c>
      <c r="F16" s="246">
        <f>VLOOKUP(A16,'[1]ORIGINAL '!D:M,5,0)</f>
        <v>7569433</v>
      </c>
      <c r="G16" s="247">
        <f t="shared" ref="G16:G21" si="4">F16</f>
        <v>7569433</v>
      </c>
      <c r="H16" s="240" t="s">
        <v>3654</v>
      </c>
      <c r="I16" s="248"/>
      <c r="J16" s="245" t="s">
        <v>3692</v>
      </c>
      <c r="L16" s="249">
        <v>457241</v>
      </c>
    </row>
    <row r="17" spans="1:12" s="320" customFormat="1">
      <c r="A17" s="413">
        <v>1644932</v>
      </c>
      <c r="B17" s="317">
        <f>VLOOKUP(A17,Export!A:N,14,0)</f>
        <v>16002296</v>
      </c>
      <c r="C17" s="318" t="str">
        <f>VLOOKUP(A17,Export!A:P,16,0)</f>
        <v>MIGUEL ANGEL  ACEVEDO ARAVENA</v>
      </c>
      <c r="D17" s="319" t="str">
        <f>VLOOKUP(A17,Export!A:H,8,0)</f>
        <v>366-730</v>
      </c>
      <c r="E17" s="320" t="s">
        <v>248</v>
      </c>
      <c r="F17" s="321">
        <f>VLOOKUP(A17,'[1]ORIGINAL '!D:M,5,0)</f>
        <v>4868802</v>
      </c>
      <c r="G17" s="322">
        <v>148700</v>
      </c>
      <c r="H17" s="323" t="s">
        <v>3655</v>
      </c>
      <c r="I17" s="324">
        <v>46171</v>
      </c>
      <c r="J17" s="320" t="s">
        <v>3692</v>
      </c>
      <c r="K17" s="320" t="s">
        <v>3694</v>
      </c>
      <c r="L17" s="325">
        <v>457241</v>
      </c>
    </row>
    <row r="18" spans="1:12" s="245" customFormat="1">
      <c r="A18" s="414">
        <v>1700218</v>
      </c>
      <c r="B18" s="242">
        <f>VLOOKUP(A18,Export!A:N,14,0)</f>
        <v>12218160</v>
      </c>
      <c r="C18" s="243" t="str">
        <f>VLOOKUP(A18,Export!A:P,16,0)</f>
        <v>JUAN ALEX  OLIVARES  ALANO</v>
      </c>
      <c r="D18" s="244" t="str">
        <f>VLOOKUP(A18,Export!A:H,8,0)</f>
        <v>0-365</v>
      </c>
      <c r="E18" s="245" t="s">
        <v>248</v>
      </c>
      <c r="F18" s="246">
        <f>VLOOKUP(A18,'[1]ORIGINAL '!D:M,5,0)</f>
        <v>6879999</v>
      </c>
      <c r="G18" s="247">
        <v>259734</v>
      </c>
      <c r="H18" s="240" t="s">
        <v>3695</v>
      </c>
      <c r="I18" s="248">
        <v>46164</v>
      </c>
      <c r="J18" s="245" t="s">
        <v>3692</v>
      </c>
      <c r="L18" s="249">
        <v>457241</v>
      </c>
    </row>
    <row r="19" spans="1:12" s="245" customFormat="1">
      <c r="A19" s="414">
        <v>1891178</v>
      </c>
      <c r="B19" s="242">
        <f>VLOOKUP(A19,Export!A:N,14,0)</f>
        <v>26313552</v>
      </c>
      <c r="C19" s="243" t="str">
        <f>VLOOKUP(A19,Export!A:P,16,0)</f>
        <v>WILLIAMS JOSE  CHACIN MARTINEZ</v>
      </c>
      <c r="D19" s="244" t="str">
        <f>VLOOKUP(A19,Export!A:H,8,0)</f>
        <v>0-365</v>
      </c>
      <c r="E19" s="245" t="s">
        <v>248</v>
      </c>
      <c r="F19" s="246">
        <f>VLOOKUP(A19,'[1]ORIGINAL '!D:M,5,0)</f>
        <v>6382600</v>
      </c>
      <c r="G19" s="247">
        <f t="shared" si="4"/>
        <v>6382600</v>
      </c>
      <c r="H19" s="240" t="s">
        <v>3693</v>
      </c>
      <c r="I19" s="248"/>
      <c r="J19" s="245" t="s">
        <v>3692</v>
      </c>
      <c r="L19" s="249">
        <v>457241</v>
      </c>
    </row>
    <row r="20" spans="1:12" s="253" customFormat="1">
      <c r="A20" s="415">
        <v>1923591</v>
      </c>
      <c r="B20" s="250">
        <f>VLOOKUP(A20,Export!A:N,14,0)</f>
        <v>16647012</v>
      </c>
      <c r="C20" s="251" t="str">
        <f>VLOOKUP(A20,Export!A:P,16,0)</f>
        <v>FABRICIO ALEJANDRO  VALENZUELA LEIVA</v>
      </c>
      <c r="D20" s="252" t="str">
        <f>VLOOKUP(A20,Export!A:H,8,0)</f>
        <v>0-365</v>
      </c>
      <c r="E20" s="253" t="s">
        <v>248</v>
      </c>
      <c r="F20" s="254">
        <f>VLOOKUP(A20,'[1]ORIGINAL '!D:M,5,0)</f>
        <v>11082144</v>
      </c>
      <c r="G20" s="255">
        <f t="shared" si="4"/>
        <v>11082144</v>
      </c>
      <c r="H20" s="256" t="s">
        <v>3696</v>
      </c>
      <c r="I20" s="257"/>
      <c r="J20" s="253" t="s">
        <v>3618</v>
      </c>
      <c r="L20" s="258">
        <v>457241</v>
      </c>
    </row>
    <row r="21" spans="1:12" s="245" customFormat="1">
      <c r="A21" s="414">
        <v>2221834</v>
      </c>
      <c r="B21" s="242">
        <f>VLOOKUP(A21,Export!A:N,14,0)</f>
        <v>26793032</v>
      </c>
      <c r="C21" s="243" t="str">
        <f>VLOOKUP(A21,Export!A:P,16,0)</f>
        <v>CARLOS ALBERTO GIANNOTTY MORENO</v>
      </c>
      <c r="D21" s="244" t="str">
        <f>VLOOKUP(A21,Export!A:H,8,0)</f>
        <v>366-730</v>
      </c>
      <c r="E21" s="245" t="s">
        <v>248</v>
      </c>
      <c r="F21" s="246">
        <f>VLOOKUP(A21,'[1]ORIGINAL '!D:M,5,0)</f>
        <v>3892558</v>
      </c>
      <c r="G21" s="247">
        <f t="shared" si="4"/>
        <v>3892558</v>
      </c>
      <c r="H21" s="240" t="s">
        <v>3693</v>
      </c>
      <c r="I21" s="248"/>
      <c r="J21" s="245" t="s">
        <v>3692</v>
      </c>
      <c r="L21" s="249">
        <v>457241</v>
      </c>
    </row>
    <row r="22" spans="1:12" s="245" customFormat="1">
      <c r="A22" s="414">
        <v>1987553</v>
      </c>
      <c r="B22" s="242">
        <f>VLOOKUP(A22,Export!A:N,14,0)</f>
        <v>15242687</v>
      </c>
      <c r="C22" s="243" t="str">
        <f>VLOOKUP(A22,Export!A:P,16,0)</f>
        <v>GIORGIO GENNARO SARTORI TORRES</v>
      </c>
      <c r="D22" s="244" t="str">
        <f>VLOOKUP(A22,Export!A:H,8,0)</f>
        <v>366-730</v>
      </c>
      <c r="E22" s="42" t="s">
        <v>248</v>
      </c>
      <c r="F22" s="246">
        <f>VLOOKUP(A22,'[1]ORIGINAL '!D:M,5,0)</f>
        <v>10554087</v>
      </c>
      <c r="G22" s="247">
        <v>348087</v>
      </c>
      <c r="H22" s="240" t="s">
        <v>3697</v>
      </c>
      <c r="I22" s="248">
        <v>46171</v>
      </c>
      <c r="J22" s="245" t="s">
        <v>3692</v>
      </c>
      <c r="L22" s="249">
        <v>457241</v>
      </c>
    </row>
    <row r="23" spans="1:12" s="245" customFormat="1" ht="12.75" customHeight="1">
      <c r="A23" s="414">
        <v>3115557</v>
      </c>
      <c r="B23" s="242">
        <f>VLOOKUP(A23,Export!A:N,14,0)</f>
        <v>18488596</v>
      </c>
      <c r="C23" s="243" t="str">
        <f>VLOOKUP(A23,Export!A:P,16,0)</f>
        <v>ELENA ROMANE VIDAL GOMEZ</v>
      </c>
      <c r="D23" s="244" t="str">
        <f>VLOOKUP(A23,Export!A:H,8,0)</f>
        <v>0-365</v>
      </c>
      <c r="E23" s="245" t="s">
        <v>248</v>
      </c>
      <c r="F23" s="246">
        <f>VLOOKUP(A23,'[1]ORIGINAL '!D:M,5,0)</f>
        <v>10316441</v>
      </c>
      <c r="G23" s="247">
        <f t="shared" ref="G23" si="5">F23</f>
        <v>10316441</v>
      </c>
      <c r="H23" s="240" t="s">
        <v>3693</v>
      </c>
      <c r="I23" s="248"/>
      <c r="J23" s="245" t="s">
        <v>3692</v>
      </c>
      <c r="L23" s="249">
        <v>457241</v>
      </c>
    </row>
    <row r="24" spans="1:12" s="245" customFormat="1">
      <c r="A24" s="241">
        <v>3120521</v>
      </c>
      <c r="B24" s="242">
        <f>VLOOKUP(A24,Export!A:N,14,0)</f>
        <v>6332455</v>
      </c>
      <c r="C24" s="243" t="str">
        <f>VLOOKUP(A24,Export!A:P,16,0)</f>
        <v>ELSA MARCIA DIAZ MORA</v>
      </c>
      <c r="D24" s="244" t="str">
        <f>VLOOKUP(A24,Export!A:H,8,0)</f>
        <v>0-365</v>
      </c>
      <c r="F24" s="246">
        <f>VLOOKUP(A24,'[1]ORIGINAL '!D:M,5,0)</f>
        <v>15352634</v>
      </c>
      <c r="G24" s="247">
        <f t="shared" ref="G24:G26" si="6">F24</f>
        <v>15352634</v>
      </c>
      <c r="H24" s="240" t="s">
        <v>3654</v>
      </c>
      <c r="I24" s="248"/>
      <c r="J24" s="245" t="s">
        <v>3692</v>
      </c>
      <c r="L24" s="249">
        <v>457241</v>
      </c>
    </row>
    <row r="25" spans="1:12" s="233" customFormat="1">
      <c r="A25" s="229">
        <v>3142604</v>
      </c>
      <c r="B25" s="230">
        <f>VLOOKUP(A25,Export!A:N,14,0)</f>
        <v>18455951</v>
      </c>
      <c r="C25" s="231" t="str">
        <f>VLOOKUP(A25,Export!A:P,16,0)</f>
        <v>BASTIÁN ALEXIS LARA MANRÍQUEZ</v>
      </c>
      <c r="D25" s="232" t="str">
        <f>VLOOKUP(A25,Export!A:H,8,0)</f>
        <v>0-365</v>
      </c>
      <c r="F25" s="234">
        <f>VLOOKUP(A25,'[1]ORIGINAL '!D:M,5,0)</f>
        <v>8487006</v>
      </c>
      <c r="G25" s="235">
        <f t="shared" si="6"/>
        <v>8487006</v>
      </c>
      <c r="H25" s="236" t="s">
        <v>3691</v>
      </c>
      <c r="I25" s="237"/>
      <c r="J25" s="233" t="s">
        <v>3692</v>
      </c>
      <c r="L25" s="238">
        <v>457241</v>
      </c>
    </row>
    <row r="26" spans="1:12">
      <c r="A26" s="212">
        <v>3136967</v>
      </c>
      <c r="B26" s="142">
        <f>VLOOKUP(A26,Export!A:N,14,0)</f>
        <v>19914674</v>
      </c>
      <c r="C26" s="143" t="str">
        <f>VLOOKUP(A26,Export!A:P,16,0)</f>
        <v>MARIEL ANDREA GARCÍA GONZÁLEZ</v>
      </c>
      <c r="D26" s="144" t="str">
        <f>VLOOKUP(A26,Export!A:H,8,0)</f>
        <v>0-365</v>
      </c>
      <c r="F26" s="145">
        <f>VLOOKUP(A26,'[1]ORIGINAL '!D:M,5,0)</f>
        <v>4486091</v>
      </c>
      <c r="G26" s="146">
        <f t="shared" si="6"/>
        <v>4486091</v>
      </c>
      <c r="H26" s="173"/>
      <c r="I26" s="3"/>
      <c r="J26" t="s">
        <v>3692</v>
      </c>
      <c r="L26" s="4">
        <v>457241</v>
      </c>
    </row>
    <row r="27" spans="1:12">
      <c r="A27" s="212">
        <v>2398643</v>
      </c>
      <c r="B27" s="142" t="e">
        <f>VLOOKUP(A27,Export!A:N,14,0)</f>
        <v>#N/A</v>
      </c>
      <c r="C27" s="143" t="e">
        <f>VLOOKUP(A27,Export!A:P,16,0)</f>
        <v>#N/A</v>
      </c>
      <c r="D27" s="144" t="e">
        <f>VLOOKUP(A27,Export!A:H,8,0)</f>
        <v>#N/A</v>
      </c>
      <c r="F27" s="145">
        <f>VLOOKUP(A27,'[1]ORIGINAL '!D:M,5,0)</f>
        <v>4285479</v>
      </c>
      <c r="G27" s="146">
        <v>2785561</v>
      </c>
      <c r="H27" s="173"/>
      <c r="I27" s="3">
        <v>46171</v>
      </c>
      <c r="J27" t="s">
        <v>3692</v>
      </c>
      <c r="L27" s="4">
        <v>457241</v>
      </c>
    </row>
    <row r="28" spans="1:12">
      <c r="A28" s="212">
        <v>2959119</v>
      </c>
      <c r="B28" s="142">
        <f>VLOOKUP(A28,Export!A:N,14,0)</f>
        <v>19898341</v>
      </c>
      <c r="C28" s="143" t="str">
        <f>VLOOKUP(A28,Export!A:P,16,0)</f>
        <v>CHRISTOPHER ROMMEL SANTOS ANCO</v>
      </c>
      <c r="D28" s="144" t="str">
        <f>VLOOKUP(A28,Export!A:H,8,0)</f>
        <v>0-365</v>
      </c>
      <c r="E28" t="s">
        <v>3656</v>
      </c>
      <c r="F28" s="145">
        <f>VLOOKUP(A28,'[1]ORIGINAL '!D:M,5,0)</f>
        <v>6731141</v>
      </c>
      <c r="G28" s="146">
        <v>2524178</v>
      </c>
      <c r="H28" s="173"/>
      <c r="I28" s="3"/>
      <c r="J28" t="s">
        <v>3692</v>
      </c>
      <c r="L28" s="4">
        <v>457241</v>
      </c>
    </row>
    <row r="29" spans="1:12">
      <c r="A29" s="416">
        <v>2757617</v>
      </c>
      <c r="B29" s="142">
        <f>VLOOKUP(A29,Export!A:N,14,0)</f>
        <v>10908669</v>
      </c>
      <c r="C29" s="143" t="str">
        <f>VLOOKUP(A29,Export!A:P,16,0)</f>
        <v>OSCAR RICARDO ROMERO GONZÁLEZ</v>
      </c>
      <c r="D29" s="144" t="str">
        <f>VLOOKUP(A29,Export!A:H,8,0)</f>
        <v>0-365</v>
      </c>
      <c r="E29" t="s">
        <v>248</v>
      </c>
      <c r="F29" s="145">
        <f>VLOOKUP(A29,'[1]ORIGINAL '!D:M,5,0)</f>
        <v>9115829</v>
      </c>
      <c r="G29" s="146">
        <v>1500000</v>
      </c>
      <c r="H29" s="173"/>
      <c r="I29" s="3">
        <v>46172</v>
      </c>
      <c r="J29" t="s">
        <v>3692</v>
      </c>
      <c r="L29" s="4">
        <v>457241</v>
      </c>
    </row>
  </sheetData>
  <autoFilter ref="A1:S29" xr:uid="{6B7C0649-B05C-463D-BB05-5CB334B17178}"/>
  <conditionalFormatting sqref="A1 A4:A22">
    <cfRule type="duplicateValues" dxfId="36" priority="179"/>
  </conditionalFormatting>
  <conditionalFormatting sqref="A2:A3">
    <cfRule type="duplicateValues" dxfId="35" priority="40"/>
  </conditionalFormatting>
  <conditionalFormatting sqref="A25:A29">
    <cfRule type="duplicateValues" dxfId="34" priority="5"/>
  </conditionalFormatting>
  <conditionalFormatting sqref="A2:P6 A7:D9 A10:C10 A12:D22">
    <cfRule type="expression" dxfId="33" priority="22">
      <formula>$J2="PAGADO"</formula>
    </cfRule>
  </conditionalFormatting>
  <conditionalFormatting sqref="A11:P11">
    <cfRule type="expression" dxfId="32" priority="18">
      <formula>$J11="PAGADO"</formula>
    </cfRule>
  </conditionalFormatting>
  <conditionalFormatting sqref="B11:D29">
    <cfRule type="expression" dxfId="31" priority="4">
      <formula>#REF!="PAGADO"</formula>
    </cfRule>
  </conditionalFormatting>
  <conditionalFormatting sqref="F7:H9">
    <cfRule type="expression" dxfId="30" priority="6">
      <formula>$J7="PAGADO"</formula>
    </cfRule>
  </conditionalFormatting>
  <conditionalFormatting sqref="F12:H29 B23:D24 A25:D29">
    <cfRule type="expression" dxfId="29" priority="3">
      <formula>$J12="PAGADO"</formula>
    </cfRule>
  </conditionalFormatting>
  <conditionalFormatting sqref="I11:J11">
    <cfRule type="expression" dxfId="28" priority="19">
      <formula>#REF!="PAGADO"</formula>
    </cfRule>
  </conditionalFormatting>
  <conditionalFormatting sqref="K2:K4 I2:J5 B2:D6 D7:D9 B7:C10">
    <cfRule type="expression" dxfId="27" priority="32">
      <formula>#REF!="PAGADO"</formula>
    </cfRule>
  </conditionalFormatting>
  <dataValidations count="5">
    <dataValidation type="date" operator="greaterThan" allowBlank="1" showInputMessage="1" showErrorMessage="1" sqref="I11 I1:I6" xr:uid="{53D29F9F-18BA-472C-B9D4-A6D50CB01123}">
      <formula1>45870</formula1>
    </dataValidation>
    <dataValidation type="list" allowBlank="1" showInputMessage="1" showErrorMessage="1" sqref="E1" xr:uid="{A9851432-3283-4C0F-B84E-6B0A1840A534}">
      <formula1>"DACIÓN,RENEGOCIACIÓN,PAGO CUOTAS,PREPAGO,PLAN DE PAGO,EXCEPCION PUT"</formula1>
    </dataValidation>
    <dataValidation type="list" allowBlank="1" showInputMessage="1" showErrorMessage="1" sqref="J11 J1:J6" xr:uid="{F28B90F4-6CEE-46CB-8C31-8095E3A56FA2}">
      <formula1>"PAGADO,PENDIENTE,ROTO"</formula1>
    </dataValidation>
    <dataValidation type="list" allowBlank="1" showInputMessage="1" showErrorMessage="1" sqref="E1" xr:uid="{5D1922DC-77DF-41D9-93F6-52C5BD1BBDD4}">
      <formula1>"DACIÓN,PLAN DE PAGO,NUEVO PLAN DE PAGO,EXCEPCION PUT, PUT EN PARTES, INTENCION DE PAGO"</formula1>
    </dataValidation>
    <dataValidation type="list" allowBlank="1" showInputMessage="1" showErrorMessage="1" sqref="E11 E2:E6" xr:uid="{BCCDB11B-DDA3-4E57-AE55-4943F0BA5A22}">
      <formula1>",PLAN DE PAGO,DACION,CHEQUE,NUEVO PLAN DE PAGO,EXCEPCION PUT, PUT EN PARTES, INTENCION DE PAGO"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3191-1AEE-4B1F-A936-F9162F3551BD}">
  <dimension ref="A1:I13"/>
  <sheetViews>
    <sheetView workbookViewId="0">
      <selection activeCell="F3" sqref="F3"/>
    </sheetView>
  </sheetViews>
  <sheetFormatPr defaultColWidth="11.42578125" defaultRowHeight="15"/>
  <cols>
    <col min="2" max="2" width="14.140625" style="8" bestFit="1" customWidth="1"/>
    <col min="3" max="4" width="11.42578125" style="8"/>
    <col min="5" max="5" width="12.28515625" bestFit="1" customWidth="1"/>
    <col min="6" max="6" width="23.7109375" bestFit="1" customWidth="1"/>
    <col min="7" max="7" width="37.28515625" bestFit="1" customWidth="1"/>
  </cols>
  <sheetData>
    <row r="1" spans="1:9">
      <c r="A1" t="s">
        <v>3698</v>
      </c>
      <c r="B1" s="8" t="s">
        <v>3699</v>
      </c>
      <c r="C1" s="8" t="s">
        <v>3700</v>
      </c>
      <c r="D1" s="8" t="s">
        <v>3642</v>
      </c>
      <c r="E1" t="s">
        <v>3701</v>
      </c>
      <c r="F1" t="s">
        <v>3702</v>
      </c>
    </row>
    <row r="2" spans="1:9">
      <c r="A2">
        <v>1769156</v>
      </c>
      <c r="B2" s="8">
        <f>+VLOOKUP(A2,Export!A:D,4,0)</f>
        <v>7241243</v>
      </c>
      <c r="C2" s="8">
        <v>2500000</v>
      </c>
      <c r="D2" s="8">
        <v>197552</v>
      </c>
      <c r="E2" s="2">
        <v>23.999974690208148</v>
      </c>
      <c r="F2" s="174">
        <v>11</v>
      </c>
      <c r="G2" s="174" t="str">
        <f>+VLOOKUP(A2,Export!A:P,16,0)</f>
        <v>MARÍA ANGÉLICA VERGARA SILVA</v>
      </c>
    </row>
    <row r="3" spans="1:9">
      <c r="A3">
        <v>1923591</v>
      </c>
      <c r="B3" s="8">
        <f>+VLOOKUP(A3,Export!A:D,4,0)</f>
        <v>11082144</v>
      </c>
      <c r="C3" s="8">
        <v>2000000</v>
      </c>
      <c r="D3" s="8">
        <v>170895</v>
      </c>
      <c r="E3" s="2">
        <v>53.144585856812661</v>
      </c>
      <c r="F3" s="174">
        <v>9</v>
      </c>
      <c r="G3" s="174" t="str">
        <f>+VLOOKUP(A3,Export!A:P,16,0)</f>
        <v>FABRICIO ALEJANDRO  VALENZUELA LEIVA</v>
      </c>
    </row>
    <row r="4" spans="1:9">
      <c r="A4">
        <v>1638465</v>
      </c>
      <c r="B4" s="8">
        <f>+VLOOKUP(A4,Export!A:D,4,0)</f>
        <v>3871396</v>
      </c>
      <c r="C4" s="8">
        <v>775000</v>
      </c>
      <c r="D4" s="8">
        <v>172022</v>
      </c>
      <c r="E4" s="2">
        <v>18</v>
      </c>
      <c r="F4">
        <v>8</v>
      </c>
      <c r="G4" t="str">
        <f>+VLOOKUP(A4,Export!A:P,16,0)</f>
        <v>LIBIA ROSA  VERA TUBIÑEZ</v>
      </c>
    </row>
    <row r="5" spans="1:9">
      <c r="A5">
        <v>2359330</v>
      </c>
      <c r="B5" s="8">
        <f>+VLOOKUP(A5,Export!A:D,4,0)</f>
        <v>17079615</v>
      </c>
      <c r="C5" s="8">
        <v>3000000</v>
      </c>
      <c r="D5" s="8">
        <v>294000</v>
      </c>
      <c r="E5" s="2">
        <v>47.889846938775513</v>
      </c>
      <c r="F5">
        <v>9</v>
      </c>
      <c r="G5" t="str">
        <f>+VLOOKUP(A5,Export!A:P,16,0)</f>
        <v>SOLEDAD DEL CARMEN ALFARO PINTO</v>
      </c>
    </row>
    <row r="6" spans="1:9">
      <c r="A6">
        <v>2410360</v>
      </c>
      <c r="B6" s="8">
        <f>+VLOOKUP(A6,Export!A:D,4,0)</f>
        <v>5047680</v>
      </c>
      <c r="C6" s="8">
        <v>1100000</v>
      </c>
      <c r="D6" s="8">
        <v>246730</v>
      </c>
      <c r="E6" s="2">
        <v>16</v>
      </c>
      <c r="F6">
        <v>6</v>
      </c>
      <c r="G6" t="str">
        <f>+VLOOKUP(A6,Export!A:P,16,0)</f>
        <v>ANDREA DEL PILAR GONZÁLEZ URETA</v>
      </c>
    </row>
    <row r="7" spans="1:9">
      <c r="A7">
        <v>2041907</v>
      </c>
      <c r="B7" s="8">
        <f>+VLOOKUP(A7,Export!A:D,4,0)</f>
        <v>8500246</v>
      </c>
      <c r="C7" s="8">
        <v>1200000</v>
      </c>
      <c r="D7" s="8">
        <v>202800</v>
      </c>
      <c r="E7" s="2">
        <v>35.997268244575935</v>
      </c>
      <c r="F7">
        <v>6</v>
      </c>
      <c r="G7" t="str">
        <f>+VLOOKUP(A7,Export!A:P,16,0)</f>
        <v>CLAUDIA LORENA ROJAS ARRIARÁN</v>
      </c>
    </row>
    <row r="8" spans="1:9">
      <c r="A8">
        <v>1987553</v>
      </c>
      <c r="B8" s="8">
        <f>+VLOOKUP(A8,Export!A:D,4,0)</f>
        <v>10554087</v>
      </c>
      <c r="C8" s="8">
        <v>2200000</v>
      </c>
      <c r="D8" s="8">
        <v>348087</v>
      </c>
      <c r="E8" s="2">
        <v>23.999997127154995</v>
      </c>
      <c r="F8">
        <v>6</v>
      </c>
      <c r="G8" t="str">
        <f>+VLOOKUP(A8,Export!A:P,16,0)</f>
        <v>GIORGIO GENNARO SARTORI TORRES</v>
      </c>
      <c r="H8" t="s">
        <v>3703</v>
      </c>
      <c r="I8" t="s">
        <v>3704</v>
      </c>
    </row>
    <row r="9" spans="1:9">
      <c r="A9">
        <v>1791083</v>
      </c>
      <c r="B9" s="8">
        <f>+VLOOKUP(A9,Export!A:D,4,0)</f>
        <v>7569433</v>
      </c>
      <c r="C9" s="8">
        <v>1000000</v>
      </c>
      <c r="D9" s="8">
        <v>273726</v>
      </c>
      <c r="E9" s="2">
        <v>24.000032879594922</v>
      </c>
      <c r="F9">
        <v>3</v>
      </c>
      <c r="G9" t="str">
        <f>+VLOOKUP(A9,Export!A:P,16,0)</f>
        <v>RUBÉN ANER CARILAO BARRA</v>
      </c>
      <c r="H9" s="3">
        <v>46174</v>
      </c>
    </row>
    <row r="10" spans="1:9">
      <c r="A10">
        <v>1644932</v>
      </c>
      <c r="B10" s="8">
        <f>+VLOOKUP(A10,Export!A:D,4,0)</f>
        <v>4868802</v>
      </c>
      <c r="C10" s="8">
        <v>1300000</v>
      </c>
      <c r="D10" s="8">
        <v>148700</v>
      </c>
      <c r="E10" s="2">
        <v>24.000013449899125</v>
      </c>
      <c r="F10">
        <v>3</v>
      </c>
      <c r="G10" t="str">
        <f>+VLOOKUP(A10,Export!A:P,16,0)</f>
        <v>MIGUEL ANGEL  ACEVEDO ARAVENA</v>
      </c>
      <c r="H10" s="3">
        <v>46203</v>
      </c>
    </row>
    <row r="11" spans="1:9">
      <c r="A11">
        <v>2642200</v>
      </c>
      <c r="B11" s="8">
        <f>+VLOOKUP(A11,Export!A:D,4,0)</f>
        <v>6213630</v>
      </c>
      <c r="C11" s="8">
        <v>2000000</v>
      </c>
      <c r="D11" s="8">
        <v>351136</v>
      </c>
      <c r="E11" s="2">
        <v>11.999994304201222</v>
      </c>
      <c r="F11">
        <v>1</v>
      </c>
      <c r="G11" t="str">
        <f>+VLOOKUP(A11,Export!A:P,16,0)</f>
        <v>JUAN CLAUDIO SILVA BURDILES</v>
      </c>
      <c r="H11">
        <v>30</v>
      </c>
      <c r="I11" t="s">
        <v>3704</v>
      </c>
    </row>
    <row r="12" spans="1:9">
      <c r="A12">
        <v>1700218</v>
      </c>
      <c r="B12" s="8">
        <f>+VLOOKUP(A12,Export!A:D,4,0)</f>
        <v>6879999</v>
      </c>
      <c r="C12" s="8">
        <v>1400000</v>
      </c>
      <c r="D12" s="8">
        <v>259734</v>
      </c>
      <c r="E12" s="2">
        <v>11.999994304201222</v>
      </c>
      <c r="F12" s="2">
        <v>0</v>
      </c>
      <c r="G12" t="str">
        <f>+VLOOKUP(A12,Export!A:P,16,0)</f>
        <v>JUAN ALEX  OLIVARES  ALANO</v>
      </c>
    </row>
    <row r="13" spans="1:9">
      <c r="A13">
        <v>1966918</v>
      </c>
      <c r="B13" s="8">
        <f>+VLOOKUP(A13,Export!A:D,4,0)</f>
        <v>6520106</v>
      </c>
      <c r="D13" s="8">
        <v>280877</v>
      </c>
      <c r="E13" s="2">
        <v>18</v>
      </c>
      <c r="G13" t="str">
        <f>+VLOOKUP(A13,Export!A:P,16,0)</f>
        <v>CRISTIAN ALBERTO  REYES  INZUNZA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F070-04C2-4D3D-9F72-37DC737D3C97}">
  <sheetPr>
    <tabColor rgb="FF7030A0"/>
  </sheetPr>
  <dimension ref="A1:S56"/>
  <sheetViews>
    <sheetView topLeftCell="A24" workbookViewId="0">
      <selection activeCell="A32" sqref="A32:A36"/>
    </sheetView>
  </sheetViews>
  <sheetFormatPr defaultColWidth="9.140625" defaultRowHeight="15"/>
  <cols>
    <col min="1" max="1" width="11.85546875" customWidth="1"/>
    <col min="2" max="2" width="14.85546875" customWidth="1"/>
    <col min="3" max="3" width="32" customWidth="1"/>
    <col min="4" max="4" width="15" customWidth="1"/>
    <col min="5" max="5" width="16.85546875" customWidth="1"/>
    <col min="6" max="6" width="15.28515625" customWidth="1"/>
    <col min="7" max="7" width="17.140625" customWidth="1"/>
    <col min="8" max="8" width="22" customWidth="1"/>
    <col min="9" max="9" width="17.42578125" style="73" customWidth="1"/>
    <col min="10" max="10" width="16.42578125" customWidth="1"/>
  </cols>
  <sheetData>
    <row r="1" spans="1:19" s="138" customFormat="1" ht="25.5" customHeight="1">
      <c r="A1" s="130" t="s">
        <v>3598</v>
      </c>
      <c r="B1" s="131" t="s">
        <v>36</v>
      </c>
      <c r="C1" s="132" t="s">
        <v>3599</v>
      </c>
      <c r="D1" s="133" t="s">
        <v>3600</v>
      </c>
      <c r="E1" s="130" t="s">
        <v>3603</v>
      </c>
      <c r="F1" s="134" t="s">
        <v>3607</v>
      </c>
      <c r="G1" s="132" t="s">
        <v>3678</v>
      </c>
      <c r="H1" s="132" t="s">
        <v>3705</v>
      </c>
      <c r="I1" s="135" t="s">
        <v>3609</v>
      </c>
      <c r="J1" s="133" t="s">
        <v>3610</v>
      </c>
      <c r="K1" s="136" t="s">
        <v>3611</v>
      </c>
      <c r="L1" s="134" t="s">
        <v>3612</v>
      </c>
      <c r="M1" s="130" t="s">
        <v>3613</v>
      </c>
      <c r="N1" s="132" t="s">
        <v>3679</v>
      </c>
      <c r="O1" s="137" t="s">
        <v>3614</v>
      </c>
      <c r="P1" s="138" t="s">
        <v>3615</v>
      </c>
      <c r="R1" s="139" t="s">
        <v>3680</v>
      </c>
      <c r="S1" s="140" t="s">
        <v>3681</v>
      </c>
    </row>
    <row r="2" spans="1:19" s="245" customFormat="1">
      <c r="A2" s="259">
        <v>1638465</v>
      </c>
      <c r="B2" s="242">
        <f>VLOOKUP(A2,Export!A:N,14,0)</f>
        <v>27070326</v>
      </c>
      <c r="C2" s="243" t="str">
        <f>VLOOKUP(A2,Export!A:P,16,0)</f>
        <v>LIBIA ROSA  VERA TUBIÑEZ</v>
      </c>
      <c r="D2" s="244" t="str">
        <f>VLOOKUP(A2,Export!A:H,8,0)</f>
        <v>366-730</v>
      </c>
      <c r="E2" s="245" t="s">
        <v>248</v>
      </c>
      <c r="F2" s="246">
        <f>VLOOKUP(A2,'[1]ORIGINAL '!D:M,5,0)</f>
        <v>3871396</v>
      </c>
      <c r="G2" s="247">
        <v>172022</v>
      </c>
      <c r="H2" s="240" t="s">
        <v>3652</v>
      </c>
      <c r="I2" s="382"/>
      <c r="J2" s="320" t="s">
        <v>3690</v>
      </c>
      <c r="L2" s="249">
        <v>457241</v>
      </c>
    </row>
    <row r="3" spans="1:19" s="245" customFormat="1">
      <c r="A3" s="259">
        <v>2041907</v>
      </c>
      <c r="B3" s="242">
        <f>VLOOKUP(A3,Export!A:N,14,0)</f>
        <v>12446328</v>
      </c>
      <c r="C3" s="243" t="str">
        <f>VLOOKUP(A3,Export!A:P,16,0)</f>
        <v>CLAUDIA LORENA ROJAS ARRIARÁN</v>
      </c>
      <c r="D3" s="244" t="str">
        <f>VLOOKUP(A3,Export!A:H,8,0)</f>
        <v>366-730</v>
      </c>
      <c r="E3" s="260" t="s">
        <v>248</v>
      </c>
      <c r="F3" s="246">
        <f>VLOOKUP(A3,'[1]ORIGINAL '!D:M,5,0)</f>
        <v>8500246</v>
      </c>
      <c r="G3" s="247">
        <v>202800</v>
      </c>
      <c r="H3" s="240" t="s">
        <v>3706</v>
      </c>
      <c r="I3" s="382"/>
      <c r="J3" s="87" t="s">
        <v>3690</v>
      </c>
      <c r="L3" s="249">
        <v>457241</v>
      </c>
    </row>
    <row r="4" spans="1:19" s="245" customFormat="1">
      <c r="A4" s="259">
        <v>1791083</v>
      </c>
      <c r="B4" s="242">
        <f>VLOOKUP(A4,Export!A:N,14,0)</f>
        <v>15236244</v>
      </c>
      <c r="C4" s="243" t="str">
        <f>VLOOKUP(A4,Export!A:P,16,0)</f>
        <v>RUBÉN ANER CARILAO BARRA</v>
      </c>
      <c r="D4" s="244" t="str">
        <f>VLOOKUP(A4,Export!A:H,8,0)</f>
        <v>366-730</v>
      </c>
      <c r="E4" s="260" t="s">
        <v>248</v>
      </c>
      <c r="F4" s="246">
        <f>VLOOKUP(A4,'[1]ORIGINAL '!D:M,5,0)</f>
        <v>7569433</v>
      </c>
      <c r="G4" s="247">
        <v>273726</v>
      </c>
      <c r="H4" s="240" t="s">
        <v>3648</v>
      </c>
      <c r="I4" s="382">
        <v>46174</v>
      </c>
      <c r="J4" s="320" t="s">
        <v>3690</v>
      </c>
      <c r="L4" s="249">
        <v>457241</v>
      </c>
    </row>
    <row r="5" spans="1:19" s="245" customFormat="1">
      <c r="A5" s="259">
        <v>1644932</v>
      </c>
      <c r="B5" s="242">
        <f>VLOOKUP(A5,Export!A:N,14,0)</f>
        <v>16002296</v>
      </c>
      <c r="C5" s="243" t="str">
        <f>VLOOKUP(A5,Export!A:P,16,0)</f>
        <v>MIGUEL ANGEL  ACEVEDO ARAVENA</v>
      </c>
      <c r="D5" s="244" t="str">
        <f>VLOOKUP(A5,Export!A:H,8,0)</f>
        <v>366-730</v>
      </c>
      <c r="E5" s="260" t="s">
        <v>248</v>
      </c>
      <c r="F5" s="246">
        <f>VLOOKUP(A5,'[1]ORIGINAL '!D:M,5,0)</f>
        <v>4868802</v>
      </c>
      <c r="G5" s="247">
        <v>148700</v>
      </c>
      <c r="H5" s="240" t="s">
        <v>3648</v>
      </c>
      <c r="I5" s="382"/>
      <c r="J5" s="320" t="s">
        <v>3690</v>
      </c>
      <c r="L5" s="249">
        <v>457241</v>
      </c>
    </row>
    <row r="6" spans="1:19" s="245" customFormat="1">
      <c r="A6" s="259">
        <v>2359330</v>
      </c>
      <c r="B6" s="242">
        <f>VLOOKUP(A6,Export!A:N,14,0)</f>
        <v>14387173</v>
      </c>
      <c r="C6" s="243" t="str">
        <f>VLOOKUP(A6,Export!A:P,16,0)</f>
        <v>SOLEDAD DEL CARMEN ALFARO PINTO</v>
      </c>
      <c r="D6" s="244" t="str">
        <f>VLOOKUP(A6,Export!A:H,8,0)</f>
        <v>366-730</v>
      </c>
      <c r="E6" s="260" t="s">
        <v>248</v>
      </c>
      <c r="F6" s="246">
        <f>VLOOKUP(A6,'[1]ORIGINAL '!D:M,5,0)</f>
        <v>17079615</v>
      </c>
      <c r="G6" s="247">
        <v>294000</v>
      </c>
      <c r="H6" s="240" t="s">
        <v>3707</v>
      </c>
      <c r="I6" s="382">
        <v>46202</v>
      </c>
      <c r="J6" s="245" t="s">
        <v>3690</v>
      </c>
      <c r="K6" s="245" t="s">
        <v>3708</v>
      </c>
      <c r="L6" s="325">
        <v>457241</v>
      </c>
      <c r="M6" s="245" t="s">
        <v>3709</v>
      </c>
    </row>
    <row r="7" spans="1:19" s="245" customFormat="1">
      <c r="A7" s="175">
        <v>1923591</v>
      </c>
      <c r="B7" s="176">
        <f>VLOOKUP(A7,Export!A:N,14,0)</f>
        <v>16647012</v>
      </c>
      <c r="C7" s="177" t="str">
        <f>VLOOKUP(A7,Export!A:P,16,0)</f>
        <v>FABRICIO ALEJANDRO  VALENZUELA LEIVA</v>
      </c>
      <c r="D7" s="178" t="str">
        <f>VLOOKUP(A7,Export!A:H,8,0)</f>
        <v>0-365</v>
      </c>
      <c r="E7" s="400" t="s">
        <v>248</v>
      </c>
      <c r="F7" s="179">
        <f>VLOOKUP(A7,'[1]ORIGINAL '!D:M,5,0)</f>
        <v>11082144</v>
      </c>
      <c r="G7" s="180">
        <v>170000</v>
      </c>
      <c r="H7" s="181" t="s">
        <v>3710</v>
      </c>
      <c r="I7" s="404" t="s">
        <v>3711</v>
      </c>
      <c r="J7" s="320" t="s">
        <v>3687</v>
      </c>
      <c r="L7" s="381">
        <v>457241</v>
      </c>
      <c r="M7" s="245" t="s">
        <v>3712</v>
      </c>
    </row>
    <row r="8" spans="1:19" s="245" customFormat="1">
      <c r="A8" s="259">
        <v>1987553</v>
      </c>
      <c r="B8" s="242">
        <f>VLOOKUP(A8,Export!A:N,14,0)</f>
        <v>15242687</v>
      </c>
      <c r="C8" s="243" t="str">
        <f>VLOOKUP(A8,Export!A:P,16,0)</f>
        <v>GIORGIO GENNARO SARTORI TORRES</v>
      </c>
      <c r="D8" s="244" t="str">
        <f>VLOOKUP(A8,Export!A:H,8,0)</f>
        <v>366-730</v>
      </c>
      <c r="E8" s="260" t="s">
        <v>248</v>
      </c>
      <c r="F8" s="246">
        <f>VLOOKUP(A8,'[1]ORIGINAL '!D:M,5,0)</f>
        <v>10554087</v>
      </c>
      <c r="G8" s="247">
        <v>348087</v>
      </c>
      <c r="H8" s="240" t="s">
        <v>3697</v>
      </c>
      <c r="I8" s="382">
        <v>46203</v>
      </c>
      <c r="J8" s="245" t="s">
        <v>3690</v>
      </c>
      <c r="K8" s="245" t="s">
        <v>3708</v>
      </c>
      <c r="L8" s="249">
        <v>457241</v>
      </c>
      <c r="M8" s="245" t="s">
        <v>3709</v>
      </c>
    </row>
    <row r="9" spans="1:19" s="245" customFormat="1">
      <c r="A9" s="259">
        <v>1769156</v>
      </c>
      <c r="B9" s="242">
        <f>VLOOKUP(A9,Export!A:N,14,0)</f>
        <v>7710884</v>
      </c>
      <c r="C9" s="243" t="str">
        <f>VLOOKUP(A9,Export!A:P,16,0)</f>
        <v>MARÍA ANGÉLICA VERGARA SILVA</v>
      </c>
      <c r="D9" s="244" t="str">
        <f>VLOOKUP(A9,Export!A:H,8,0)</f>
        <v>366-730</v>
      </c>
      <c r="E9" s="260" t="s">
        <v>248</v>
      </c>
      <c r="F9" s="246">
        <f>VLOOKUP(A9,'[1]ORIGINAL '!D:M,5,0)</f>
        <v>7241243</v>
      </c>
      <c r="G9" s="247">
        <v>197552</v>
      </c>
      <c r="H9" s="240" t="s">
        <v>3713</v>
      </c>
      <c r="I9" s="404">
        <v>46188</v>
      </c>
      <c r="J9" s="245" t="s">
        <v>3690</v>
      </c>
      <c r="L9" s="249">
        <v>457241</v>
      </c>
      <c r="M9" s="245" t="s">
        <v>3714</v>
      </c>
    </row>
    <row r="10" spans="1:19" s="245" customFormat="1">
      <c r="A10" s="259">
        <v>2410360</v>
      </c>
      <c r="B10" s="242">
        <f>VLOOKUP(A10,Export!A:N,14,0)</f>
        <v>13291544</v>
      </c>
      <c r="C10" s="243" t="str">
        <f>VLOOKUP(A10,Export!A:P,16,0)</f>
        <v>ANDREA DEL PILAR GONZÁLEZ URETA</v>
      </c>
      <c r="D10" s="244" t="str">
        <f>VLOOKUP(A10,Export!A:H,8,0)</f>
        <v>0-365</v>
      </c>
      <c r="E10" s="260" t="s">
        <v>248</v>
      </c>
      <c r="F10" s="246">
        <f>VLOOKUP(A10,'[1]ORIGINAL '!D:M,5,0)</f>
        <v>5047680</v>
      </c>
      <c r="G10" s="247">
        <v>246730</v>
      </c>
      <c r="H10" s="240" t="s">
        <v>3688</v>
      </c>
      <c r="I10" s="404">
        <v>46028</v>
      </c>
      <c r="J10" s="245" t="s">
        <v>3690</v>
      </c>
      <c r="L10" s="249">
        <v>457241</v>
      </c>
      <c r="M10" s="245" t="s">
        <v>3715</v>
      </c>
    </row>
    <row r="11" spans="1:19" s="245" customFormat="1">
      <c r="A11" s="259">
        <v>2041907</v>
      </c>
      <c r="B11" s="242">
        <f>VLOOKUP(A11,Export!A:N,14,0)</f>
        <v>12446328</v>
      </c>
      <c r="C11" s="243" t="str">
        <f>VLOOKUP(A11,Export!A:P,16,0)</f>
        <v>CLAUDIA LORENA ROJAS ARRIARÁN</v>
      </c>
      <c r="D11" s="244" t="str">
        <f>VLOOKUP(A11,Export!A:H,8,0)</f>
        <v>366-730</v>
      </c>
      <c r="E11" s="260" t="s">
        <v>248</v>
      </c>
      <c r="F11" s="246">
        <f>VLOOKUP(A11,'[1]ORIGINAL '!D:M,5,0)</f>
        <v>8500246</v>
      </c>
      <c r="G11" s="247">
        <v>202800</v>
      </c>
      <c r="H11" s="240" t="s">
        <v>3653</v>
      </c>
      <c r="I11" s="382">
        <v>46203</v>
      </c>
      <c r="J11" s="245" t="s">
        <v>3692</v>
      </c>
      <c r="K11" s="245" t="s">
        <v>3708</v>
      </c>
      <c r="L11" s="249">
        <v>457241</v>
      </c>
      <c r="M11" s="245" t="s">
        <v>3709</v>
      </c>
    </row>
    <row r="12" spans="1:19" s="245" customFormat="1">
      <c r="A12" s="259">
        <v>1700218</v>
      </c>
      <c r="B12" s="242">
        <f>VLOOKUP(A12,Export!A:N,14,0)</f>
        <v>12218160</v>
      </c>
      <c r="C12" s="243" t="str">
        <f>VLOOKUP(A12,Export!A:P,16,0)</f>
        <v>JUAN ALEX  OLIVARES  ALANO</v>
      </c>
      <c r="D12" s="244" t="str">
        <f>VLOOKUP(A12,Export!A:H,8,0)</f>
        <v>0-365</v>
      </c>
      <c r="E12" s="260" t="s">
        <v>248</v>
      </c>
      <c r="F12" s="246">
        <f>VLOOKUP(A12,'[1]ORIGINAL '!D:M,5,0)</f>
        <v>6879999</v>
      </c>
      <c r="G12">
        <v>259734</v>
      </c>
      <c r="H12" s="240" t="s">
        <v>3695</v>
      </c>
      <c r="I12" s="382">
        <v>46195</v>
      </c>
      <c r="J12" s="245" t="s">
        <v>3692</v>
      </c>
      <c r="L12" s="249">
        <v>457241</v>
      </c>
    </row>
    <row r="13" spans="1:19" s="320" customFormat="1">
      <c r="A13" s="383">
        <v>1966918</v>
      </c>
      <c r="B13" s="317">
        <f>VLOOKUP(A13,Export!A:N,14,0)</f>
        <v>15167058</v>
      </c>
      <c r="C13" s="318" t="str">
        <f>VLOOKUP(A13,Export!A:P,16,0)</f>
        <v>CRISTIAN ALBERTO  REYES  INZUNZA</v>
      </c>
      <c r="D13" s="319" t="str">
        <f>VLOOKUP(A13,Export!A:H,8,0)</f>
        <v>0-365</v>
      </c>
      <c r="E13" s="384" t="s">
        <v>3716</v>
      </c>
      <c r="F13" s="321">
        <f>VLOOKUP(A13,'[1]ORIGINAL '!D:M,5,0)</f>
        <v>5463159</v>
      </c>
      <c r="G13" s="322">
        <v>1500000</v>
      </c>
      <c r="H13" s="323" t="s">
        <v>3717</v>
      </c>
      <c r="I13" s="385">
        <v>46192</v>
      </c>
      <c r="J13" s="320" t="s">
        <v>3690</v>
      </c>
      <c r="K13" s="324">
        <v>46180</v>
      </c>
      <c r="L13" s="325">
        <v>457241</v>
      </c>
    </row>
    <row r="14" spans="1:19" s="320" customFormat="1">
      <c r="A14" s="383">
        <v>2642200</v>
      </c>
      <c r="B14" s="317">
        <f>VLOOKUP(A14,Export!A:N,14,0)</f>
        <v>19972407</v>
      </c>
      <c r="C14" s="318" t="str">
        <f>VLOOKUP(A14,Export!A:P,16,0)</f>
        <v>JUAN CLAUDIO SILVA BURDILES</v>
      </c>
      <c r="D14" s="319" t="str">
        <f>VLOOKUP(A14,Export!A:H,8,0)</f>
        <v>0-365</v>
      </c>
      <c r="E14" s="384" t="s">
        <v>248</v>
      </c>
      <c r="F14" s="321">
        <f>VLOOKUP(A14,'[1]ORIGINAL '!D:M,5,0)</f>
        <v>6213630</v>
      </c>
      <c r="G14" s="322">
        <v>351136</v>
      </c>
      <c r="H14" s="323" t="s">
        <v>3718</v>
      </c>
      <c r="I14" s="385" t="s">
        <v>3719</v>
      </c>
      <c r="J14" s="320" t="s">
        <v>3690</v>
      </c>
      <c r="L14" s="325">
        <v>457241</v>
      </c>
    </row>
    <row r="15" spans="1:19" s="245" customFormat="1">
      <c r="A15" s="383">
        <v>2642200</v>
      </c>
      <c r="B15" s="242">
        <f>VLOOKUP(A15,Export!A:N,14,0)</f>
        <v>19972407</v>
      </c>
      <c r="C15" s="243" t="str">
        <f>VLOOKUP(A15,Export!A:P,16,0)</f>
        <v>JUAN CLAUDIO SILVA BURDILES</v>
      </c>
      <c r="D15" s="244" t="str">
        <f>VLOOKUP(A15,Export!A:H,8,0)</f>
        <v>0-365</v>
      </c>
      <c r="E15" s="260" t="s">
        <v>248</v>
      </c>
      <c r="F15" s="246">
        <f>VLOOKUP(A15,'[1]ORIGINAL '!D:M,5,0)</f>
        <v>6213630</v>
      </c>
      <c r="G15" s="247">
        <v>351136</v>
      </c>
      <c r="H15" s="240" t="s">
        <v>3720</v>
      </c>
      <c r="I15" s="382">
        <v>46202</v>
      </c>
      <c r="J15" s="245" t="s">
        <v>3692</v>
      </c>
      <c r="L15" s="249">
        <v>457241</v>
      </c>
      <c r="M15" s="245" t="s">
        <v>3721</v>
      </c>
    </row>
    <row r="16" spans="1:19" ht="15.75" customHeight="1">
      <c r="A16" s="259">
        <v>1874171</v>
      </c>
      <c r="B16" s="242" t="e">
        <f>VLOOKUP(A16,Export!A:N,14,0)</f>
        <v>#N/A</v>
      </c>
      <c r="C16" s="243" t="e">
        <f>VLOOKUP(A16,Export!A:P,16,0)</f>
        <v>#N/A</v>
      </c>
      <c r="D16" s="244" t="e">
        <f>VLOOKUP(A16,Export!A:H,8,0)</f>
        <v>#N/A</v>
      </c>
      <c r="E16" s="260" t="s">
        <v>3722</v>
      </c>
      <c r="F16" s="246">
        <f>VLOOKUP(A16,'[1]ORIGINAL '!D:M,5,0)</f>
        <v>4865566</v>
      </c>
      <c r="G16" s="247">
        <v>3732000</v>
      </c>
      <c r="H16" s="240"/>
      <c r="I16" s="382" t="s">
        <v>3723</v>
      </c>
      <c r="J16" s="245" t="s">
        <v>3690</v>
      </c>
      <c r="K16" t="s">
        <v>3724</v>
      </c>
      <c r="L16" s="249">
        <v>457241</v>
      </c>
      <c r="M16" t="s">
        <v>3725</v>
      </c>
    </row>
    <row r="17" spans="1:12">
      <c r="A17" s="175">
        <v>1867567</v>
      </c>
      <c r="B17" s="176" t="e">
        <f>VLOOKUP(A17,Export!A:N,14,0)</f>
        <v>#N/A</v>
      </c>
      <c r="C17" s="177" t="e">
        <f>VLOOKUP(A17,Export!A:P,16,0)</f>
        <v>#N/A</v>
      </c>
      <c r="D17" s="178" t="e">
        <f>VLOOKUP(A17,Export!A:H,8,0)</f>
        <v>#N/A</v>
      </c>
      <c r="E17" s="400" t="s">
        <v>3726</v>
      </c>
      <c r="F17" s="179">
        <f>VLOOKUP(A17,'[1]ORIGINAL '!D:M,5,0)</f>
        <v>4685635</v>
      </c>
      <c r="G17" s="180">
        <v>4500000</v>
      </c>
      <c r="H17" s="181"/>
      <c r="I17" s="404"/>
      <c r="J17" s="174" t="s">
        <v>3690</v>
      </c>
      <c r="K17" s="245"/>
      <c r="L17" s="249">
        <v>457241</v>
      </c>
    </row>
    <row r="18" spans="1:12" s="245" customFormat="1">
      <c r="A18" s="175">
        <v>2984397</v>
      </c>
      <c r="B18" s="176" t="e">
        <f>VLOOKUP(A18,Export!A:N,14,0)</f>
        <v>#N/A</v>
      </c>
      <c r="C18" s="177" t="e">
        <f>VLOOKUP(A18,Export!A:P,16,0)</f>
        <v>#N/A</v>
      </c>
      <c r="D18" s="178" t="e">
        <f>VLOOKUP(A18,Export!A:H,8,0)</f>
        <v>#N/A</v>
      </c>
      <c r="E18" s="400" t="s">
        <v>3727</v>
      </c>
      <c r="F18" s="179">
        <f>VLOOKUP(A18,'[1]ORIGINAL '!D:M,5,0)</f>
        <v>7543017</v>
      </c>
      <c r="G18" s="180">
        <v>7543017</v>
      </c>
      <c r="H18" s="181"/>
      <c r="I18" s="404"/>
      <c r="J18" s="174" t="s">
        <v>3618</v>
      </c>
      <c r="L18" s="249">
        <v>457241</v>
      </c>
    </row>
    <row r="19" spans="1:12" s="245" customFormat="1">
      <c r="A19" s="175">
        <v>1873778</v>
      </c>
      <c r="B19" s="176" t="e">
        <f>VLOOKUP(A19,Export!A:N,14,0)</f>
        <v>#N/A</v>
      </c>
      <c r="C19" s="177" t="e">
        <f>VLOOKUP(A19,Export!A:P,16,0)</f>
        <v>#N/A</v>
      </c>
      <c r="D19" s="178" t="e">
        <f>VLOOKUP(A19,Export!A:H,8,0)</f>
        <v>#N/A</v>
      </c>
      <c r="E19" s="400" t="s">
        <v>3728</v>
      </c>
      <c r="F19" s="179">
        <v>4070817</v>
      </c>
      <c r="G19" s="180">
        <v>4070817</v>
      </c>
      <c r="H19" s="181" t="s">
        <v>3566</v>
      </c>
      <c r="I19" s="404"/>
      <c r="J19" s="174" t="s">
        <v>3618</v>
      </c>
      <c r="L19" s="249">
        <v>457241</v>
      </c>
    </row>
    <row r="20" spans="1:12" s="320" customFormat="1">
      <c r="A20" s="383">
        <v>2242697</v>
      </c>
      <c r="B20" s="317">
        <f>VLOOKUP(A20,Export!A:N,14,0)</f>
        <v>76478759</v>
      </c>
      <c r="C20" s="318" t="str">
        <f>VLOOKUP(A20,Export!A:P,16,0)</f>
        <v>SOLUCIONES DE INGENIERÍA CESAR CESPEDES SPA</v>
      </c>
      <c r="D20" s="319" t="str">
        <f>VLOOKUP(A20,Export!A:H,8,0)</f>
        <v>0-365</v>
      </c>
      <c r="E20" s="384" t="s">
        <v>3729</v>
      </c>
      <c r="F20" s="321">
        <f>VLOOKUP(A20,'[1]ORIGINAL '!D:M,5,0)</f>
        <v>12103197</v>
      </c>
      <c r="G20" s="322" t="s">
        <v>3730</v>
      </c>
      <c r="H20" s="323"/>
      <c r="I20" s="385">
        <v>46192</v>
      </c>
      <c r="J20" s="320" t="s">
        <v>3690</v>
      </c>
      <c r="L20" s="325">
        <v>457241</v>
      </c>
    </row>
    <row r="21" spans="1:12">
      <c r="A21" s="259">
        <v>1638465</v>
      </c>
      <c r="B21" s="242">
        <f>VLOOKUP(A21,Export!A:N,14,0)</f>
        <v>27070326</v>
      </c>
      <c r="C21" s="243" t="str">
        <f>VLOOKUP(A21,Export!A:P,16,0)</f>
        <v>LIBIA ROSA  VERA TUBIÑEZ</v>
      </c>
      <c r="D21" s="244" t="str">
        <f>VLOOKUP(A21,Export!A:H,8,0)</f>
        <v>366-730</v>
      </c>
      <c r="E21" s="260" t="s">
        <v>248</v>
      </c>
      <c r="F21" s="246">
        <f>VLOOKUP(A21,'[1]ORIGINAL '!D:M,5,0)</f>
        <v>3871396</v>
      </c>
      <c r="G21" s="247">
        <v>177022</v>
      </c>
      <c r="H21" s="240" t="s">
        <v>3731</v>
      </c>
      <c r="I21" s="382">
        <v>46203</v>
      </c>
      <c r="J21" s="245" t="s">
        <v>3692</v>
      </c>
      <c r="K21" s="245"/>
      <c r="L21" s="249">
        <v>457241</v>
      </c>
    </row>
    <row r="22" spans="1:12">
      <c r="A22" s="259">
        <v>1644932</v>
      </c>
      <c r="B22" s="242">
        <f>VLOOKUP(A22,Export!A:N,14,0)</f>
        <v>16002296</v>
      </c>
      <c r="C22" s="243" t="str">
        <f>VLOOKUP(A22,Export!A:P,16,0)</f>
        <v>MIGUEL ANGEL  ACEVEDO ARAVENA</v>
      </c>
      <c r="D22" s="244" t="str">
        <f>VLOOKUP(A22,Export!A:H,8,0)</f>
        <v>366-730</v>
      </c>
      <c r="E22" s="260" t="s">
        <v>248</v>
      </c>
      <c r="F22" s="246">
        <f>VLOOKUP(A22,'[1]ORIGINAL '!D:M,5,0)</f>
        <v>4868802</v>
      </c>
      <c r="G22" s="247">
        <v>148700</v>
      </c>
      <c r="H22" s="240" t="s">
        <v>3732</v>
      </c>
      <c r="I22" s="382">
        <v>46199</v>
      </c>
      <c r="J22" s="245" t="s">
        <v>3690</v>
      </c>
      <c r="K22" s="245"/>
      <c r="L22" s="249">
        <v>457241</v>
      </c>
    </row>
    <row r="23" spans="1:12">
      <c r="A23" s="259">
        <v>3115557</v>
      </c>
      <c r="B23" s="242">
        <f>VLOOKUP(A23,Export!A:N,14,0)</f>
        <v>18488596</v>
      </c>
      <c r="C23" s="243" t="str">
        <f>VLOOKUP(A23,Export!A:P,16,0)</f>
        <v>ELENA ROMANE VIDAL GOMEZ</v>
      </c>
      <c r="D23" s="244" t="str">
        <f>VLOOKUP(A23,Export!A:H,8,0)</f>
        <v>0-365</v>
      </c>
      <c r="E23" s="260" t="s">
        <v>3733</v>
      </c>
      <c r="F23" s="246">
        <f>VLOOKUP(A23,'[1]ORIGINAL '!D:M,5,0)</f>
        <v>10316441</v>
      </c>
      <c r="G23" s="247">
        <v>260548</v>
      </c>
      <c r="H23" s="240" t="s">
        <v>3734</v>
      </c>
      <c r="I23" s="382"/>
      <c r="J23" s="245" t="s">
        <v>3692</v>
      </c>
      <c r="K23" s="245"/>
      <c r="L23" s="249">
        <v>457241</v>
      </c>
    </row>
    <row r="24" spans="1:12">
      <c r="A24" s="259">
        <v>1791083</v>
      </c>
      <c r="B24" s="242">
        <f>VLOOKUP(A24,Export!A:N,14,0)</f>
        <v>15236244</v>
      </c>
      <c r="C24" s="243" t="str">
        <f>VLOOKUP(A24,Export!A:P,16,0)</f>
        <v>RUBÉN ANER CARILAO BARRA</v>
      </c>
      <c r="D24" s="244" t="str">
        <f>VLOOKUP(A24,Export!A:H,8,0)</f>
        <v>366-730</v>
      </c>
      <c r="E24" s="260"/>
      <c r="F24" s="246">
        <f>VLOOKUP(A24,'[1]ORIGINAL '!D:M,5,0)</f>
        <v>7569433</v>
      </c>
      <c r="G24" s="247">
        <v>273726</v>
      </c>
      <c r="H24" s="240" t="s">
        <v>3732</v>
      </c>
      <c r="I24" s="382"/>
      <c r="J24" s="245" t="s">
        <v>3690</v>
      </c>
      <c r="K24" s="245"/>
      <c r="L24" s="249">
        <v>457241</v>
      </c>
    </row>
    <row r="25" spans="1:12">
      <c r="A25" s="259"/>
      <c r="B25" s="242" t="e">
        <f>VLOOKUP(A25,Export!A:N,14,0)</f>
        <v>#N/A</v>
      </c>
      <c r="C25" s="243" t="e">
        <f>VLOOKUP(A25,Export!A:P,16,0)</f>
        <v>#N/A</v>
      </c>
      <c r="D25" s="244" t="e">
        <f>VLOOKUP(A25,Export!A:H,8,0)</f>
        <v>#N/A</v>
      </c>
      <c r="E25" s="260"/>
      <c r="F25" s="246" t="e">
        <f>VLOOKUP(A25,'[1]ORIGINAL '!D:M,5,0)</f>
        <v>#N/A</v>
      </c>
      <c r="G25" s="247"/>
      <c r="H25" s="240"/>
      <c r="I25" s="382"/>
      <c r="J25" s="245" t="s">
        <v>3692</v>
      </c>
      <c r="K25" s="245"/>
      <c r="L25" s="249">
        <v>457241</v>
      </c>
    </row>
    <row r="26" spans="1:12">
      <c r="H26" s="247"/>
    </row>
    <row r="27" spans="1:12">
      <c r="H27" s="180"/>
    </row>
    <row r="28" spans="1:12">
      <c r="H28" s="247"/>
    </row>
    <row r="29" spans="1:12">
      <c r="H29" s="247"/>
    </row>
    <row r="30" spans="1:12">
      <c r="E30" t="s">
        <v>3735</v>
      </c>
      <c r="H30" s="247"/>
    </row>
    <row r="31" spans="1:12">
      <c r="A31" t="s">
        <v>3736</v>
      </c>
      <c r="H31" s="247"/>
    </row>
    <row r="32" spans="1:12">
      <c r="A32" s="259">
        <v>1645952</v>
      </c>
      <c r="B32" s="242">
        <f>VLOOKUP(A32,Export!A:N,14,0)</f>
        <v>15189992</v>
      </c>
      <c r="C32" s="243" t="str">
        <f>VLOOKUP(A32,Export!A:P,16,0)</f>
        <v>ERIK MARCELO  ABURTO MORAGA</v>
      </c>
      <c r="D32" s="244" t="str">
        <f>VLOOKUP(A32,Export!A:H,8,0)</f>
        <v>0-365</v>
      </c>
      <c r="E32" s="260" t="s">
        <v>3737</v>
      </c>
      <c r="F32" s="246">
        <f>VLOOKUP(A32,'[1]ORIGINAL '!D:M,5,0)</f>
        <v>7872938</v>
      </c>
      <c r="G32" s="247"/>
      <c r="H32" s="247">
        <v>172022</v>
      </c>
      <c r="I32" s="382"/>
      <c r="J32" s="245" t="s">
        <v>3692</v>
      </c>
      <c r="K32" s="245"/>
      <c r="L32" s="249">
        <v>457241</v>
      </c>
    </row>
    <row r="33" spans="1:12">
      <c r="A33" s="259">
        <v>2310878</v>
      </c>
      <c r="B33" s="242">
        <f>VLOOKUP(A33,Export!A:N,14,0)</f>
        <v>16782801</v>
      </c>
      <c r="C33" s="243" t="str">
        <f>VLOOKUP(A33,Export!A:P,16,0)</f>
        <v>PATRICIO ESTEBAN GUTIÉRREZ VALENZUELA</v>
      </c>
      <c r="D33" s="244" t="str">
        <f>VLOOKUP(A33,Export!A:H,8,0)</f>
        <v>0-365</v>
      </c>
      <c r="E33" s="260"/>
      <c r="F33" s="246">
        <f>VLOOKUP(A33,'[1]ORIGINAL '!D:M,5,0)</f>
        <v>10088187</v>
      </c>
      <c r="G33" s="247"/>
      <c r="H33" s="247">
        <v>202800</v>
      </c>
      <c r="I33" s="382"/>
      <c r="J33" s="245" t="s">
        <v>3692</v>
      </c>
      <c r="K33" s="245"/>
      <c r="L33" s="249">
        <v>457241</v>
      </c>
    </row>
    <row r="34" spans="1:12">
      <c r="A34" s="259">
        <v>2361546</v>
      </c>
      <c r="B34" s="242">
        <f>VLOOKUP(A34,Export!A:N,14,0)</f>
        <v>18845546</v>
      </c>
      <c r="C34" s="243" t="str">
        <f>VLOOKUP(A34,Export!A:P,16,0)</f>
        <v>PAULETTE CRISTINA PEÑA JARA</v>
      </c>
      <c r="D34" s="244" t="str">
        <f>VLOOKUP(A34,Export!A:H,8,0)</f>
        <v>0-365</v>
      </c>
      <c r="E34" s="260"/>
      <c r="F34" s="246">
        <f>VLOOKUP(A34,'[1]ORIGINAL '!D:M,5,0)</f>
        <v>5966279</v>
      </c>
      <c r="G34" s="247"/>
      <c r="H34" s="247">
        <v>148700</v>
      </c>
      <c r="I34" s="382"/>
      <c r="J34" s="245" t="s">
        <v>3692</v>
      </c>
      <c r="K34" s="245"/>
      <c r="L34" s="249">
        <v>457241</v>
      </c>
    </row>
    <row r="35" spans="1:12">
      <c r="A35" s="259">
        <v>3142604</v>
      </c>
      <c r="B35" s="242">
        <f>VLOOKUP(A35,Export!A:N,14,0)</f>
        <v>18455951</v>
      </c>
      <c r="C35" s="243" t="str">
        <f>VLOOKUP(A35,Export!A:P,16,0)</f>
        <v>BASTIÁN ALEXIS LARA MANRÍQUEZ</v>
      </c>
      <c r="D35" s="244" t="str">
        <f>VLOOKUP(A35,Export!A:H,8,0)</f>
        <v>0-365</v>
      </c>
      <c r="E35" s="260"/>
      <c r="F35" s="246">
        <f>VLOOKUP(A35,'[1]ORIGINAL '!D:M,5,0)</f>
        <v>8487006</v>
      </c>
      <c r="G35" s="247"/>
      <c r="H35" s="180">
        <v>170000</v>
      </c>
      <c r="I35" s="382"/>
      <c r="J35" s="245" t="s">
        <v>3692</v>
      </c>
      <c r="K35" s="245"/>
      <c r="L35" s="249">
        <v>457241</v>
      </c>
    </row>
    <row r="36" spans="1:12">
      <c r="A36" s="259">
        <v>1891178</v>
      </c>
      <c r="B36" s="242">
        <f>VLOOKUP(A36,Export!A:N,14,0)</f>
        <v>26313552</v>
      </c>
      <c r="C36" s="243" t="str">
        <f>VLOOKUP(A36,Export!A:P,16,0)</f>
        <v>WILLIAMS JOSE  CHACIN MARTINEZ</v>
      </c>
      <c r="D36" s="244" t="str">
        <f>VLOOKUP(A36,Export!A:H,8,0)</f>
        <v>0-365</v>
      </c>
      <c r="E36" s="260"/>
      <c r="F36" s="246">
        <f>VLOOKUP(A36,'[1]ORIGINAL '!D:M,5,0)</f>
        <v>6382600</v>
      </c>
      <c r="G36" s="247"/>
      <c r="H36" s="247">
        <v>197552</v>
      </c>
      <c r="I36" s="382"/>
      <c r="J36" s="245" t="s">
        <v>3692</v>
      </c>
      <c r="K36" s="245"/>
      <c r="L36" s="249">
        <v>457241</v>
      </c>
    </row>
    <row r="37" spans="1:12">
      <c r="A37" s="259"/>
      <c r="B37" s="242" t="e">
        <f>VLOOKUP(A37,Export!A:N,14,0)</f>
        <v>#N/A</v>
      </c>
      <c r="C37" s="243" t="e">
        <f>VLOOKUP(A37,Export!A:P,16,0)</f>
        <v>#N/A</v>
      </c>
      <c r="D37" s="244" t="e">
        <f>VLOOKUP(A37,Export!A:H,8,0)</f>
        <v>#N/A</v>
      </c>
      <c r="E37" s="260"/>
      <c r="F37" s="246" t="e">
        <f>VLOOKUP(A37,'[1]ORIGINAL '!D:M,5,0)</f>
        <v>#N/A</v>
      </c>
      <c r="G37" s="247"/>
      <c r="H37" s="247">
        <v>246730</v>
      </c>
      <c r="I37" s="382"/>
      <c r="J37" s="245" t="s">
        <v>3692</v>
      </c>
      <c r="K37" s="245"/>
      <c r="L37" s="249">
        <v>457241</v>
      </c>
    </row>
    <row r="38" spans="1:12">
      <c r="A38" s="259"/>
      <c r="B38" s="242" t="e">
        <f>VLOOKUP(A38,Export!A:N,14,0)</f>
        <v>#N/A</v>
      </c>
      <c r="C38" s="243" t="e">
        <f>VLOOKUP(A38,Export!A:P,16,0)</f>
        <v>#N/A</v>
      </c>
      <c r="D38" s="244" t="e">
        <f>VLOOKUP(A38,Export!A:H,8,0)</f>
        <v>#N/A</v>
      </c>
      <c r="E38" s="260"/>
      <c r="F38" s="246" t="e">
        <f>VLOOKUP(A38,'[1]ORIGINAL '!D:M,5,0)</f>
        <v>#N/A</v>
      </c>
      <c r="G38" s="247"/>
      <c r="H38" s="322">
        <v>1500000</v>
      </c>
      <c r="I38" s="382"/>
      <c r="J38" s="245" t="s">
        <v>3692</v>
      </c>
      <c r="K38" s="245"/>
      <c r="L38" s="249">
        <v>457241</v>
      </c>
    </row>
    <row r="39" spans="1:12">
      <c r="A39" s="259"/>
      <c r="B39" s="242" t="e">
        <f>VLOOKUP(A39,Export!A:N,14,0)</f>
        <v>#N/A</v>
      </c>
      <c r="C39" s="243" t="e">
        <f>VLOOKUP(A39,Export!A:P,16,0)</f>
        <v>#N/A</v>
      </c>
      <c r="D39" s="244" t="e">
        <f>VLOOKUP(A39,Export!A:H,8,0)</f>
        <v>#N/A</v>
      </c>
      <c r="E39" s="260"/>
      <c r="F39" s="246" t="e">
        <f>VLOOKUP(A39,'[1]ORIGINAL '!D:M,5,0)</f>
        <v>#N/A</v>
      </c>
      <c r="G39" s="247"/>
      <c r="H39" s="322">
        <v>351136</v>
      </c>
      <c r="I39" s="382"/>
      <c r="J39" s="245" t="s">
        <v>3692</v>
      </c>
      <c r="K39" s="245"/>
      <c r="L39" s="249">
        <v>457241</v>
      </c>
    </row>
    <row r="40" spans="1:12">
      <c r="A40" s="259"/>
      <c r="B40" s="242" t="e">
        <f>VLOOKUP(A40,Export!A:N,14,0)</f>
        <v>#N/A</v>
      </c>
      <c r="C40" s="243" t="e">
        <f>VLOOKUP(A40,Export!A:P,16,0)</f>
        <v>#N/A</v>
      </c>
      <c r="D40" s="244" t="e">
        <f>VLOOKUP(A40,Export!A:H,8,0)</f>
        <v>#N/A</v>
      </c>
      <c r="E40" s="260"/>
      <c r="F40" s="246" t="e">
        <f>VLOOKUP(A40,'[1]ORIGINAL '!D:M,5,0)</f>
        <v>#N/A</v>
      </c>
      <c r="G40" s="247"/>
      <c r="H40" s="247">
        <v>3732000</v>
      </c>
      <c r="I40" s="382"/>
      <c r="J40" s="245" t="s">
        <v>3692</v>
      </c>
      <c r="K40" s="245"/>
      <c r="L40" s="249">
        <v>457241</v>
      </c>
    </row>
    <row r="41" spans="1:12">
      <c r="A41" s="259"/>
      <c r="B41" s="242" t="e">
        <f>VLOOKUP(A41,Export!A:N,14,0)</f>
        <v>#N/A</v>
      </c>
      <c r="C41" s="243" t="e">
        <f>VLOOKUP(A41,Export!A:P,16,0)</f>
        <v>#N/A</v>
      </c>
      <c r="D41" s="244" t="e">
        <f>VLOOKUP(A41,Export!A:H,8,0)</f>
        <v>#N/A</v>
      </c>
      <c r="E41" s="260"/>
      <c r="F41" s="246" t="e">
        <f>VLOOKUP(A41,'[1]ORIGINAL '!D:M,5,0)</f>
        <v>#N/A</v>
      </c>
      <c r="G41" s="247"/>
      <c r="H41" s="180">
        <v>4500000</v>
      </c>
      <c r="I41" s="382"/>
      <c r="J41" s="245" t="s">
        <v>3692</v>
      </c>
      <c r="K41" s="245"/>
      <c r="L41" s="249">
        <v>457241</v>
      </c>
    </row>
    <row r="42" spans="1:12">
      <c r="A42" s="259"/>
      <c r="B42" s="242" t="e">
        <f>VLOOKUP(A42,Export!A:N,14,0)</f>
        <v>#N/A</v>
      </c>
      <c r="C42" s="243" t="e">
        <f>VLOOKUP(A42,Export!A:P,16,0)</f>
        <v>#N/A</v>
      </c>
      <c r="D42" s="244" t="e">
        <f>VLOOKUP(A42,Export!A:H,8,0)</f>
        <v>#N/A</v>
      </c>
      <c r="E42" s="260"/>
      <c r="F42" s="246" t="e">
        <f>VLOOKUP(A42,'[1]ORIGINAL '!D:M,5,0)</f>
        <v>#N/A</v>
      </c>
      <c r="G42" s="247"/>
      <c r="H42" s="180">
        <v>7543017</v>
      </c>
      <c r="I42" s="382"/>
      <c r="J42" s="245" t="s">
        <v>3692</v>
      </c>
      <c r="K42" s="245"/>
      <c r="L42" s="249">
        <v>457241</v>
      </c>
    </row>
    <row r="43" spans="1:12">
      <c r="A43" s="259"/>
      <c r="B43" s="242" t="e">
        <f>VLOOKUP(A43,Export!A:N,14,0)</f>
        <v>#N/A</v>
      </c>
      <c r="C43" s="243" t="e">
        <f>VLOOKUP(A43,Export!A:P,16,0)</f>
        <v>#N/A</v>
      </c>
      <c r="D43" s="244" t="e">
        <f>VLOOKUP(A43,Export!A:H,8,0)</f>
        <v>#N/A</v>
      </c>
      <c r="E43" s="260"/>
      <c r="F43" s="246" t="e">
        <f>VLOOKUP(A43,'[1]ORIGINAL '!D:M,5,0)</f>
        <v>#N/A</v>
      </c>
      <c r="G43" s="247"/>
      <c r="H43" s="180">
        <v>4070817</v>
      </c>
      <c r="I43" s="382"/>
      <c r="J43" s="245" t="s">
        <v>3692</v>
      </c>
      <c r="K43" s="245"/>
      <c r="L43" s="249">
        <v>457241</v>
      </c>
    </row>
    <row r="44" spans="1:12">
      <c r="H44" s="322" t="s">
        <v>3730</v>
      </c>
    </row>
    <row r="45" spans="1:12">
      <c r="H45" s="247">
        <v>148700</v>
      </c>
    </row>
    <row r="46" spans="1:12">
      <c r="H46" s="8">
        <v>4151673</v>
      </c>
    </row>
    <row r="47" spans="1:12">
      <c r="H47" s="247">
        <v>348087</v>
      </c>
    </row>
    <row r="48" spans="1:12">
      <c r="H48" s="405">
        <v>294000</v>
      </c>
    </row>
    <row r="49" spans="8:8">
      <c r="H49" s="405">
        <v>177022</v>
      </c>
    </row>
    <row r="50" spans="8:8">
      <c r="H50" s="405">
        <v>202800</v>
      </c>
    </row>
    <row r="51" spans="8:8">
      <c r="H51" s="406">
        <v>259734</v>
      </c>
    </row>
    <row r="52" spans="8:8">
      <c r="H52" s="405"/>
    </row>
    <row r="53" spans="8:8">
      <c r="H53" s="405">
        <v>177022</v>
      </c>
    </row>
    <row r="54" spans="8:8">
      <c r="H54" s="405">
        <v>260548</v>
      </c>
    </row>
    <row r="55" spans="8:8">
      <c r="H55" s="405"/>
    </row>
    <row r="56" spans="8:8">
      <c r="H56" s="8">
        <f>SUM(H32:H55)</f>
        <v>28854360</v>
      </c>
    </row>
  </sheetData>
  <autoFilter ref="A1:P25" xr:uid="{5BC2F070-04C2-4D3D-9F72-37DC737D3C97}"/>
  <conditionalFormatting sqref="A1">
    <cfRule type="duplicateValues" dxfId="26" priority="45"/>
  </conditionalFormatting>
  <conditionalFormatting sqref="A2">
    <cfRule type="duplicateValues" dxfId="25" priority="41"/>
  </conditionalFormatting>
  <conditionalFormatting sqref="A11">
    <cfRule type="duplicateValues" dxfId="24" priority="33"/>
  </conditionalFormatting>
  <conditionalFormatting sqref="A12:A25 A3:A10">
    <cfRule type="duplicateValues" dxfId="23" priority="240"/>
  </conditionalFormatting>
  <conditionalFormatting sqref="A32:A43">
    <cfRule type="duplicateValues" dxfId="22" priority="19"/>
  </conditionalFormatting>
  <conditionalFormatting sqref="A32:D43">
    <cfRule type="expression" dxfId="21" priority="17">
      <formula>$J32="PAGADO"</formula>
    </cfRule>
  </conditionalFormatting>
  <conditionalFormatting sqref="B2:D10 B11:B12 D11:D12 B13:D25">
    <cfRule type="expression" dxfId="20" priority="35">
      <formula>#REF!="PAGADO"</formula>
    </cfRule>
  </conditionalFormatting>
  <conditionalFormatting sqref="B32:D43">
    <cfRule type="expression" dxfId="19" priority="18">
      <formula>#REF!="PAGADO"</formula>
    </cfRule>
  </conditionalFormatting>
  <conditionalFormatting sqref="F12">
    <cfRule type="expression" dxfId="18" priority="36">
      <formula>$J12="PAGADO"</formula>
    </cfRule>
  </conditionalFormatting>
  <conditionalFormatting sqref="F11:G11">
    <cfRule type="expression" dxfId="17" priority="34">
      <formula>$J11="PAGADO"</formula>
    </cfRule>
  </conditionalFormatting>
  <conditionalFormatting sqref="F2:H10 A2:D25 F13:H25 F32:G43">
    <cfRule type="expression" dxfId="16" priority="25">
      <formula>$J2="PAGADO"</formula>
    </cfRule>
  </conditionalFormatting>
  <conditionalFormatting sqref="H11">
    <cfRule type="expression" dxfId="15" priority="223">
      <formula>$J12="PAGADO"</formula>
    </cfRule>
  </conditionalFormatting>
  <conditionalFormatting sqref="H12">
    <cfRule type="expression" dxfId="14" priority="239">
      <formula>#REF!="PAGADO"</formula>
    </cfRule>
  </conditionalFormatting>
  <conditionalFormatting sqref="H26:H45">
    <cfRule type="expression" dxfId="13" priority="8">
      <formula>$J26="PAGADO"</formula>
    </cfRule>
  </conditionalFormatting>
  <conditionalFormatting sqref="H47:H50">
    <cfRule type="expression" dxfId="12" priority="4">
      <formula>$J47="PAGADO"</formula>
    </cfRule>
  </conditionalFormatting>
  <conditionalFormatting sqref="H52:H55">
    <cfRule type="expression" dxfId="11" priority="1">
      <formula>$J52="PAGADO"</formula>
    </cfRule>
  </conditionalFormatting>
  <dataValidations count="4">
    <dataValidation type="list" allowBlank="1" showInputMessage="1" showErrorMessage="1" sqref="E1" xr:uid="{34182A90-3BB2-457C-BA04-2902854E8185}">
      <formula1>"DACIÓN,PLAN DE PAGO,NUEVO PLAN DE PAGO,EXCEPCION PUT, PUT EN PARTES, INTENCION DE PAGO"</formula1>
    </dataValidation>
    <dataValidation type="list" allowBlank="1" showInputMessage="1" showErrorMessage="1" sqref="E1" xr:uid="{F6B31A4C-2BC4-4176-805B-75572ABCCD25}">
      <formula1>"DACIÓN,RENEGOCIACIÓN,PAGO CUOTAS,PREPAGO,PLAN DE PAGO,EXCEPCION PUT"</formula1>
    </dataValidation>
    <dataValidation type="list" allowBlank="1" showInputMessage="1" showErrorMessage="1" sqref="J1" xr:uid="{0E12568C-9262-4E84-B598-F9412BAF47CB}">
      <formula1>"PAGADO,PENDIENTE,ROTO"</formula1>
    </dataValidation>
    <dataValidation type="date" operator="greaterThan" allowBlank="1" showInputMessage="1" showErrorMessage="1" sqref="I1" xr:uid="{0B0192D5-B585-4B09-AFC6-BC9922C27EE2}">
      <formula1>45870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8" id="{EC25EFD5-E465-4D50-8E04-2ACCB39BA3DB}">
            <xm:f>'TUBO CASTIGO '!#REF!="PAGADO"</xm:f>
            <x14:dxf>
              <fill>
                <patternFill>
                  <bgColor theme="9"/>
                </patternFill>
              </fill>
            </x14:dxf>
          </x14:cfRule>
          <xm:sqref>C11:C12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BA8E-07FB-4668-A2ED-155DAA069CD7}">
  <dimension ref="A1:N77"/>
  <sheetViews>
    <sheetView topLeftCell="A15" workbookViewId="0">
      <selection activeCell="C25" sqref="C25"/>
    </sheetView>
  </sheetViews>
  <sheetFormatPr defaultColWidth="11.42578125" defaultRowHeight="15"/>
  <cols>
    <col min="2" max="2" width="12.7109375" bestFit="1" customWidth="1"/>
    <col min="3" max="3" width="50.7109375" bestFit="1" customWidth="1"/>
    <col min="6" max="6" width="12.85546875" style="8" bestFit="1" customWidth="1"/>
    <col min="8" max="8" width="16.85546875" customWidth="1"/>
    <col min="9" max="9" width="22.5703125" bestFit="1" customWidth="1"/>
    <col min="10" max="10" width="11.28515625" style="3" bestFit="1" customWidth="1"/>
    <col min="11" max="11" width="17.28515625" bestFit="1" customWidth="1"/>
  </cols>
  <sheetData>
    <row r="1" spans="1:12">
      <c r="A1" t="s">
        <v>3738</v>
      </c>
      <c r="B1" t="s">
        <v>36</v>
      </c>
      <c r="C1" t="s">
        <v>3739</v>
      </c>
      <c r="D1" t="s">
        <v>66</v>
      </c>
      <c r="E1" t="s">
        <v>3740</v>
      </c>
      <c r="F1" s="8" t="s">
        <v>3741</v>
      </c>
      <c r="G1" t="s">
        <v>3742</v>
      </c>
      <c r="H1" t="s">
        <v>63</v>
      </c>
      <c r="I1" t="s">
        <v>64</v>
      </c>
      <c r="J1" s="3" t="s">
        <v>3743</v>
      </c>
      <c r="K1" t="s">
        <v>3744</v>
      </c>
      <c r="L1" t="s">
        <v>3745</v>
      </c>
    </row>
    <row r="2" spans="1:12">
      <c r="A2">
        <v>1791083</v>
      </c>
      <c r="B2" t="s">
        <v>3746</v>
      </c>
      <c r="C2" t="s">
        <v>405</v>
      </c>
      <c r="D2" t="s">
        <v>3747</v>
      </c>
      <c r="E2" t="s">
        <v>151</v>
      </c>
      <c r="F2" s="8">
        <v>6234785</v>
      </c>
      <c r="G2" t="s">
        <v>3748</v>
      </c>
      <c r="H2" t="s">
        <v>3749</v>
      </c>
      <c r="I2" t="s">
        <v>408</v>
      </c>
      <c r="J2" s="3">
        <v>45667</v>
      </c>
      <c r="L2" t="str">
        <f>+VLOOKUP(A2,'[1]ORIGINAL '!D:N,11,0)</f>
        <v>CASTIGO</v>
      </c>
    </row>
    <row r="3" spans="1:12">
      <c r="A3">
        <v>2960003</v>
      </c>
      <c r="B3" t="s">
        <v>3750</v>
      </c>
      <c r="C3" t="s">
        <v>3751</v>
      </c>
      <c r="D3" t="s">
        <v>3752</v>
      </c>
      <c r="E3" t="s">
        <v>3753</v>
      </c>
      <c r="F3" s="8">
        <v>19119523</v>
      </c>
      <c r="G3" t="s">
        <v>3754</v>
      </c>
      <c r="H3" t="s">
        <v>3755</v>
      </c>
      <c r="I3" t="s">
        <v>586</v>
      </c>
      <c r="J3" s="3">
        <v>45742</v>
      </c>
      <c r="L3" t="str">
        <f>+VLOOKUP(A3,'[1]ORIGINAL '!D:N,11,0)</f>
        <v>CASTIGO</v>
      </c>
    </row>
    <row r="4" spans="1:12">
      <c r="A4">
        <v>2501797</v>
      </c>
      <c r="B4" t="s">
        <v>3756</v>
      </c>
      <c r="C4" t="s">
        <v>3757</v>
      </c>
      <c r="D4" t="s">
        <v>625</v>
      </c>
      <c r="E4" t="s">
        <v>3758</v>
      </c>
      <c r="F4" s="8">
        <v>5491364</v>
      </c>
      <c r="G4" t="s">
        <v>3759</v>
      </c>
      <c r="H4" t="s">
        <v>3760</v>
      </c>
      <c r="I4" t="s">
        <v>3761</v>
      </c>
      <c r="J4" s="3">
        <v>45743</v>
      </c>
      <c r="L4" t="str">
        <f>+VLOOKUP(A4,'[1]ORIGINAL '!D:N,11,0)</f>
        <v>CASTIGO</v>
      </c>
    </row>
    <row r="5" spans="1:12">
      <c r="A5">
        <v>2297687</v>
      </c>
      <c r="B5" t="s">
        <v>3762</v>
      </c>
      <c r="C5" t="s">
        <v>771</v>
      </c>
      <c r="D5" t="s">
        <v>3763</v>
      </c>
      <c r="E5" t="s">
        <v>396</v>
      </c>
      <c r="F5" s="8">
        <v>8822876</v>
      </c>
      <c r="G5" t="s">
        <v>3764</v>
      </c>
      <c r="H5" t="s">
        <v>3765</v>
      </c>
      <c r="I5" t="s">
        <v>408</v>
      </c>
      <c r="J5" s="3">
        <v>45744</v>
      </c>
      <c r="L5" t="str">
        <f>+VLOOKUP(A5,'[1]ORIGINAL '!D:N,11,0)</f>
        <v>CASTIGO</v>
      </c>
    </row>
    <row r="6" spans="1:12">
      <c r="A6">
        <v>1609884</v>
      </c>
      <c r="B6" t="s">
        <v>3766</v>
      </c>
      <c r="C6" t="s">
        <v>3767</v>
      </c>
      <c r="D6" t="s">
        <v>3763</v>
      </c>
      <c r="E6" t="s">
        <v>3768</v>
      </c>
      <c r="F6" s="8">
        <v>6217251</v>
      </c>
      <c r="G6" t="s">
        <v>3769</v>
      </c>
      <c r="H6" t="s">
        <v>3770</v>
      </c>
      <c r="I6" t="s">
        <v>3771</v>
      </c>
      <c r="J6" s="3">
        <v>45749</v>
      </c>
      <c r="K6" t="s">
        <v>285</v>
      </c>
      <c r="L6" t="e">
        <f>+VLOOKUP(A6,'[1]ORIGINAL '!D:N,11,0)</f>
        <v>#N/A</v>
      </c>
    </row>
    <row r="7" spans="1:12">
      <c r="A7">
        <v>1344919</v>
      </c>
      <c r="B7" t="s">
        <v>3772</v>
      </c>
      <c r="C7" t="s">
        <v>116</v>
      </c>
      <c r="D7" t="s">
        <v>120</v>
      </c>
      <c r="E7" t="s">
        <v>121</v>
      </c>
      <c r="F7" s="8">
        <v>6704919</v>
      </c>
      <c r="G7" t="s">
        <v>3773</v>
      </c>
      <c r="H7" t="s">
        <v>3774</v>
      </c>
      <c r="I7" t="s">
        <v>119</v>
      </c>
      <c r="J7" s="3">
        <v>45758</v>
      </c>
      <c r="L7" t="str">
        <f>+VLOOKUP(A7,'[1]ORIGINAL '!D:N,11,0)</f>
        <v>CASTIGO</v>
      </c>
    </row>
    <row r="8" spans="1:12">
      <c r="A8">
        <v>2554756</v>
      </c>
      <c r="B8" t="s">
        <v>3756</v>
      </c>
      <c r="C8" t="s">
        <v>3775</v>
      </c>
      <c r="D8" t="s">
        <v>959</v>
      </c>
      <c r="E8" t="s">
        <v>3768</v>
      </c>
      <c r="F8" s="8">
        <v>16075166</v>
      </c>
      <c r="G8" t="s">
        <v>3776</v>
      </c>
      <c r="H8" t="s">
        <v>3777</v>
      </c>
      <c r="I8" t="s">
        <v>426</v>
      </c>
      <c r="J8" s="3">
        <v>45769</v>
      </c>
      <c r="L8" t="str">
        <f>+VLOOKUP(A8,'[1]ORIGINAL '!D:N,11,0)</f>
        <v>CASTIGO</v>
      </c>
    </row>
    <row r="9" spans="1:12">
      <c r="A9">
        <v>1477948</v>
      </c>
      <c r="B9" t="s">
        <v>3778</v>
      </c>
      <c r="C9" t="s">
        <v>3779</v>
      </c>
      <c r="D9" t="s">
        <v>3780</v>
      </c>
      <c r="E9" t="s">
        <v>198</v>
      </c>
      <c r="F9" s="8">
        <v>6211566</v>
      </c>
      <c r="G9" t="s">
        <v>3781</v>
      </c>
      <c r="H9" t="s">
        <v>3782</v>
      </c>
      <c r="I9" t="s">
        <v>226</v>
      </c>
      <c r="J9" s="3">
        <v>45779</v>
      </c>
      <c r="L9" t="str">
        <f>+VLOOKUP(A9,'[1]ORIGINAL '!D:N,11,0)</f>
        <v>VIGENTE</v>
      </c>
    </row>
    <row r="10" spans="1:12">
      <c r="A10">
        <v>2501085</v>
      </c>
      <c r="B10" t="s">
        <v>3783</v>
      </c>
      <c r="C10" t="s">
        <v>1931</v>
      </c>
      <c r="D10" t="s">
        <v>489</v>
      </c>
      <c r="E10" t="s">
        <v>418</v>
      </c>
      <c r="F10" s="8">
        <v>7769536</v>
      </c>
      <c r="G10" t="s">
        <v>3784</v>
      </c>
      <c r="H10" t="s">
        <v>3785</v>
      </c>
      <c r="I10" t="s">
        <v>107</v>
      </c>
      <c r="J10" s="3">
        <v>45782</v>
      </c>
      <c r="L10" t="str">
        <f>+VLOOKUP(A10,'[1]ORIGINAL '!D:N,11,0)</f>
        <v>VIGENTE</v>
      </c>
    </row>
    <row r="11" spans="1:12">
      <c r="A11">
        <v>1811663</v>
      </c>
      <c r="B11" t="s">
        <v>3786</v>
      </c>
      <c r="C11" t="s">
        <v>3787</v>
      </c>
      <c r="D11" t="s">
        <v>427</v>
      </c>
      <c r="E11" t="s">
        <v>243</v>
      </c>
      <c r="F11" s="8">
        <v>6976272</v>
      </c>
      <c r="G11" t="s">
        <v>3788</v>
      </c>
      <c r="H11" t="s">
        <v>3789</v>
      </c>
      <c r="I11" t="s">
        <v>426</v>
      </c>
      <c r="J11" s="3">
        <v>45810</v>
      </c>
      <c r="L11" t="str">
        <f>+VLOOKUP(A11,'[1]ORIGINAL '!D:N,11,0)</f>
        <v>CASTIGO</v>
      </c>
    </row>
    <row r="12" spans="1:12">
      <c r="A12">
        <v>2012591</v>
      </c>
      <c r="B12" t="s">
        <v>3790</v>
      </c>
      <c r="C12" t="s">
        <v>3791</v>
      </c>
      <c r="D12" t="s">
        <v>1095</v>
      </c>
      <c r="E12" t="s">
        <v>449</v>
      </c>
      <c r="F12" s="8">
        <v>8668490</v>
      </c>
      <c r="G12" t="s">
        <v>3792</v>
      </c>
      <c r="H12" t="s">
        <v>3793</v>
      </c>
      <c r="I12" t="s">
        <v>330</v>
      </c>
      <c r="J12" s="3">
        <v>45812</v>
      </c>
      <c r="K12" t="s">
        <v>503</v>
      </c>
      <c r="L12" t="e">
        <f>+VLOOKUP(A12,'[1]ORIGINAL '!D:N,11,0)</f>
        <v>#N/A</v>
      </c>
    </row>
    <row r="13" spans="1:12">
      <c r="A13">
        <v>2329701</v>
      </c>
      <c r="B13" t="s">
        <v>3794</v>
      </c>
      <c r="C13" t="s">
        <v>3795</v>
      </c>
      <c r="D13" t="s">
        <v>1537</v>
      </c>
      <c r="E13" t="s">
        <v>171</v>
      </c>
      <c r="F13" s="8">
        <v>5931892</v>
      </c>
      <c r="G13" t="s">
        <v>3796</v>
      </c>
      <c r="H13" t="s">
        <v>3797</v>
      </c>
      <c r="I13" t="s">
        <v>1306</v>
      </c>
      <c r="J13" s="3">
        <v>45812</v>
      </c>
      <c r="K13" t="s">
        <v>3798</v>
      </c>
      <c r="L13" t="e">
        <f>+VLOOKUP(A13,'[1]ORIGINAL '!D:N,11,0)</f>
        <v>#N/A</v>
      </c>
    </row>
    <row r="14" spans="1:12">
      <c r="A14">
        <v>3001478</v>
      </c>
      <c r="B14" t="s">
        <v>3799</v>
      </c>
      <c r="C14" t="s">
        <v>3800</v>
      </c>
      <c r="D14" t="s">
        <v>3801</v>
      </c>
      <c r="E14" t="s">
        <v>3802</v>
      </c>
      <c r="F14" s="8">
        <v>4774537</v>
      </c>
      <c r="G14" t="s">
        <v>3803</v>
      </c>
      <c r="H14" t="s">
        <v>3804</v>
      </c>
      <c r="I14" t="s">
        <v>952</v>
      </c>
      <c r="J14" s="3">
        <v>45776</v>
      </c>
      <c r="K14" t="s">
        <v>503</v>
      </c>
      <c r="L14" t="e">
        <f>+VLOOKUP(A14,'[1]ORIGINAL '!D:N,11,0)</f>
        <v>#N/A</v>
      </c>
    </row>
    <row r="15" spans="1:12">
      <c r="A15">
        <v>3111100</v>
      </c>
      <c r="B15" t="s">
        <v>3805</v>
      </c>
      <c r="C15" t="s">
        <v>3806</v>
      </c>
      <c r="D15" t="s">
        <v>1273</v>
      </c>
      <c r="E15" t="s">
        <v>284</v>
      </c>
      <c r="F15" s="8">
        <v>13162113</v>
      </c>
      <c r="G15" t="s">
        <v>3807</v>
      </c>
      <c r="H15" t="s">
        <v>3808</v>
      </c>
      <c r="I15" t="s">
        <v>226</v>
      </c>
      <c r="J15" s="3">
        <v>45818</v>
      </c>
      <c r="L15" t="str">
        <f>+VLOOKUP(A15,'[1]ORIGINAL '!D:N,11,0)</f>
        <v>CASTIGO</v>
      </c>
    </row>
    <row r="16" spans="1:12">
      <c r="A16">
        <v>2126564</v>
      </c>
      <c r="B16" t="s">
        <v>3809</v>
      </c>
      <c r="C16" t="s">
        <v>628</v>
      </c>
      <c r="D16" t="s">
        <v>631</v>
      </c>
      <c r="E16" t="s">
        <v>367</v>
      </c>
      <c r="F16" s="8">
        <v>7403628</v>
      </c>
      <c r="G16" t="s">
        <v>3810</v>
      </c>
      <c r="H16" t="s">
        <v>3811</v>
      </c>
      <c r="I16" t="s">
        <v>330</v>
      </c>
      <c r="J16" s="3">
        <v>45831</v>
      </c>
      <c r="L16" t="str">
        <f>+VLOOKUP(A16,'[1]ORIGINAL '!D:N,11,0)</f>
        <v>CASTIGO</v>
      </c>
    </row>
    <row r="17" spans="1:12">
      <c r="A17">
        <v>1721051</v>
      </c>
      <c r="B17" t="s">
        <v>3812</v>
      </c>
      <c r="C17" t="s">
        <v>327</v>
      </c>
      <c r="D17" t="s">
        <v>3813</v>
      </c>
      <c r="E17" t="s">
        <v>3814</v>
      </c>
      <c r="F17" s="8">
        <v>8170959</v>
      </c>
      <c r="G17" t="s">
        <v>3815</v>
      </c>
      <c r="H17" t="s">
        <v>3816</v>
      </c>
      <c r="I17" t="s">
        <v>330</v>
      </c>
      <c r="J17" s="3">
        <v>45827</v>
      </c>
      <c r="K17" t="s">
        <v>3817</v>
      </c>
      <c r="L17" t="str">
        <f>+VLOOKUP(A17,'[1]ORIGINAL '!D:N,11,0)</f>
        <v>CASTIGO</v>
      </c>
    </row>
    <row r="18" spans="1:12">
      <c r="A18">
        <v>2535757</v>
      </c>
      <c r="B18" t="s">
        <v>3818</v>
      </c>
      <c r="C18" t="s">
        <v>3819</v>
      </c>
      <c r="D18" t="s">
        <v>567</v>
      </c>
      <c r="E18" t="s">
        <v>208</v>
      </c>
      <c r="F18" s="8">
        <v>9224592</v>
      </c>
      <c r="G18" t="s">
        <v>3820</v>
      </c>
      <c r="H18" t="s">
        <v>3821</v>
      </c>
      <c r="I18" t="s">
        <v>107</v>
      </c>
      <c r="L18" t="str">
        <f>+VLOOKUP(A18,'[1]ORIGINAL '!D:N,11,0)</f>
        <v>CASTIGO</v>
      </c>
    </row>
    <row r="19" spans="1:12">
      <c r="A19">
        <v>2895886</v>
      </c>
      <c r="B19" t="s">
        <v>3822</v>
      </c>
      <c r="C19" t="s">
        <v>3823</v>
      </c>
      <c r="D19" t="s">
        <v>631</v>
      </c>
      <c r="E19" t="s">
        <v>1008</v>
      </c>
      <c r="F19" s="8">
        <v>8074937</v>
      </c>
      <c r="G19" t="s">
        <v>3824</v>
      </c>
      <c r="H19" t="s">
        <v>3825</v>
      </c>
      <c r="I19" t="s">
        <v>330</v>
      </c>
      <c r="J19" s="3">
        <v>45855</v>
      </c>
      <c r="L19" t="str">
        <f>+VLOOKUP(A19,'[1]ORIGINAL '!D:N,11,0)</f>
        <v>CASTIGO</v>
      </c>
    </row>
    <row r="20" spans="1:12">
      <c r="A20">
        <v>2942690</v>
      </c>
      <c r="B20" t="s">
        <v>3826</v>
      </c>
      <c r="C20" t="s">
        <v>3827</v>
      </c>
      <c r="D20" t="s">
        <v>1177</v>
      </c>
      <c r="E20" t="s">
        <v>151</v>
      </c>
      <c r="F20" s="8">
        <v>10747281</v>
      </c>
      <c r="G20" t="s">
        <v>3828</v>
      </c>
      <c r="H20" t="s">
        <v>3829</v>
      </c>
      <c r="I20" t="s">
        <v>902</v>
      </c>
      <c r="J20" s="3">
        <v>45853</v>
      </c>
      <c r="L20" t="str">
        <f>+VLOOKUP(A20,'[1]ORIGINAL '!D:N,11,0)</f>
        <v>CASTIGO</v>
      </c>
    </row>
    <row r="21" spans="1:12">
      <c r="A21">
        <v>1585963</v>
      </c>
      <c r="B21" t="s">
        <v>3830</v>
      </c>
      <c r="C21" t="s">
        <v>3831</v>
      </c>
      <c r="D21" t="s">
        <v>263</v>
      </c>
      <c r="E21" t="s">
        <v>208</v>
      </c>
      <c r="F21" s="8">
        <v>5825493</v>
      </c>
      <c r="G21" t="s">
        <v>3832</v>
      </c>
      <c r="H21" t="s">
        <v>3833</v>
      </c>
      <c r="I21" t="s">
        <v>902</v>
      </c>
      <c r="J21" s="3">
        <v>45859</v>
      </c>
      <c r="L21" t="str">
        <f>+VLOOKUP(A21,'[1]ORIGINAL '!D:N,11,0)</f>
        <v>CASTIGO</v>
      </c>
    </row>
    <row r="22" spans="1:12">
      <c r="A22">
        <v>1642440</v>
      </c>
      <c r="B22" t="s">
        <v>3834</v>
      </c>
      <c r="C22" t="s">
        <v>3835</v>
      </c>
      <c r="D22" t="s">
        <v>292</v>
      </c>
      <c r="E22" t="s">
        <v>293</v>
      </c>
      <c r="F22" s="8">
        <v>12008304</v>
      </c>
      <c r="G22" t="s">
        <v>3836</v>
      </c>
      <c r="H22" t="s">
        <v>3837</v>
      </c>
      <c r="I22" t="s">
        <v>2847</v>
      </c>
      <c r="J22" s="3">
        <v>45875</v>
      </c>
      <c r="L22" t="str">
        <f>+VLOOKUP(A22,'[1]ORIGINAL '!D:N,11,0)</f>
        <v>CASTIGO</v>
      </c>
    </row>
    <row r="23" spans="1:12">
      <c r="A23">
        <v>1642440</v>
      </c>
      <c r="B23" t="s">
        <v>3838</v>
      </c>
      <c r="C23" t="s">
        <v>3839</v>
      </c>
      <c r="D23" t="s">
        <v>292</v>
      </c>
      <c r="E23" t="s">
        <v>293</v>
      </c>
      <c r="F23" s="8">
        <v>12008304</v>
      </c>
      <c r="G23" t="s">
        <v>3836</v>
      </c>
      <c r="H23" t="s">
        <v>3837</v>
      </c>
      <c r="I23" t="s">
        <v>2847</v>
      </c>
      <c r="J23" s="3">
        <v>45875</v>
      </c>
      <c r="L23" t="str">
        <f>+VLOOKUP(A23,'[1]ORIGINAL '!D:N,11,0)</f>
        <v>CASTIGO</v>
      </c>
    </row>
    <row r="24" spans="1:12">
      <c r="A24">
        <v>2032522</v>
      </c>
      <c r="B24" t="s">
        <v>3840</v>
      </c>
      <c r="C24" t="s">
        <v>3841</v>
      </c>
      <c r="D24" t="s">
        <v>3842</v>
      </c>
      <c r="E24" t="s">
        <v>3843</v>
      </c>
      <c r="F24" s="8">
        <v>3128101</v>
      </c>
      <c r="G24" t="s">
        <v>3844</v>
      </c>
      <c r="H24" t="s">
        <v>3845</v>
      </c>
      <c r="I24" t="s">
        <v>593</v>
      </c>
      <c r="J24" s="3">
        <v>45883</v>
      </c>
      <c r="L24" t="e">
        <f>+VLOOKUP(A24,'[1]ORIGINAL '!D:N,11,0)</f>
        <v>#N/A</v>
      </c>
    </row>
    <row r="25" spans="1:12">
      <c r="A25">
        <v>1540238</v>
      </c>
      <c r="B25" t="s">
        <v>3846</v>
      </c>
      <c r="C25" t="s">
        <v>3847</v>
      </c>
      <c r="D25" t="s">
        <v>227</v>
      </c>
      <c r="E25" t="s">
        <v>1008</v>
      </c>
      <c r="F25" s="8">
        <v>5822119</v>
      </c>
      <c r="G25" t="s">
        <v>3848</v>
      </c>
      <c r="H25" t="s">
        <v>3849</v>
      </c>
      <c r="I25" t="s">
        <v>226</v>
      </c>
      <c r="J25" s="3">
        <v>45897</v>
      </c>
      <c r="L25" t="str">
        <f>+VLOOKUP(A25,'[1]ORIGINAL '!D:N,11,0)</f>
        <v>VIGENTE</v>
      </c>
    </row>
    <row r="26" spans="1:12">
      <c r="A26">
        <v>3052601</v>
      </c>
      <c r="B26" t="s">
        <v>3850</v>
      </c>
      <c r="C26" t="s">
        <v>1253</v>
      </c>
      <c r="D26" t="s">
        <v>1257</v>
      </c>
      <c r="E26" t="s">
        <v>449</v>
      </c>
      <c r="F26" s="8">
        <v>22115384</v>
      </c>
      <c r="G26" t="s">
        <v>3851</v>
      </c>
      <c r="H26" t="s">
        <v>3852</v>
      </c>
      <c r="I26" t="s">
        <v>1256</v>
      </c>
      <c r="J26" s="3">
        <v>45912</v>
      </c>
      <c r="L26" t="str">
        <f>+VLOOKUP(A26,'[1]ORIGINAL '!D:N,11,0)</f>
        <v>CASTIGO</v>
      </c>
    </row>
    <row r="27" spans="1:12">
      <c r="A27">
        <v>2790280</v>
      </c>
      <c r="B27" t="s">
        <v>3853</v>
      </c>
      <c r="C27" t="s">
        <v>3854</v>
      </c>
      <c r="D27" t="s">
        <v>3855</v>
      </c>
      <c r="E27" t="s">
        <v>3856</v>
      </c>
      <c r="F27" s="8">
        <v>7649079</v>
      </c>
      <c r="G27" t="s">
        <v>3857</v>
      </c>
      <c r="H27" t="s">
        <v>3858</v>
      </c>
      <c r="I27" t="s">
        <v>830</v>
      </c>
      <c r="J27" s="3">
        <v>45911</v>
      </c>
      <c r="L27" t="e">
        <f>+VLOOKUP(A27,'[1]ORIGINAL '!D:N,11,0)</f>
        <v>#N/A</v>
      </c>
    </row>
    <row r="28" spans="1:12">
      <c r="A28">
        <v>2959119</v>
      </c>
      <c r="B28" t="s">
        <v>3859</v>
      </c>
      <c r="C28" t="s">
        <v>3860</v>
      </c>
      <c r="D28" t="s">
        <v>1188</v>
      </c>
      <c r="E28" t="s">
        <v>3861</v>
      </c>
      <c r="F28" s="8">
        <v>5647062</v>
      </c>
      <c r="G28" t="s">
        <v>3862</v>
      </c>
      <c r="H28" t="s">
        <v>3863</v>
      </c>
      <c r="I28" t="s">
        <v>408</v>
      </c>
      <c r="J28" s="3">
        <v>45916</v>
      </c>
      <c r="L28" t="str">
        <f>+VLOOKUP(A28,'[1]ORIGINAL '!D:N,11,0)</f>
        <v>CASTIGO</v>
      </c>
    </row>
    <row r="29" spans="1:12">
      <c r="A29">
        <v>2307739</v>
      </c>
      <c r="B29" t="s">
        <v>3864</v>
      </c>
      <c r="C29" t="s">
        <v>3865</v>
      </c>
      <c r="D29" t="s">
        <v>2245</v>
      </c>
      <c r="E29" t="s">
        <v>455</v>
      </c>
      <c r="F29" s="8">
        <v>4035116</v>
      </c>
      <c r="G29" t="s">
        <v>3866</v>
      </c>
      <c r="H29" t="s">
        <v>3867</v>
      </c>
      <c r="I29" t="s">
        <v>3868</v>
      </c>
      <c r="L29" t="str">
        <f>+VLOOKUP(A29,'[1]ORIGINAL '!D:N,11,0)</f>
        <v>VIGENTE</v>
      </c>
    </row>
    <row r="30" spans="1:12">
      <c r="A30">
        <v>2645056</v>
      </c>
      <c r="B30" t="s">
        <v>3869</v>
      </c>
      <c r="C30" t="s">
        <v>3870</v>
      </c>
      <c r="D30" t="s">
        <v>995</v>
      </c>
      <c r="E30" t="s">
        <v>300</v>
      </c>
      <c r="F30" s="8">
        <v>13761870</v>
      </c>
      <c r="G30" t="s">
        <v>3871</v>
      </c>
      <c r="H30" t="s">
        <v>3872</v>
      </c>
      <c r="I30" t="s">
        <v>735</v>
      </c>
      <c r="J30" s="3">
        <v>45925</v>
      </c>
      <c r="L30" t="str">
        <f>+VLOOKUP(A30,'[1]ORIGINAL '!D:N,11,0)</f>
        <v>CASTIGO</v>
      </c>
    </row>
    <row r="31" spans="1:12">
      <c r="A31">
        <v>1782538</v>
      </c>
      <c r="B31" t="s">
        <v>3873</v>
      </c>
      <c r="C31" t="s">
        <v>3874</v>
      </c>
      <c r="D31" t="s">
        <v>395</v>
      </c>
      <c r="E31" t="s">
        <v>396</v>
      </c>
      <c r="F31" s="8">
        <v>4225977</v>
      </c>
      <c r="G31" t="s">
        <v>3875</v>
      </c>
      <c r="H31" t="s">
        <v>3876</v>
      </c>
      <c r="I31" t="s">
        <v>138</v>
      </c>
      <c r="J31" s="3">
        <v>45931</v>
      </c>
      <c r="L31" t="str">
        <f>+VLOOKUP(A31,'[1]ORIGINAL '!D:N,11,0)</f>
        <v>CASTIGO</v>
      </c>
    </row>
    <row r="32" spans="1:12">
      <c r="A32">
        <v>2678909</v>
      </c>
      <c r="B32" t="s">
        <v>3877</v>
      </c>
      <c r="C32" t="s">
        <v>1030</v>
      </c>
      <c r="D32" t="s">
        <v>621</v>
      </c>
      <c r="E32" t="s">
        <v>243</v>
      </c>
      <c r="F32" s="8">
        <v>3998986</v>
      </c>
      <c r="G32" t="s">
        <v>3878</v>
      </c>
      <c r="H32" t="s">
        <v>3879</v>
      </c>
      <c r="I32" t="s">
        <v>2847</v>
      </c>
      <c r="J32" s="3">
        <v>45953</v>
      </c>
      <c r="K32" t="s">
        <v>503</v>
      </c>
      <c r="L32" t="str">
        <f>+VLOOKUP(A32,'[1]ORIGINAL '!D:N,11,0)</f>
        <v>CASTIGO</v>
      </c>
    </row>
    <row r="33" spans="1:12">
      <c r="A33">
        <v>2768727</v>
      </c>
      <c r="B33" t="s">
        <v>3880</v>
      </c>
      <c r="C33" t="s">
        <v>3881</v>
      </c>
      <c r="D33" t="s">
        <v>1095</v>
      </c>
      <c r="E33" t="s">
        <v>560</v>
      </c>
      <c r="F33" s="8">
        <v>7167235</v>
      </c>
      <c r="G33" t="s">
        <v>3882</v>
      </c>
      <c r="H33" t="s">
        <v>3883</v>
      </c>
      <c r="I33" t="s">
        <v>91</v>
      </c>
      <c r="J33" s="3">
        <v>45957</v>
      </c>
      <c r="K33" t="s">
        <v>503</v>
      </c>
      <c r="L33" t="str">
        <f>+VLOOKUP(A33,'[1]ORIGINAL '!D:N,11,0)</f>
        <v>CASTIGO</v>
      </c>
    </row>
    <row r="34" spans="1:12">
      <c r="A34">
        <v>2206128</v>
      </c>
      <c r="B34" t="s">
        <v>3884</v>
      </c>
      <c r="C34" t="s">
        <v>692</v>
      </c>
      <c r="D34" t="s">
        <v>695</v>
      </c>
      <c r="E34" t="s">
        <v>339</v>
      </c>
      <c r="F34" s="8">
        <v>7563478</v>
      </c>
      <c r="G34" t="s">
        <v>3885</v>
      </c>
      <c r="H34" t="s">
        <v>3886</v>
      </c>
      <c r="I34" t="s">
        <v>3887</v>
      </c>
      <c r="J34" s="3">
        <v>45595</v>
      </c>
      <c r="L34" t="str">
        <f>+VLOOKUP(A34,'[1]ORIGINAL '!D:N,11,0)</f>
        <v>CASTIGO</v>
      </c>
    </row>
    <row r="35" spans="1:12">
      <c r="A35">
        <v>3279513</v>
      </c>
      <c r="B35" t="s">
        <v>3888</v>
      </c>
      <c r="C35" t="s">
        <v>1374</v>
      </c>
      <c r="D35" t="s">
        <v>1130</v>
      </c>
      <c r="E35" t="s">
        <v>162</v>
      </c>
      <c r="F35" s="8">
        <v>17328930</v>
      </c>
      <c r="G35" t="s">
        <v>3889</v>
      </c>
      <c r="H35" t="s">
        <v>3890</v>
      </c>
      <c r="I35" t="s">
        <v>902</v>
      </c>
      <c r="J35" s="3">
        <v>45993</v>
      </c>
      <c r="L35" t="str">
        <f>+VLOOKUP(A35,'[1]ORIGINAL '!D:N,11,0)</f>
        <v>CASTIGO</v>
      </c>
    </row>
    <row r="36" spans="1:12">
      <c r="A36">
        <v>2943458</v>
      </c>
      <c r="B36" t="s">
        <v>3891</v>
      </c>
      <c r="C36" t="s">
        <v>3892</v>
      </c>
      <c r="D36" t="s">
        <v>526</v>
      </c>
      <c r="E36" t="s">
        <v>162</v>
      </c>
      <c r="F36" s="8">
        <v>2668370</v>
      </c>
      <c r="G36" t="s">
        <v>3893</v>
      </c>
      <c r="H36" t="s">
        <v>3894</v>
      </c>
      <c r="I36" t="s">
        <v>226</v>
      </c>
      <c r="J36" s="3">
        <v>45995</v>
      </c>
      <c r="L36" t="e">
        <f>+VLOOKUP(A36,'[1]ORIGINAL '!D:N,11,0)</f>
        <v>#N/A</v>
      </c>
    </row>
    <row r="37" spans="1:12">
      <c r="A37">
        <v>2974045</v>
      </c>
      <c r="B37" t="s">
        <v>3895</v>
      </c>
      <c r="C37" t="s">
        <v>3896</v>
      </c>
      <c r="D37" t="s">
        <v>3897</v>
      </c>
      <c r="E37" t="s">
        <v>3898</v>
      </c>
      <c r="F37" s="8">
        <v>10887731</v>
      </c>
      <c r="G37" t="s">
        <v>3899</v>
      </c>
      <c r="H37" t="s">
        <v>3900</v>
      </c>
      <c r="I37" t="s">
        <v>3901</v>
      </c>
      <c r="J37" s="3">
        <v>46000</v>
      </c>
      <c r="L37" t="str">
        <f>+VLOOKUP(A37,'[1]ORIGINAL '!D:N,11,0)</f>
        <v>CASTIGO</v>
      </c>
    </row>
    <row r="38" spans="1:12">
      <c r="A38">
        <v>3191186</v>
      </c>
      <c r="B38" t="s">
        <v>3902</v>
      </c>
      <c r="C38" t="s">
        <v>3903</v>
      </c>
      <c r="D38" t="s">
        <v>1635</v>
      </c>
      <c r="E38" t="s">
        <v>346</v>
      </c>
      <c r="F38" s="8">
        <v>3362898</v>
      </c>
      <c r="G38" t="s">
        <v>3904</v>
      </c>
      <c r="H38" t="s">
        <v>3905</v>
      </c>
      <c r="I38" t="s">
        <v>330</v>
      </c>
      <c r="J38" s="3">
        <v>46000</v>
      </c>
      <c r="K38" t="s">
        <v>503</v>
      </c>
      <c r="L38" t="e">
        <f>+VLOOKUP(A38,'[1]ORIGINAL '!D:N,11,0)</f>
        <v>#N/A</v>
      </c>
    </row>
    <row r="39" spans="1:12">
      <c r="A39">
        <v>3170179</v>
      </c>
      <c r="B39" t="s">
        <v>3906</v>
      </c>
      <c r="C39" t="s">
        <v>1326</v>
      </c>
      <c r="D39" t="s">
        <v>1329</v>
      </c>
      <c r="E39" t="s">
        <v>752</v>
      </c>
      <c r="F39" s="8">
        <v>16568260</v>
      </c>
      <c r="G39" t="s">
        <v>3907</v>
      </c>
      <c r="H39" t="s">
        <v>3908</v>
      </c>
      <c r="I39" t="s">
        <v>566</v>
      </c>
      <c r="J39" s="3">
        <v>46014</v>
      </c>
      <c r="L39" t="str">
        <f>+VLOOKUP(A39,'[1]ORIGINAL '!D:N,11,0)</f>
        <v>CASTIGO</v>
      </c>
    </row>
    <row r="40" spans="1:12">
      <c r="A40">
        <v>3159188</v>
      </c>
      <c r="B40" t="s">
        <v>3909</v>
      </c>
      <c r="C40" t="s">
        <v>1321</v>
      </c>
      <c r="D40" t="s">
        <v>1188</v>
      </c>
      <c r="E40" t="s">
        <v>418</v>
      </c>
      <c r="F40" s="8">
        <v>8655007</v>
      </c>
      <c r="G40" t="s">
        <v>3910</v>
      </c>
      <c r="H40" t="s">
        <v>3911</v>
      </c>
      <c r="I40" t="s">
        <v>902</v>
      </c>
      <c r="J40" s="3">
        <v>46015</v>
      </c>
      <c r="L40" t="str">
        <f>+VLOOKUP(A40,'[1]ORIGINAL '!D:N,11,0)</f>
        <v>CASTIGO</v>
      </c>
    </row>
    <row r="41" spans="1:12">
      <c r="A41">
        <v>2749966</v>
      </c>
      <c r="B41" t="s">
        <v>3912</v>
      </c>
      <c r="C41" t="s">
        <v>1052</v>
      </c>
      <c r="D41" t="s">
        <v>1055</v>
      </c>
      <c r="E41" t="s">
        <v>418</v>
      </c>
      <c r="F41" s="8">
        <v>8838078</v>
      </c>
      <c r="G41" t="s">
        <v>3913</v>
      </c>
      <c r="H41" t="s">
        <v>3914</v>
      </c>
      <c r="I41" t="s">
        <v>902</v>
      </c>
      <c r="J41" s="3">
        <v>46017</v>
      </c>
      <c r="K41" t="s">
        <v>503</v>
      </c>
      <c r="L41" t="str">
        <f>+VLOOKUP(A41,'[1]ORIGINAL '!D:N,11,0)</f>
        <v>CASTIGO</v>
      </c>
    </row>
    <row r="42" spans="1:12">
      <c r="A42">
        <v>2764515</v>
      </c>
      <c r="B42" t="s">
        <v>3915</v>
      </c>
      <c r="C42" t="s">
        <v>3916</v>
      </c>
      <c r="D42" t="s">
        <v>3917</v>
      </c>
      <c r="E42" t="s">
        <v>3918</v>
      </c>
      <c r="F42" s="8">
        <v>5442040</v>
      </c>
      <c r="G42" t="s">
        <v>3919</v>
      </c>
      <c r="H42" t="s">
        <v>3920</v>
      </c>
      <c r="I42" t="s">
        <v>330</v>
      </c>
      <c r="J42" s="3">
        <v>46384</v>
      </c>
      <c r="L42" t="str">
        <f>+VLOOKUP(A42,'[1]ORIGINAL '!D:N,11,0)</f>
        <v>CASTIGO</v>
      </c>
    </row>
    <row r="43" spans="1:12">
      <c r="A43">
        <v>1603752</v>
      </c>
      <c r="B43" t="s">
        <v>3921</v>
      </c>
      <c r="C43" t="s">
        <v>3922</v>
      </c>
      <c r="D43" t="s">
        <v>3923</v>
      </c>
      <c r="E43" t="s">
        <v>3924</v>
      </c>
      <c r="F43" s="8">
        <v>3882712</v>
      </c>
      <c r="G43" t="s">
        <v>3925</v>
      </c>
      <c r="H43" t="s">
        <v>3926</v>
      </c>
      <c r="I43" t="s">
        <v>1306</v>
      </c>
      <c r="J43" s="3">
        <v>46049</v>
      </c>
      <c r="L43" t="str">
        <f>+VLOOKUP(A43,'[1]ORIGINAL '!D:N,11,0)</f>
        <v>CASTIGO</v>
      </c>
    </row>
    <row r="44" spans="1:12">
      <c r="A44">
        <v>1335938</v>
      </c>
      <c r="B44" t="s">
        <v>3927</v>
      </c>
      <c r="C44" t="s">
        <v>3928</v>
      </c>
      <c r="D44" t="s">
        <v>601</v>
      </c>
      <c r="E44" t="s">
        <v>418</v>
      </c>
      <c r="F44" s="8">
        <v>3344828</v>
      </c>
      <c r="G44" t="s">
        <v>3929</v>
      </c>
      <c r="H44" t="s">
        <v>3930</v>
      </c>
      <c r="I44" t="s">
        <v>330</v>
      </c>
      <c r="J44" s="3">
        <v>46042</v>
      </c>
      <c r="K44" t="s">
        <v>3931</v>
      </c>
      <c r="L44" t="e">
        <f>+VLOOKUP(A44,'[1]ORIGINAL '!D:N,11,0)</f>
        <v>#N/A</v>
      </c>
    </row>
    <row r="45" spans="1:12">
      <c r="A45">
        <v>2392109</v>
      </c>
      <c r="B45" t="s">
        <v>3932</v>
      </c>
      <c r="C45" t="s">
        <v>3933</v>
      </c>
      <c r="D45" t="s">
        <v>3934</v>
      </c>
      <c r="E45" t="s">
        <v>1008</v>
      </c>
      <c r="F45" s="8">
        <v>4524773</v>
      </c>
      <c r="G45" t="s">
        <v>3935</v>
      </c>
      <c r="H45" t="s">
        <v>3936</v>
      </c>
      <c r="I45" t="s">
        <v>353</v>
      </c>
      <c r="J45" s="3">
        <v>46041</v>
      </c>
      <c r="L45" t="e">
        <f>+VLOOKUP(A45,'[1]ORIGINAL '!D:N,11,0)</f>
        <v>#N/A</v>
      </c>
    </row>
    <row r="46" spans="1:12">
      <c r="A46">
        <v>1871157</v>
      </c>
      <c r="B46" t="s">
        <v>3937</v>
      </c>
      <c r="C46" t="s">
        <v>3938</v>
      </c>
      <c r="D46" t="s">
        <v>3939</v>
      </c>
      <c r="E46" t="s">
        <v>271</v>
      </c>
      <c r="F46" s="8">
        <v>4750290</v>
      </c>
      <c r="G46" t="s">
        <v>3940</v>
      </c>
      <c r="H46" t="s">
        <v>3941</v>
      </c>
      <c r="I46" t="s">
        <v>3942</v>
      </c>
      <c r="J46" s="3">
        <v>46041</v>
      </c>
      <c r="L46" t="e">
        <f>+VLOOKUP(A46,'[1]ORIGINAL '!D:N,11,0)</f>
        <v>#N/A</v>
      </c>
    </row>
    <row r="47" spans="1:12">
      <c r="A47">
        <v>2764515</v>
      </c>
      <c r="B47" t="s">
        <v>3915</v>
      </c>
      <c r="C47" t="s">
        <v>3916</v>
      </c>
      <c r="D47" t="s">
        <v>3917</v>
      </c>
      <c r="E47" t="s">
        <v>3918</v>
      </c>
      <c r="F47" s="8">
        <v>5442040</v>
      </c>
      <c r="G47" t="s">
        <v>3919</v>
      </c>
      <c r="H47" t="s">
        <v>3920</v>
      </c>
      <c r="I47" t="s">
        <v>330</v>
      </c>
      <c r="J47" s="3">
        <v>46054</v>
      </c>
      <c r="L47" t="str">
        <f>+VLOOKUP(A47,'[1]ORIGINAL '!D:N,11,0)</f>
        <v>CASTIGO</v>
      </c>
    </row>
    <row r="48" spans="1:12">
      <c r="A48">
        <v>2514373</v>
      </c>
      <c r="B48" t="s">
        <v>3943</v>
      </c>
      <c r="C48" t="s">
        <v>929</v>
      </c>
      <c r="D48" t="s">
        <v>580</v>
      </c>
      <c r="E48" t="s">
        <v>121</v>
      </c>
      <c r="F48" s="8">
        <v>16355846</v>
      </c>
      <c r="G48" t="s">
        <v>3944</v>
      </c>
      <c r="H48" t="s">
        <v>3945</v>
      </c>
      <c r="I48" t="s">
        <v>3771</v>
      </c>
      <c r="J48" s="3">
        <v>46054</v>
      </c>
      <c r="L48" t="str">
        <f>+VLOOKUP(A48,'[1]ORIGINAL '!D:N,11,0)</f>
        <v>CASTIGO</v>
      </c>
    </row>
    <row r="49" spans="1:12">
      <c r="A49">
        <v>1846277</v>
      </c>
      <c r="B49" t="s">
        <v>3946</v>
      </c>
      <c r="C49" t="s">
        <v>3947</v>
      </c>
      <c r="D49" t="s">
        <v>781</v>
      </c>
      <c r="E49" t="s">
        <v>300</v>
      </c>
      <c r="F49" s="8">
        <v>1171902</v>
      </c>
      <c r="G49" t="s">
        <v>3948</v>
      </c>
      <c r="H49" t="s">
        <v>3949</v>
      </c>
      <c r="I49" t="s">
        <v>408</v>
      </c>
      <c r="J49" s="3">
        <v>46054</v>
      </c>
      <c r="L49" t="str">
        <f>+VLOOKUP(A49,'[1]ORIGINAL '!D:N,11,0)</f>
        <v>VIGENTE</v>
      </c>
    </row>
    <row r="50" spans="1:12">
      <c r="A50">
        <v>3365202</v>
      </c>
      <c r="B50" t="s">
        <v>3950</v>
      </c>
      <c r="C50" t="s">
        <v>1413</v>
      </c>
      <c r="D50" t="s">
        <v>1416</v>
      </c>
      <c r="E50" t="s">
        <v>2341</v>
      </c>
      <c r="F50" s="8">
        <v>8073242</v>
      </c>
      <c r="G50" t="s">
        <v>3951</v>
      </c>
      <c r="H50" t="s">
        <v>3952</v>
      </c>
      <c r="I50" t="s">
        <v>119</v>
      </c>
      <c r="J50" s="3">
        <v>46054</v>
      </c>
      <c r="L50" t="str">
        <f>+VLOOKUP(A50,'[1]ORIGINAL '!D:N,11,0)</f>
        <v>VIGENTE</v>
      </c>
    </row>
    <row r="51" spans="1:12">
      <c r="A51">
        <v>2678831</v>
      </c>
      <c r="B51" t="s">
        <v>3953</v>
      </c>
      <c r="C51" t="s">
        <v>3954</v>
      </c>
      <c r="D51" t="s">
        <v>2120</v>
      </c>
      <c r="E51" t="s">
        <v>208</v>
      </c>
      <c r="F51" s="8">
        <v>3565223</v>
      </c>
      <c r="G51" t="s">
        <v>3955</v>
      </c>
      <c r="H51" t="s">
        <v>3956</v>
      </c>
      <c r="I51" t="s">
        <v>107</v>
      </c>
      <c r="J51" s="3">
        <v>46054</v>
      </c>
      <c r="L51" t="str">
        <f>+VLOOKUP(A51,'[1]ORIGINAL '!D:N,11,0)</f>
        <v>VIGENTE</v>
      </c>
    </row>
    <row r="52" spans="1:12">
      <c r="A52">
        <v>3300923</v>
      </c>
      <c r="B52" t="s">
        <v>3957</v>
      </c>
      <c r="C52" t="s">
        <v>1390</v>
      </c>
      <c r="D52" t="s">
        <v>1394</v>
      </c>
      <c r="E52" t="s">
        <v>271</v>
      </c>
      <c r="F52" s="8">
        <v>4442016</v>
      </c>
      <c r="G52" t="s">
        <v>3958</v>
      </c>
      <c r="H52" t="s">
        <v>3959</v>
      </c>
      <c r="I52" t="s">
        <v>902</v>
      </c>
      <c r="J52" s="3">
        <v>46054</v>
      </c>
      <c r="L52" t="str">
        <f>+VLOOKUP(A52,'[1]ORIGINAL '!D:N,11,0)</f>
        <v>VIGENTE</v>
      </c>
    </row>
    <row r="53" spans="1:12">
      <c r="A53">
        <v>1670767</v>
      </c>
      <c r="B53" t="s">
        <v>3960</v>
      </c>
      <c r="C53" t="s">
        <v>3961</v>
      </c>
      <c r="D53" t="s">
        <v>315</v>
      </c>
      <c r="E53" t="s">
        <v>131</v>
      </c>
      <c r="F53" s="8">
        <v>6262558</v>
      </c>
      <c r="G53" t="s">
        <v>3962</v>
      </c>
      <c r="H53" t="s">
        <v>3963</v>
      </c>
      <c r="I53" t="s">
        <v>314</v>
      </c>
      <c r="J53" s="3">
        <v>46054</v>
      </c>
      <c r="K53" t="s">
        <v>503</v>
      </c>
      <c r="L53" t="str">
        <f>+VLOOKUP(A53,'[1]ORIGINAL '!D:N,11,0)</f>
        <v>CASTIGO</v>
      </c>
    </row>
    <row r="54" spans="1:12">
      <c r="A54">
        <v>2663330</v>
      </c>
      <c r="B54" t="s">
        <v>3964</v>
      </c>
      <c r="C54" t="s">
        <v>1005</v>
      </c>
      <c r="D54" t="s">
        <v>1009</v>
      </c>
      <c r="E54" t="s">
        <v>1008</v>
      </c>
      <c r="F54" s="8">
        <v>10787481</v>
      </c>
      <c r="G54" t="s">
        <v>3965</v>
      </c>
      <c r="H54" t="s">
        <v>3966</v>
      </c>
      <c r="I54" t="s">
        <v>107</v>
      </c>
      <c r="J54" s="3">
        <v>46054</v>
      </c>
      <c r="L54" t="str">
        <f>+VLOOKUP(A54,'[1]ORIGINAL '!D:N,11,0)</f>
        <v>CASTIGO</v>
      </c>
    </row>
    <row r="55" spans="1:12">
      <c r="A55">
        <v>2550653</v>
      </c>
      <c r="B55" t="s">
        <v>3967</v>
      </c>
      <c r="C55" t="s">
        <v>949</v>
      </c>
      <c r="D55" t="s">
        <v>631</v>
      </c>
      <c r="E55" t="s">
        <v>3968</v>
      </c>
      <c r="F55" s="8">
        <v>5286982</v>
      </c>
      <c r="G55" t="s">
        <v>3969</v>
      </c>
      <c r="H55" t="s">
        <v>3970</v>
      </c>
      <c r="I55" t="s">
        <v>952</v>
      </c>
      <c r="J55" s="3">
        <v>46054</v>
      </c>
      <c r="L55" t="str">
        <f>+VLOOKUP(A55,'[1]ORIGINAL '!D:N,11,0)</f>
        <v>VIGENTE</v>
      </c>
    </row>
    <row r="56" spans="1:12">
      <c r="A56">
        <v>2869439</v>
      </c>
      <c r="B56" t="s">
        <v>3971</v>
      </c>
      <c r="C56" t="s">
        <v>3972</v>
      </c>
      <c r="D56" t="s">
        <v>816</v>
      </c>
      <c r="E56" t="s">
        <v>300</v>
      </c>
      <c r="F56" s="8">
        <v>11436130</v>
      </c>
      <c r="G56" t="s">
        <v>3973</v>
      </c>
      <c r="H56" t="s">
        <v>3974</v>
      </c>
      <c r="I56" t="s">
        <v>107</v>
      </c>
      <c r="J56" s="3">
        <v>46079</v>
      </c>
      <c r="K56" t="s">
        <v>503</v>
      </c>
      <c r="L56" t="str">
        <f>+VLOOKUP(A56,'[1]ORIGINAL '!D:N,11,0)</f>
        <v>VIGENTE</v>
      </c>
    </row>
    <row r="57" spans="1:12">
      <c r="A57">
        <v>3253290</v>
      </c>
      <c r="B57" t="s">
        <v>3975</v>
      </c>
      <c r="C57" t="s">
        <v>1368</v>
      </c>
      <c r="D57" t="s">
        <v>1371</v>
      </c>
      <c r="E57" t="s">
        <v>455</v>
      </c>
      <c r="F57" s="8">
        <v>8932012</v>
      </c>
      <c r="G57" t="s">
        <v>3976</v>
      </c>
      <c r="H57" t="s">
        <v>3977</v>
      </c>
      <c r="I57" t="s">
        <v>330</v>
      </c>
      <c r="J57" s="3">
        <v>45978</v>
      </c>
      <c r="L57" t="str">
        <f>+VLOOKUP(A57,'[1]ORIGINAL '!D:N,11,0)</f>
        <v>CASTIGO</v>
      </c>
    </row>
    <row r="58" spans="1:12">
      <c r="A58">
        <v>2794654</v>
      </c>
      <c r="B58" t="s">
        <v>3978</v>
      </c>
      <c r="C58" t="s">
        <v>2239</v>
      </c>
      <c r="D58" t="s">
        <v>3979</v>
      </c>
      <c r="E58" t="s">
        <v>3980</v>
      </c>
      <c r="F58" s="8">
        <v>3203244</v>
      </c>
      <c r="G58" t="s">
        <v>3981</v>
      </c>
      <c r="H58" t="s">
        <v>3982</v>
      </c>
      <c r="I58" t="s">
        <v>2244</v>
      </c>
      <c r="J58" s="3">
        <v>46086</v>
      </c>
      <c r="L58" t="str">
        <f>+VLOOKUP(A58,'[1]ORIGINAL '!D:N,11,0)</f>
        <v>VIGENTE</v>
      </c>
    </row>
    <row r="59" spans="1:12">
      <c r="A59">
        <v>3246183</v>
      </c>
      <c r="B59" t="s">
        <v>3983</v>
      </c>
      <c r="C59" t="s">
        <v>1363</v>
      </c>
      <c r="D59" t="s">
        <v>3984</v>
      </c>
      <c r="E59" t="s">
        <v>3985</v>
      </c>
      <c r="F59" s="8">
        <v>7526544</v>
      </c>
      <c r="G59" t="s">
        <v>3986</v>
      </c>
      <c r="H59" t="s">
        <v>3987</v>
      </c>
      <c r="I59" t="s">
        <v>922</v>
      </c>
      <c r="J59" s="3">
        <v>46087</v>
      </c>
      <c r="L59" t="str">
        <f>+VLOOKUP(A59,'[1]ORIGINAL '!D:N,11,0)</f>
        <v>CASTIGO</v>
      </c>
    </row>
    <row r="60" spans="1:12">
      <c r="A60">
        <v>2206586</v>
      </c>
      <c r="B60" t="s">
        <v>3988</v>
      </c>
      <c r="C60" t="s">
        <v>697</v>
      </c>
      <c r="D60" t="s">
        <v>3989</v>
      </c>
      <c r="E60" t="s">
        <v>3990</v>
      </c>
      <c r="F60" s="8">
        <v>5914449</v>
      </c>
      <c r="G60" t="s">
        <v>3991</v>
      </c>
      <c r="H60" t="s">
        <v>3992</v>
      </c>
      <c r="I60" t="s">
        <v>3993</v>
      </c>
      <c r="J60" s="3">
        <v>46087</v>
      </c>
      <c r="L60" t="str">
        <f>+VLOOKUP(A60,'[1]ORIGINAL '!D:N,11,0)</f>
        <v>VIGENTE</v>
      </c>
    </row>
    <row r="61" spans="1:12">
      <c r="A61">
        <v>3052978</v>
      </c>
      <c r="B61" t="s">
        <v>3994</v>
      </c>
      <c r="C61" t="s">
        <v>1260</v>
      </c>
      <c r="D61" t="s">
        <v>3995</v>
      </c>
      <c r="E61" t="s">
        <v>3996</v>
      </c>
      <c r="F61" s="8">
        <v>11339711</v>
      </c>
      <c r="G61" s="9" t="s">
        <v>3997</v>
      </c>
      <c r="H61" t="s">
        <v>3998</v>
      </c>
      <c r="I61" t="s">
        <v>3999</v>
      </c>
      <c r="J61" s="3">
        <v>45904</v>
      </c>
      <c r="L61" t="str">
        <f>+VLOOKUP(A61,'[1]ORIGINAL '!D:N,11,0)</f>
        <v>CASTIGO</v>
      </c>
    </row>
    <row r="62" spans="1:12">
      <c r="A62">
        <v>2984397</v>
      </c>
      <c r="B62" t="s">
        <v>4000</v>
      </c>
      <c r="C62" t="s">
        <v>4001</v>
      </c>
      <c r="D62" t="s">
        <v>427</v>
      </c>
      <c r="E62" t="s">
        <v>300</v>
      </c>
      <c r="F62" s="8">
        <v>6261294</v>
      </c>
      <c r="G62" t="s">
        <v>4002</v>
      </c>
      <c r="H62" t="s">
        <v>4003</v>
      </c>
      <c r="I62" t="s">
        <v>107</v>
      </c>
      <c r="J62" s="3">
        <v>45728</v>
      </c>
      <c r="L62" t="str">
        <f>+VLOOKUP(A62,'[1]ORIGINAL '!D:N,11,0)</f>
        <v>CASTIGO</v>
      </c>
    </row>
    <row r="63" spans="1:12">
      <c r="A63">
        <v>3127421</v>
      </c>
      <c r="B63" t="s">
        <v>4004</v>
      </c>
      <c r="C63" t="s">
        <v>4005</v>
      </c>
      <c r="D63" t="s">
        <v>4006</v>
      </c>
      <c r="E63" t="s">
        <v>198</v>
      </c>
      <c r="F63" s="8">
        <v>4547513</v>
      </c>
      <c r="G63" s="8" t="s">
        <v>4007</v>
      </c>
      <c r="H63" t="s">
        <v>4008</v>
      </c>
      <c r="I63" t="s">
        <v>3563</v>
      </c>
      <c r="J63" s="3">
        <v>46094</v>
      </c>
      <c r="K63" t="s">
        <v>503</v>
      </c>
      <c r="L63" t="e">
        <f>+VLOOKUP(A63,'[1]ORIGINAL '!D:N,11,0)</f>
        <v>#N/A</v>
      </c>
    </row>
    <row r="64" spans="1:12">
      <c r="A64">
        <v>2893403</v>
      </c>
      <c r="B64" t="s">
        <v>4009</v>
      </c>
      <c r="C64" t="s">
        <v>2337</v>
      </c>
      <c r="D64" t="s">
        <v>4010</v>
      </c>
      <c r="E64" t="s">
        <v>4011</v>
      </c>
      <c r="F64" s="8">
        <v>6408585</v>
      </c>
      <c r="G64" t="s">
        <v>4012</v>
      </c>
      <c r="H64" t="s">
        <v>4013</v>
      </c>
      <c r="I64" t="s">
        <v>1991</v>
      </c>
      <c r="J64" s="3">
        <v>46055</v>
      </c>
      <c r="L64" t="str">
        <f>+VLOOKUP(A64,'[1]ORIGINAL '!D:N,11,0)</f>
        <v>VIGENTE</v>
      </c>
    </row>
    <row r="65" spans="1:14">
      <c r="A65">
        <v>2470930</v>
      </c>
      <c r="B65" t="s">
        <v>4014</v>
      </c>
      <c r="C65" t="s">
        <v>1879</v>
      </c>
      <c r="D65" t="s">
        <v>4015</v>
      </c>
      <c r="E65" t="s">
        <v>3996</v>
      </c>
      <c r="F65" s="8">
        <v>3948079</v>
      </c>
      <c r="G65" t="s">
        <v>4016</v>
      </c>
      <c r="H65" t="s">
        <v>4017</v>
      </c>
      <c r="I65" t="s">
        <v>3999</v>
      </c>
      <c r="J65" s="3">
        <v>46048</v>
      </c>
      <c r="L65" t="str">
        <f>+VLOOKUP(A65,'[1]ORIGINAL '!D:N,11,0)</f>
        <v>VIGENTE</v>
      </c>
    </row>
    <row r="66" spans="1:14">
      <c r="A66">
        <v>2134165</v>
      </c>
      <c r="B66" t="s">
        <v>4018</v>
      </c>
      <c r="C66" t="s">
        <v>634</v>
      </c>
      <c r="D66" t="s">
        <v>638</v>
      </c>
      <c r="E66" t="s">
        <v>180</v>
      </c>
      <c r="F66" s="8">
        <v>3005804</v>
      </c>
      <c r="G66" t="s">
        <v>4019</v>
      </c>
      <c r="H66" t="s">
        <v>4020</v>
      </c>
      <c r="I66" t="s">
        <v>742</v>
      </c>
      <c r="J66" s="3">
        <v>46091</v>
      </c>
      <c r="L66" t="str">
        <f>+VLOOKUP(A66,'[1]ORIGINAL '!D:N,11,0)</f>
        <v>CASTIGO</v>
      </c>
    </row>
    <row r="67" spans="1:14">
      <c r="A67">
        <v>2740588</v>
      </c>
      <c r="B67" t="s">
        <v>4021</v>
      </c>
      <c r="C67" t="s">
        <v>1047</v>
      </c>
      <c r="D67" t="s">
        <v>1050</v>
      </c>
      <c r="E67" t="s">
        <v>455</v>
      </c>
      <c r="F67" s="8">
        <v>7970131</v>
      </c>
      <c r="G67" t="s">
        <v>4022</v>
      </c>
      <c r="H67" t="s">
        <v>4023</v>
      </c>
      <c r="I67" t="s">
        <v>408</v>
      </c>
      <c r="J67" s="3">
        <v>46097</v>
      </c>
      <c r="L67" t="str">
        <f>+VLOOKUP(A67,'[1]ORIGINAL '!D:N,11,0)</f>
        <v>CASTIGO</v>
      </c>
    </row>
    <row r="68" spans="1:14">
      <c r="A68">
        <v>2751867</v>
      </c>
      <c r="B68" t="s">
        <v>4024</v>
      </c>
      <c r="C68" t="s">
        <v>1059</v>
      </c>
      <c r="D68" t="s">
        <v>1062</v>
      </c>
      <c r="E68" t="s">
        <v>1008</v>
      </c>
      <c r="F68" s="8">
        <v>4996835</v>
      </c>
      <c r="G68" t="s">
        <v>4025</v>
      </c>
      <c r="H68" t="s">
        <v>4026</v>
      </c>
      <c r="I68" t="s">
        <v>129</v>
      </c>
      <c r="J68" s="3">
        <v>46105</v>
      </c>
      <c r="L68" t="str">
        <f>+VLOOKUP(A68,'[1]ORIGINAL '!D:N,11,0)</f>
        <v>CASTIGO</v>
      </c>
      <c r="M68" t="s">
        <v>4027</v>
      </c>
      <c r="N68" t="s">
        <v>4028</v>
      </c>
    </row>
    <row r="69" spans="1:14">
      <c r="A69">
        <v>2942651</v>
      </c>
      <c r="B69" t="s">
        <v>4029</v>
      </c>
      <c r="C69" t="s">
        <v>4030</v>
      </c>
      <c r="D69" t="s">
        <v>4031</v>
      </c>
      <c r="E69" t="s">
        <v>2341</v>
      </c>
      <c r="F69" s="8">
        <v>6851294</v>
      </c>
      <c r="G69" t="s">
        <v>4032</v>
      </c>
      <c r="H69" t="s">
        <v>4033</v>
      </c>
      <c r="I69" t="s">
        <v>4034</v>
      </c>
      <c r="J69" s="3">
        <v>46105</v>
      </c>
      <c r="K69" t="s">
        <v>503</v>
      </c>
      <c r="L69" t="e">
        <f>+VLOOKUP(A69,'[1]ORIGINAL '!D:N,11,0)</f>
        <v>#N/A</v>
      </c>
    </row>
    <row r="70" spans="1:14">
      <c r="A70">
        <v>1752476</v>
      </c>
      <c r="B70" t="s">
        <v>4035</v>
      </c>
      <c r="C70" t="s">
        <v>362</v>
      </c>
      <c r="D70" t="s">
        <v>4036</v>
      </c>
      <c r="E70" t="s">
        <v>4037</v>
      </c>
      <c r="F70" s="8">
        <v>4993261</v>
      </c>
      <c r="G70" t="s">
        <v>4038</v>
      </c>
      <c r="H70" t="s">
        <v>4039</v>
      </c>
      <c r="I70" s="9" t="s">
        <v>4040</v>
      </c>
      <c r="J70" s="3">
        <v>46100</v>
      </c>
      <c r="L70" t="str">
        <f>+VLOOKUP(A70,'[1]ORIGINAL '!D:N,11,0)</f>
        <v>CASTIGO</v>
      </c>
    </row>
    <row r="71" spans="1:14">
      <c r="A71">
        <v>3307443</v>
      </c>
      <c r="B71" t="s">
        <v>4041</v>
      </c>
      <c r="C71" t="s">
        <v>2857</v>
      </c>
      <c r="D71" t="s">
        <v>4042</v>
      </c>
      <c r="E71" t="s">
        <v>4043</v>
      </c>
      <c r="F71" s="8">
        <v>6585362</v>
      </c>
      <c r="G71" t="s">
        <v>4044</v>
      </c>
      <c r="H71" t="s">
        <v>4045</v>
      </c>
      <c r="I71" t="s">
        <v>764</v>
      </c>
      <c r="J71" s="3">
        <v>46106</v>
      </c>
      <c r="L71" t="str">
        <f>+VLOOKUP(A71,'[1]ORIGINAL '!D:N,11,0)</f>
        <v>VIGENTE</v>
      </c>
    </row>
    <row r="72" spans="1:14">
      <c r="A72">
        <v>2184893</v>
      </c>
      <c r="B72" t="s">
        <v>4046</v>
      </c>
      <c r="C72" t="s">
        <v>679</v>
      </c>
      <c r="D72" t="s">
        <v>4047</v>
      </c>
      <c r="E72" t="s">
        <v>4048</v>
      </c>
      <c r="F72" s="8">
        <v>7148399</v>
      </c>
      <c r="G72" t="s">
        <v>4049</v>
      </c>
      <c r="H72" t="s">
        <v>4050</v>
      </c>
      <c r="I72" t="s">
        <v>314</v>
      </c>
      <c r="J72" s="3">
        <v>46107</v>
      </c>
      <c r="L72" t="str">
        <f>+VLOOKUP(A72,'[1]ORIGINAL '!D:N,11,0)</f>
        <v>CASTIGO</v>
      </c>
    </row>
    <row r="73" spans="1:14">
      <c r="A73">
        <v>1854377</v>
      </c>
      <c r="B73" t="s">
        <v>4051</v>
      </c>
      <c r="C73" t="s">
        <v>1521</v>
      </c>
      <c r="D73" t="s">
        <v>4052</v>
      </c>
      <c r="E73" t="s">
        <v>4053</v>
      </c>
      <c r="F73" s="8">
        <v>3801438</v>
      </c>
      <c r="G73" t="s">
        <v>4054</v>
      </c>
      <c r="H73" t="s">
        <v>4055</v>
      </c>
      <c r="I73" s="9" t="s">
        <v>321</v>
      </c>
      <c r="J73" s="3">
        <v>46107</v>
      </c>
      <c r="L73" t="e">
        <f>+VLOOKUP(A73,'[1]ORIGINAL '!D:N,11,0)</f>
        <v>#N/A</v>
      </c>
    </row>
    <row r="74" spans="1:14">
      <c r="A74">
        <v>1865019</v>
      </c>
      <c r="B74" t="s">
        <v>4056</v>
      </c>
      <c r="C74" t="s">
        <v>470</v>
      </c>
      <c r="D74" t="s">
        <v>4057</v>
      </c>
      <c r="E74" t="s">
        <v>3996</v>
      </c>
      <c r="F74" s="8">
        <v>5619946</v>
      </c>
      <c r="G74" t="s">
        <v>4058</v>
      </c>
      <c r="H74" t="s">
        <v>4059</v>
      </c>
      <c r="I74" t="s">
        <v>3999</v>
      </c>
      <c r="J74" s="3">
        <v>45971</v>
      </c>
      <c r="L74" t="str">
        <f>+VLOOKUP(A74,'[1]ORIGINAL '!D:N,11,0)</f>
        <v>CASTIGO</v>
      </c>
    </row>
    <row r="75" spans="1:14">
      <c r="A75">
        <v>1493544</v>
      </c>
      <c r="B75" t="s">
        <v>4060</v>
      </c>
      <c r="C75" t="s">
        <v>4061</v>
      </c>
      <c r="D75" t="s">
        <v>4062</v>
      </c>
      <c r="E75" t="s">
        <v>3980</v>
      </c>
      <c r="F75" s="8">
        <v>8497163</v>
      </c>
      <c r="G75" t="s">
        <v>4063</v>
      </c>
      <c r="H75" t="s">
        <v>4064</v>
      </c>
      <c r="J75" s="3">
        <v>45960</v>
      </c>
      <c r="L75" t="str">
        <f>+VLOOKUP(A75,'[1]ORIGINAL '!D:N,11,0)</f>
        <v>CASTIGO</v>
      </c>
    </row>
    <row r="76" spans="1:14">
      <c r="A76">
        <v>2056023</v>
      </c>
      <c r="B76" t="s">
        <v>4065</v>
      </c>
      <c r="C76" t="s">
        <v>4066</v>
      </c>
      <c r="D76" t="s">
        <v>4067</v>
      </c>
      <c r="E76" t="s">
        <v>4068</v>
      </c>
      <c r="F76" s="8">
        <v>10686633</v>
      </c>
      <c r="G76" t="s">
        <v>4069</v>
      </c>
      <c r="H76" t="s">
        <v>4070</v>
      </c>
      <c r="I76" s="9" t="s">
        <v>688</v>
      </c>
      <c r="J76" s="3">
        <v>46052</v>
      </c>
      <c r="L76" t="str">
        <f>+VLOOKUP(A76,'[1]ORIGINAL '!D:N,11,0)</f>
        <v>VIGENTE</v>
      </c>
    </row>
    <row r="77" spans="1:14">
      <c r="A77">
        <v>3321265</v>
      </c>
      <c r="B77" t="s">
        <v>4071</v>
      </c>
      <c r="C77" t="s">
        <v>1396</v>
      </c>
      <c r="D77" t="s">
        <v>1399</v>
      </c>
      <c r="E77" t="s">
        <v>3968</v>
      </c>
      <c r="F77" s="8">
        <v>8424283</v>
      </c>
      <c r="G77" t="s">
        <v>4072</v>
      </c>
      <c r="H77" t="s">
        <v>4073</v>
      </c>
      <c r="I77" t="s">
        <v>608</v>
      </c>
      <c r="J77" s="3">
        <v>46125</v>
      </c>
      <c r="L77" t="str">
        <f>+VLOOKUP(A77,'[1]ORIGINAL '!D:N,11,0)</f>
        <v>VIGENTE</v>
      </c>
    </row>
  </sheetData>
  <conditionalFormatting sqref="A2:L74 A75:H75 J75:L75 A76:L385">
    <cfRule type="expression" dxfId="9" priority="1">
      <formula>$K2="INCAUTADO"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09345-FE26-4EED-8C37-2BD17A81A944}">
  <dimension ref="A1:T164"/>
  <sheetViews>
    <sheetView topLeftCell="A79" workbookViewId="0">
      <selection activeCell="A85" sqref="A85"/>
    </sheetView>
  </sheetViews>
  <sheetFormatPr defaultColWidth="11.42578125" defaultRowHeight="15"/>
  <cols>
    <col min="1" max="1" width="9.140625" customWidth="1"/>
    <col min="2" max="2" width="11.28515625" customWidth="1"/>
    <col min="3" max="3" width="44.28515625" customWidth="1"/>
    <col min="4" max="4" width="9.42578125" customWidth="1"/>
    <col min="5" max="5" width="12.42578125" customWidth="1"/>
    <col min="6" max="6" width="18.7109375" customWidth="1"/>
    <col min="7" max="7" width="14.28515625" customWidth="1"/>
    <col min="8" max="9" width="12.5703125" customWidth="1"/>
    <col min="10" max="10" width="15.28515625" customWidth="1"/>
    <col min="11" max="11" width="14" customWidth="1"/>
    <col min="12" max="12" width="17.28515625" customWidth="1"/>
    <col min="13" max="13" width="15.28515625" customWidth="1"/>
    <col min="16" max="16" width="15.42578125" customWidth="1"/>
    <col min="17" max="17" width="14.5703125" customWidth="1"/>
  </cols>
  <sheetData>
    <row r="1" spans="1:20" s="107" customFormat="1" ht="15.75">
      <c r="A1" s="108" t="s">
        <v>3598</v>
      </c>
      <c r="B1" s="109" t="s">
        <v>36</v>
      </c>
      <c r="C1" s="109" t="s">
        <v>3599</v>
      </c>
      <c r="D1" s="108" t="s">
        <v>3600</v>
      </c>
      <c r="E1" s="110" t="s">
        <v>3601</v>
      </c>
      <c r="F1" s="111" t="s">
        <v>56</v>
      </c>
      <c r="G1" s="112" t="s">
        <v>3603</v>
      </c>
      <c r="H1" s="108" t="s">
        <v>3604</v>
      </c>
      <c r="I1" s="108" t="s">
        <v>3605</v>
      </c>
      <c r="J1" s="113" t="s">
        <v>3606</v>
      </c>
      <c r="K1" s="113" t="s">
        <v>3607</v>
      </c>
      <c r="L1" s="114" t="s">
        <v>3608</v>
      </c>
      <c r="M1" s="115" t="s">
        <v>3609</v>
      </c>
      <c r="N1" s="108" t="s">
        <v>3610</v>
      </c>
      <c r="O1" s="116" t="s">
        <v>3611</v>
      </c>
      <c r="P1" s="117" t="s">
        <v>3612</v>
      </c>
      <c r="Q1" s="118" t="s">
        <v>3613</v>
      </c>
      <c r="R1" s="109" t="s">
        <v>3679</v>
      </c>
      <c r="S1" s="119" t="s">
        <v>3614</v>
      </c>
      <c r="T1" s="120" t="s">
        <v>3615</v>
      </c>
    </row>
    <row r="2" spans="1:20" s="49" customFormat="1">
      <c r="A2" s="75">
        <v>3379591</v>
      </c>
      <c r="B2" s="121">
        <f>VLOOKUP(A2,Export!A:N,14,0)</f>
        <v>12303126</v>
      </c>
      <c r="C2" s="121" t="str">
        <f>VLOOKUP(A2,Export!A:P,16,0)</f>
        <v>EDMUNDO JAVIER FUENTES RODRÍGUEZ</v>
      </c>
      <c r="D2" s="64" t="str">
        <f>VLOOKUP(A2,Export!A:H,8,0)</f>
        <v>121-150</v>
      </c>
      <c r="E2" s="64" t="str">
        <f>VLOOKUP(A2,Export!A:I,9,0)</f>
        <v>151-180</v>
      </c>
      <c r="F2" s="64" t="str">
        <f>VLOOKUP(A2,Export!A:AH,34,0)</f>
        <v>NO RECUPERADO</v>
      </c>
      <c r="G2" s="122" t="s">
        <v>3617</v>
      </c>
      <c r="H2" s="64">
        <v>4</v>
      </c>
      <c r="I2" s="64">
        <f>VLOOKUP(A2,Export!A:B,2,0)</f>
        <v>155</v>
      </c>
      <c r="J2" s="123">
        <f>VLOOKUP(A2,Export!A:R,18,0)</f>
        <v>329.90199999999999</v>
      </c>
      <c r="K2" s="123">
        <f>VLOOKUP(A2,Export!A:D,4,0)</f>
        <v>10431044</v>
      </c>
      <c r="L2" s="124">
        <f t="shared" ref="L2:L28" si="0">IF(G2="PAGO CUOTAS",H2*J2,K2)</f>
        <v>1319.6079999999999</v>
      </c>
      <c r="M2" s="169">
        <v>46171</v>
      </c>
      <c r="N2" s="64" t="s">
        <v>3618</v>
      </c>
      <c r="O2" s="125"/>
      <c r="P2" s="126">
        <f t="shared" ref="P2:P40" si="1">+SUMIF(N2,"PAGADO",K2)</f>
        <v>10431044</v>
      </c>
      <c r="Q2" s="60"/>
      <c r="R2" s="127">
        <f>+VLOOKUP(A2,'[1]ORIGINAL '!D:E,2,0)</f>
        <v>0</v>
      </c>
      <c r="S2" s="128" t="b">
        <v>0</v>
      </c>
      <c r="T2" s="129" t="e">
        <f>VLOOKUP(A2,'OFICIO '!A:J,10,0)</f>
        <v>#N/A</v>
      </c>
    </row>
    <row r="3" spans="1:20" s="49" customFormat="1">
      <c r="A3" s="163">
        <v>2796242</v>
      </c>
      <c r="B3" s="121" t="e">
        <f>VLOOKUP(A3,Export!A:N,14,0)</f>
        <v>#N/A</v>
      </c>
      <c r="C3" s="121" t="e">
        <f>VLOOKUP(A3,Export!A:P,16,0)</f>
        <v>#N/A</v>
      </c>
      <c r="D3" s="64" t="e">
        <f>VLOOKUP(A3,Export!A:H,8,0)</f>
        <v>#N/A</v>
      </c>
      <c r="E3" s="64" t="e">
        <f>VLOOKUP(A3,Export!A:I,9,0)</f>
        <v>#N/A</v>
      </c>
      <c r="F3" s="64" t="e">
        <f>VLOOKUP(A3,Export!A:AH,34,0)</f>
        <v>#N/A</v>
      </c>
      <c r="G3" s="122" t="s">
        <v>3617</v>
      </c>
      <c r="H3" s="64" t="e">
        <f>VLOOKUP(A3,Export!A:C,3,0)</f>
        <v>#N/A</v>
      </c>
      <c r="I3" s="64" t="e">
        <f>VLOOKUP(A3,Export!A:B,2,0)</f>
        <v>#N/A</v>
      </c>
      <c r="J3" s="123" t="e">
        <f>VLOOKUP(A3,Export!A:R,18,0)</f>
        <v>#N/A</v>
      </c>
      <c r="K3" s="123" t="e">
        <f>VLOOKUP(A3,Export!A:D,4,0)</f>
        <v>#N/A</v>
      </c>
      <c r="L3" s="124" t="e">
        <f t="shared" si="0"/>
        <v>#N/A</v>
      </c>
      <c r="M3" s="170">
        <v>46117</v>
      </c>
      <c r="N3" s="64" t="s">
        <v>3618</v>
      </c>
      <c r="O3" s="125">
        <v>46117</v>
      </c>
      <c r="P3" s="126" t="e">
        <f t="shared" si="1"/>
        <v>#N/A</v>
      </c>
      <c r="Q3" s="84"/>
      <c r="R3" s="127">
        <f>+VLOOKUP(A3,'[1]ORIGINAL '!D:E,2,0)</f>
        <v>0</v>
      </c>
      <c r="S3" s="128" t="b">
        <v>0</v>
      </c>
      <c r="T3" s="129" t="e">
        <f>VLOOKUP(A3,'OFICIO '!A:J,10,0)</f>
        <v>#N/A</v>
      </c>
    </row>
    <row r="4" spans="1:20" s="285" customFormat="1">
      <c r="A4" s="208">
        <v>3288242</v>
      </c>
      <c r="B4" s="274">
        <f>VLOOKUP(A4,Export!A:N,14,0)</f>
        <v>76839537</v>
      </c>
      <c r="C4" s="274" t="str">
        <f>VLOOKUP(A4,Export!A:P,16,0)</f>
        <v>PROSMART SERVICIOS SPA SPA</v>
      </c>
      <c r="D4" s="209" t="str">
        <f>VLOOKUP(A4,Export!A:H,8,0)</f>
        <v>31-60</v>
      </c>
      <c r="E4" s="209" t="str">
        <f>VLOOKUP(A4,Export!A:I,9,0)</f>
        <v>31-60</v>
      </c>
      <c r="F4" s="209" t="str">
        <f>VLOOKUP(A4,Export!A:AH,34,0)</f>
        <v>NO RECUPERADO</v>
      </c>
      <c r="G4" s="275" t="s">
        <v>3617</v>
      </c>
      <c r="H4" s="209">
        <v>2</v>
      </c>
      <c r="I4" s="209">
        <f>VLOOKUP(A4,Export!A:B,2,0)</f>
        <v>53</v>
      </c>
      <c r="J4" s="276">
        <f>VLOOKUP(A4,Export!A:R,18,0)</f>
        <v>481.75700000000001</v>
      </c>
      <c r="K4" s="276">
        <f>VLOOKUP(A4,Export!A:D,4,0)</f>
        <v>13963215</v>
      </c>
      <c r="L4" s="277">
        <f t="shared" si="0"/>
        <v>963.51400000000001</v>
      </c>
      <c r="M4" s="289" t="s">
        <v>4074</v>
      </c>
      <c r="N4" s="209" t="s">
        <v>3618</v>
      </c>
      <c r="O4" s="279"/>
      <c r="P4" s="280">
        <f t="shared" si="1"/>
        <v>13963215</v>
      </c>
      <c r="Q4" s="281"/>
      <c r="R4" s="282">
        <f>+VLOOKUP(A4,'[1]ORIGINAL '!D:E,2,0)</f>
        <v>0</v>
      </c>
      <c r="S4" s="283" t="b">
        <v>0</v>
      </c>
      <c r="T4" s="284" t="e">
        <f>VLOOKUP(A4,'OFICIO '!A:J,10,0)</f>
        <v>#N/A</v>
      </c>
    </row>
    <row r="5" spans="1:20" s="49" customFormat="1">
      <c r="A5" s="208">
        <v>1910675</v>
      </c>
      <c r="B5" s="121">
        <f>VLOOKUP(A5,Export!A:N,14,0)</f>
        <v>6461783</v>
      </c>
      <c r="C5" s="121" t="str">
        <f>VLOOKUP(A5,Export!A:P,16,0)</f>
        <v>RAÚL EUGENIO VILLAR MESÍAS</v>
      </c>
      <c r="D5" s="64" t="str">
        <f>VLOOKUP(A5,Export!A:H,8,0)</f>
        <v>31-60</v>
      </c>
      <c r="E5" s="64" t="str">
        <f>VLOOKUP(A5,Export!A:I,9,0)</f>
        <v>61-90</v>
      </c>
      <c r="F5" s="64" t="str">
        <f>VLOOKUP(A5,Export!A:AH,34,0)</f>
        <v>NO RECUPERADO</v>
      </c>
      <c r="G5" s="122" t="s">
        <v>3617</v>
      </c>
      <c r="H5" s="64">
        <f>VLOOKUP(A5,Export!A:C,3,0)</f>
        <v>1</v>
      </c>
      <c r="I5" s="64">
        <f>VLOOKUP(A5,Export!A:B,2,0)</f>
        <v>71</v>
      </c>
      <c r="J5" s="123">
        <f>VLOOKUP(A5,Export!A:R,18,0)</f>
        <v>449.26400000000001</v>
      </c>
      <c r="K5" s="123">
        <f>VLOOKUP(A5,Export!A:D,4,0)</f>
        <v>439292</v>
      </c>
      <c r="L5" s="124">
        <f t="shared" si="0"/>
        <v>449.26400000000001</v>
      </c>
      <c r="M5" s="171">
        <v>46154</v>
      </c>
      <c r="N5" s="64" t="s">
        <v>3618</v>
      </c>
      <c r="O5" s="125"/>
      <c r="P5" s="126">
        <f t="shared" si="1"/>
        <v>439292</v>
      </c>
      <c r="Q5" s="84"/>
      <c r="R5" s="127">
        <f>+VLOOKUP(A5,'[1]ORIGINAL '!D:E,2,0)</f>
        <v>0</v>
      </c>
      <c r="S5" s="128" t="b">
        <v>0</v>
      </c>
      <c r="T5" s="129" t="e">
        <f>VLOOKUP(A5,'OFICIO '!A:J,10,0)</f>
        <v>#N/A</v>
      </c>
    </row>
    <row r="6" spans="1:20" s="349" customFormat="1">
      <c r="A6" s="345">
        <v>2098963</v>
      </c>
      <c r="B6" s="307">
        <f>VLOOKUP(A6,Export!A:N,14,0)</f>
        <v>11343555</v>
      </c>
      <c r="C6" s="307" t="str">
        <f>VLOOKUP(A6,Export!A:P,16,0)</f>
        <v>CLAUDIA ALEJANDRA CASTILLO ZAPATA</v>
      </c>
      <c r="D6" s="308" t="str">
        <f>VLOOKUP(A6,Export!A:H,8,0)</f>
        <v>31-60</v>
      </c>
      <c r="E6" s="308" t="str">
        <f>VLOOKUP(A6,Export!A:I,9,0)</f>
        <v>61-90</v>
      </c>
      <c r="F6" s="308" t="str">
        <f>VLOOKUP(A6,Export!A:AH,34,0)</f>
        <v>NO RECUPERADO</v>
      </c>
      <c r="G6" s="309" t="s">
        <v>3617</v>
      </c>
      <c r="H6" s="308">
        <f>VLOOKUP(A6,Export!A:C,3,0)</f>
        <v>3</v>
      </c>
      <c r="I6" s="308">
        <f>VLOOKUP(A6,Export!A:B,2,0)</f>
        <v>76</v>
      </c>
      <c r="J6" s="310">
        <f>VLOOKUP(A6,Export!A:R,18,0)</f>
        <v>253.024</v>
      </c>
      <c r="K6" s="310">
        <f>VLOOKUP(A6,Export!A:D,4,0)</f>
        <v>1175169</v>
      </c>
      <c r="L6" s="311">
        <f t="shared" si="0"/>
        <v>759.072</v>
      </c>
      <c r="M6" s="346">
        <v>46171</v>
      </c>
      <c r="N6" s="308" t="s">
        <v>3618</v>
      </c>
      <c r="O6" s="347"/>
      <c r="P6" s="312">
        <f t="shared" si="1"/>
        <v>1175169</v>
      </c>
      <c r="Q6" s="348" t="s">
        <v>4075</v>
      </c>
      <c r="R6" s="313">
        <f>+VLOOKUP(A6,'[1]ORIGINAL '!D:E,2,0)</f>
        <v>0</v>
      </c>
      <c r="S6" s="314" t="b">
        <v>0</v>
      </c>
      <c r="T6" s="315" t="e">
        <f>VLOOKUP(A6,'OFICIO '!A:J,10,0)</f>
        <v>#N/A</v>
      </c>
    </row>
    <row r="7" spans="1:20" s="49" customFormat="1">
      <c r="A7" s="164">
        <v>2762947</v>
      </c>
      <c r="B7" s="121" t="e">
        <f>VLOOKUP(A7,Export!A:N,14,0)</f>
        <v>#N/A</v>
      </c>
      <c r="C7" s="121" t="e">
        <f>VLOOKUP(A7,Export!A:P,16,0)</f>
        <v>#N/A</v>
      </c>
      <c r="D7" s="64" t="e">
        <f>VLOOKUP(A7,Export!A:H,8,0)</f>
        <v>#N/A</v>
      </c>
      <c r="E7" s="64" t="e">
        <f>VLOOKUP(A7,Export!A:I,9,0)</f>
        <v>#N/A</v>
      </c>
      <c r="F7" s="64" t="e">
        <f>VLOOKUP(A7,Export!A:AH,34,0)</f>
        <v>#N/A</v>
      </c>
      <c r="G7" s="122" t="s">
        <v>3617</v>
      </c>
      <c r="H7" s="64" t="e">
        <f>VLOOKUP(A7,Export!A:C,3,0)</f>
        <v>#N/A</v>
      </c>
      <c r="I7" s="64" t="e">
        <f>VLOOKUP(A7,Export!A:B,2,0)</f>
        <v>#N/A</v>
      </c>
      <c r="J7" s="123" t="e">
        <f>VLOOKUP(A7,Export!A:R,18,0)</f>
        <v>#N/A</v>
      </c>
      <c r="K7" s="123" t="e">
        <f>VLOOKUP(A7,Export!A:D,4,0)</f>
        <v>#N/A</v>
      </c>
      <c r="L7" s="124" t="e">
        <f t="shared" si="0"/>
        <v>#N/A</v>
      </c>
      <c r="M7" s="171">
        <v>46157</v>
      </c>
      <c r="N7" s="64" t="s">
        <v>3618</v>
      </c>
      <c r="O7" s="125"/>
      <c r="P7" s="126" t="e">
        <f t="shared" si="1"/>
        <v>#N/A</v>
      </c>
      <c r="Q7" s="84"/>
      <c r="R7" s="127">
        <f>+VLOOKUP(A7,'[1]ORIGINAL '!D:E,2,0)</f>
        <v>0</v>
      </c>
      <c r="S7" s="128" t="b">
        <v>0</v>
      </c>
      <c r="T7" s="129" t="e">
        <f>VLOOKUP(A7,'OFICIO '!A:J,10,0)</f>
        <v>#N/A</v>
      </c>
    </row>
    <row r="8" spans="1:20" s="49" customFormat="1">
      <c r="A8" s="164">
        <v>2832579</v>
      </c>
      <c r="B8" s="121" t="e">
        <f>VLOOKUP(A8,Export!A:N,14,0)</f>
        <v>#N/A</v>
      </c>
      <c r="C8" s="121" t="e">
        <f>VLOOKUP(A8,Export!A:P,16,0)</f>
        <v>#N/A</v>
      </c>
      <c r="D8" s="64" t="e">
        <f>VLOOKUP(A8,Export!A:H,8,0)</f>
        <v>#N/A</v>
      </c>
      <c r="E8" s="64" t="e">
        <f>VLOOKUP(A8,Export!A:I,9,0)</f>
        <v>#N/A</v>
      </c>
      <c r="F8" s="64" t="e">
        <f>VLOOKUP(A8,Export!A:AH,34,0)</f>
        <v>#N/A</v>
      </c>
      <c r="G8" s="122" t="s">
        <v>3617</v>
      </c>
      <c r="H8" s="64" t="e">
        <f>VLOOKUP(A8,Export!A:C,3,0)</f>
        <v>#N/A</v>
      </c>
      <c r="I8" s="64" t="e">
        <f>VLOOKUP(A8,Export!A:B,2,0)</f>
        <v>#N/A</v>
      </c>
      <c r="J8" s="123" t="e">
        <f>VLOOKUP(A8,Export!A:R,18,0)</f>
        <v>#N/A</v>
      </c>
      <c r="K8" s="123" t="e">
        <f>VLOOKUP(A8,Export!A:D,4,0)</f>
        <v>#N/A</v>
      </c>
      <c r="L8" s="124" t="e">
        <f t="shared" si="0"/>
        <v>#N/A</v>
      </c>
      <c r="M8" s="171">
        <v>46147</v>
      </c>
      <c r="N8" s="64" t="s">
        <v>3618</v>
      </c>
      <c r="O8" s="125"/>
      <c r="P8" s="126" t="e">
        <f t="shared" si="1"/>
        <v>#N/A</v>
      </c>
      <c r="Q8" s="84"/>
      <c r="R8" s="127">
        <f>+VLOOKUP(A8,'[1]ORIGINAL '!D:E,2,0)</f>
        <v>0</v>
      </c>
      <c r="S8" s="128" t="b">
        <v>0</v>
      </c>
      <c r="T8" s="129" t="e">
        <f>VLOOKUP(A8,'OFICIO '!A:J,10,0)</f>
        <v>#N/A</v>
      </c>
    </row>
    <row r="9" spans="1:20" s="285" customFormat="1">
      <c r="A9" s="208">
        <v>2678831</v>
      </c>
      <c r="B9" s="274">
        <f>VLOOKUP(A9,Export!A:N,14,0)</f>
        <v>26423358</v>
      </c>
      <c r="C9" s="274" t="str">
        <f>VLOOKUP(A9,Export!A:P,16,0)</f>
        <v>CARLOS EDUARDO  GUERRA YAÑEZ</v>
      </c>
      <c r="D9" s="209" t="str">
        <f>VLOOKUP(A9,Export!A:H,8,0)</f>
        <v>31-60</v>
      </c>
      <c r="E9" s="209" t="str">
        <f>VLOOKUP(A9,Export!A:I,9,0)</f>
        <v>31-60</v>
      </c>
      <c r="F9" s="209" t="str">
        <f>VLOOKUP(A9,Export!A:AH,34,0)</f>
        <v>CONTENIDO</v>
      </c>
      <c r="G9" s="275" t="s">
        <v>3617</v>
      </c>
      <c r="H9" s="209">
        <v>2</v>
      </c>
      <c r="I9" s="209">
        <f>VLOOKUP(A9,Export!A:B,2,0)</f>
        <v>40</v>
      </c>
      <c r="J9" s="276">
        <f>VLOOKUP(A9,Export!A:R,18,0)</f>
        <v>203.815</v>
      </c>
      <c r="K9" s="276">
        <f>VLOOKUP(A9,Export!A:D,4,0)</f>
        <v>2891119</v>
      </c>
      <c r="L9" s="277">
        <f t="shared" si="0"/>
        <v>407.63</v>
      </c>
      <c r="M9" s="288">
        <v>46169</v>
      </c>
      <c r="N9" s="209" t="s">
        <v>3618</v>
      </c>
      <c r="O9" s="279">
        <v>46169</v>
      </c>
      <c r="P9" s="280">
        <f t="shared" si="1"/>
        <v>2891119</v>
      </c>
      <c r="Q9" s="281"/>
      <c r="R9" s="282">
        <f>+VLOOKUP(A9,'[1]ORIGINAL '!D:E,2,0)</f>
        <v>0</v>
      </c>
      <c r="S9" s="283" t="b">
        <v>0</v>
      </c>
      <c r="T9" s="284">
        <f>VLOOKUP(A9,'OFICIO '!A:J,10,0)</f>
        <v>46054</v>
      </c>
    </row>
    <row r="10" spans="1:20" s="49" customFormat="1">
      <c r="A10" s="164">
        <v>2861527</v>
      </c>
      <c r="B10" s="121">
        <f>VLOOKUP(A10,Export!A:N,14,0)</f>
        <v>15770754</v>
      </c>
      <c r="C10" s="121" t="str">
        <f>VLOOKUP(A10,Export!A:P,16,0)</f>
        <v>CARLA CRISTINA FUENTES CASTILLO</v>
      </c>
      <c r="D10" s="64">
        <f>VLOOKUP(A10,Export!A:H,8,0)</f>
        <v>46052</v>
      </c>
      <c r="E10" s="64">
        <f>VLOOKUP(A10,Export!A:I,9,0)</f>
        <v>46052</v>
      </c>
      <c r="F10" s="64" t="str">
        <f>VLOOKUP(A10,Export!A:AH,34,0)</f>
        <v>CONTENIDO</v>
      </c>
      <c r="G10" s="122" t="s">
        <v>3617</v>
      </c>
      <c r="H10" s="64">
        <f>VLOOKUP(A10,Export!A:C,3,0)</f>
        <v>1</v>
      </c>
      <c r="I10" s="64">
        <f>VLOOKUP(A10,Export!A:B,2,0)</f>
        <v>5</v>
      </c>
      <c r="J10" s="123">
        <f>VLOOKUP(A10,Export!A:R,18,0)</f>
        <v>271.44799999999998</v>
      </c>
      <c r="K10" s="123">
        <f>VLOOKUP(A10,Export!A:D,4,0)</f>
        <v>8608476</v>
      </c>
      <c r="L10" s="124">
        <f t="shared" si="0"/>
        <v>271.44799999999998</v>
      </c>
      <c r="M10" s="171">
        <v>46147</v>
      </c>
      <c r="N10" s="64" t="s">
        <v>3618</v>
      </c>
      <c r="O10" s="125"/>
      <c r="P10" s="126">
        <f t="shared" si="1"/>
        <v>8608476</v>
      </c>
      <c r="Q10" s="84"/>
      <c r="R10" s="127">
        <f>+VLOOKUP(A10,'[1]ORIGINAL '!D:E,2,0)</f>
        <v>0</v>
      </c>
      <c r="S10" s="128" t="b">
        <v>0</v>
      </c>
      <c r="T10" s="129" t="e">
        <f>VLOOKUP(A10,'OFICIO '!A:J,10,0)</f>
        <v>#N/A</v>
      </c>
    </row>
    <row r="11" spans="1:20" s="49" customFormat="1">
      <c r="A11" s="164">
        <v>2870557</v>
      </c>
      <c r="B11" s="121">
        <f>VLOOKUP(A11,Export!A:N,14,0)</f>
        <v>16856352</v>
      </c>
      <c r="C11" s="121" t="str">
        <f>VLOOKUP(A11,Export!A:P,16,0)</f>
        <v>MILENA JOHANA VERGARA VERGARA</v>
      </c>
      <c r="D11" s="64" t="str">
        <f>VLOOKUP(A11,Export!A:H,8,0)</f>
        <v>31-60</v>
      </c>
      <c r="E11" s="64" t="str">
        <f>VLOOKUP(A11,Export!A:I,9,0)</f>
        <v>61-90</v>
      </c>
      <c r="F11" s="64" t="str">
        <f>VLOOKUP(A11,Export!A:AH,34,0)</f>
        <v>NO RECUPERADO</v>
      </c>
      <c r="G11" s="122" t="s">
        <v>3617</v>
      </c>
      <c r="H11" s="64">
        <f>VLOOKUP(A11,Export!A:C,3,0)</f>
        <v>3</v>
      </c>
      <c r="I11" s="64">
        <f>VLOOKUP(A11,Export!A:B,2,0)</f>
        <v>76</v>
      </c>
      <c r="J11" s="123">
        <f>VLOOKUP(A11,Export!A:R,18,0)</f>
        <v>274.39699999999999</v>
      </c>
      <c r="K11" s="123">
        <f>VLOOKUP(A11,Export!A:D,4,0)</f>
        <v>2513192</v>
      </c>
      <c r="L11" s="124">
        <f t="shared" si="0"/>
        <v>823.19100000000003</v>
      </c>
      <c r="M11" s="171">
        <v>46164</v>
      </c>
      <c r="N11" s="64" t="s">
        <v>3618</v>
      </c>
      <c r="O11" s="125">
        <v>46165</v>
      </c>
      <c r="P11" s="126">
        <f t="shared" si="1"/>
        <v>2513192</v>
      </c>
      <c r="Q11" s="84"/>
      <c r="R11" s="127">
        <f>+VLOOKUP(A11,'[1]ORIGINAL '!D:E,2,0)</f>
        <v>0</v>
      </c>
      <c r="S11" s="128" t="b">
        <v>0</v>
      </c>
      <c r="T11" s="129" t="e">
        <f>VLOOKUP(A11,'OFICIO '!A:J,10,0)</f>
        <v>#N/A</v>
      </c>
    </row>
    <row r="12" spans="1:20" s="285" customFormat="1">
      <c r="A12" s="208">
        <v>2949458</v>
      </c>
      <c r="B12" s="274">
        <f>VLOOKUP(A12,Export!A:N,14,0)</f>
        <v>12175985</v>
      </c>
      <c r="C12" s="274" t="str">
        <f>VLOOKUP(A12,Export!A:P,16,0)</f>
        <v>PAUL DENIS FRANCISCO  CABEZAS  LÓPEZ</v>
      </c>
      <c r="D12" s="209" t="str">
        <f>VLOOKUP(A12,Export!A:H,8,0)</f>
        <v>61-90</v>
      </c>
      <c r="E12" s="209" t="str">
        <f>VLOOKUP(A12,Export!A:I,9,0)</f>
        <v>91-120</v>
      </c>
      <c r="F12" s="209" t="str">
        <f>VLOOKUP(A12,Export!A:AH,34,0)</f>
        <v>NO RECUPERADO</v>
      </c>
      <c r="G12" s="275" t="s">
        <v>3617</v>
      </c>
      <c r="H12" s="209">
        <f>VLOOKUP(A12,Export!A:C,3,0)</f>
        <v>4</v>
      </c>
      <c r="I12" s="209">
        <f>VLOOKUP(A12,Export!A:B,2,0)</f>
        <v>91</v>
      </c>
      <c r="J12" s="276">
        <f>VLOOKUP(A12,Export!A:R,18,0)</f>
        <v>300.18400000000003</v>
      </c>
      <c r="K12" s="276">
        <f>VLOOKUP(A12,Export!A:D,4,0)</f>
        <v>2491616</v>
      </c>
      <c r="L12" s="277">
        <f t="shared" si="0"/>
        <v>1200.7360000000001</v>
      </c>
      <c r="M12" s="288">
        <v>46166</v>
      </c>
      <c r="N12" s="209" t="s">
        <v>3618</v>
      </c>
      <c r="O12" s="279"/>
      <c r="P12" s="280">
        <f t="shared" si="1"/>
        <v>2491616</v>
      </c>
      <c r="Q12" s="281"/>
      <c r="R12" s="282">
        <f>+VLOOKUP(A12,'[1]ORIGINAL '!D:E,2,0)</f>
        <v>0</v>
      </c>
      <c r="S12" s="283" t="b">
        <v>0</v>
      </c>
      <c r="T12" s="284" t="e">
        <f>VLOOKUP(A12,'OFICIO '!A:J,10,0)</f>
        <v>#N/A</v>
      </c>
    </row>
    <row r="13" spans="1:20" s="285" customFormat="1">
      <c r="A13" s="208">
        <v>2961244</v>
      </c>
      <c r="B13" s="274" t="e">
        <f>VLOOKUP(A13,Export!A:N,14,0)</f>
        <v>#N/A</v>
      </c>
      <c r="C13" s="274" t="e">
        <f>VLOOKUP(A13,Export!A:P,16,0)</f>
        <v>#N/A</v>
      </c>
      <c r="D13" s="209" t="e">
        <f>VLOOKUP(A13,Export!A:H,8,0)</f>
        <v>#N/A</v>
      </c>
      <c r="E13" s="209" t="e">
        <f>VLOOKUP(A13,Export!A:I,9,0)</f>
        <v>#N/A</v>
      </c>
      <c r="F13" s="209" t="e">
        <f>VLOOKUP(A13,Export!A:AH,34,0)</f>
        <v>#N/A</v>
      </c>
      <c r="G13" s="275" t="s">
        <v>3617</v>
      </c>
      <c r="H13" s="209" t="e">
        <f>VLOOKUP(A13,Export!A:C,3,0)</f>
        <v>#N/A</v>
      </c>
      <c r="I13" s="209" t="e">
        <f>VLOOKUP(A13,Export!A:B,2,0)</f>
        <v>#N/A</v>
      </c>
      <c r="J13" s="276" t="e">
        <f>VLOOKUP(A13,Export!A:R,18,0)</f>
        <v>#N/A</v>
      </c>
      <c r="K13" s="276" t="e">
        <f>VLOOKUP(A13,Export!A:D,4,0)</f>
        <v>#N/A</v>
      </c>
      <c r="L13" s="277" t="e">
        <f t="shared" si="0"/>
        <v>#N/A</v>
      </c>
      <c r="M13" s="289" t="s">
        <v>2372</v>
      </c>
      <c r="N13" s="209" t="s">
        <v>3618</v>
      </c>
      <c r="O13" s="279">
        <v>46157</v>
      </c>
      <c r="P13" s="280" t="e">
        <f t="shared" si="1"/>
        <v>#N/A</v>
      </c>
      <c r="Q13" s="281"/>
      <c r="R13" s="282">
        <f>+VLOOKUP(A13,'[1]ORIGINAL '!D:E,2,0)</f>
        <v>0</v>
      </c>
      <c r="S13" s="283" t="b">
        <v>0</v>
      </c>
      <c r="T13" s="284" t="e">
        <f>VLOOKUP(A13,'OFICIO '!A:J,10,0)</f>
        <v>#N/A</v>
      </c>
    </row>
    <row r="14" spans="1:20" s="49" customFormat="1">
      <c r="A14" s="164">
        <v>3159040</v>
      </c>
      <c r="B14" s="121">
        <f>VLOOKUP(A14,Export!A:N,14,0)</f>
        <v>13872350</v>
      </c>
      <c r="C14" s="121" t="str">
        <f>VLOOKUP(A14,Export!A:P,16,0)</f>
        <v>ALEJANDRO PATRICIO NIETO SALFATE</v>
      </c>
      <c r="D14" s="64" t="str">
        <f>VLOOKUP(A14,Export!A:H,8,0)</f>
        <v>31-60</v>
      </c>
      <c r="E14" s="64" t="str">
        <f>VLOOKUP(A14,Export!A:I,9,0)</f>
        <v>31-60</v>
      </c>
      <c r="F14" s="64" t="str">
        <f>VLOOKUP(A14,Export!A:AH,34,0)</f>
        <v>CONTENIDO</v>
      </c>
      <c r="G14" s="122" t="s">
        <v>3617</v>
      </c>
      <c r="H14" s="64">
        <v>2</v>
      </c>
      <c r="I14" s="64">
        <f>VLOOKUP(A14,Export!A:B,2,0)</f>
        <v>34</v>
      </c>
      <c r="J14" s="123">
        <f>VLOOKUP(A14,Export!A:R,18,0)</f>
        <v>510.56700000000001</v>
      </c>
      <c r="K14" s="123">
        <f>VLOOKUP(A14,Export!A:D,4,0)</f>
        <v>15663717</v>
      </c>
      <c r="L14" s="124">
        <f t="shared" si="0"/>
        <v>1021.134</v>
      </c>
      <c r="M14" s="171">
        <v>46153</v>
      </c>
      <c r="N14" s="64" t="s">
        <v>3618</v>
      </c>
      <c r="O14" s="125"/>
      <c r="P14" s="126">
        <f t="shared" si="1"/>
        <v>15663717</v>
      </c>
      <c r="Q14" s="84"/>
      <c r="R14" s="127">
        <f>+VLOOKUP(A14,'[1]ORIGINAL '!D:E,2,0)</f>
        <v>0</v>
      </c>
      <c r="S14" s="128" t="b">
        <v>0</v>
      </c>
      <c r="T14" s="129" t="e">
        <f>VLOOKUP(A14,'OFICIO '!A:J,10,0)</f>
        <v>#N/A</v>
      </c>
    </row>
    <row r="15" spans="1:20" s="338" customFormat="1">
      <c r="A15" s="326">
        <v>3344186</v>
      </c>
      <c r="B15" s="327">
        <f>VLOOKUP(A15,Export!A:N,14,0)</f>
        <v>17766543</v>
      </c>
      <c r="C15" s="327" t="str">
        <f>VLOOKUP(A15,Export!A:P,16,0)</f>
        <v>MAURICIO ANDRÉS GATICA ÁLVAREZ</v>
      </c>
      <c r="D15" s="326" t="str">
        <f>VLOOKUP(A15,Export!A:H,8,0)</f>
        <v>91-120</v>
      </c>
      <c r="E15" s="326" t="str">
        <f>VLOOKUP(A15,Export!A:I,9,0)</f>
        <v>121-150</v>
      </c>
      <c r="F15" s="326" t="str">
        <f>VLOOKUP(A15,Export!A:AH,34,0)</f>
        <v>NO RECUPERADO</v>
      </c>
      <c r="G15" s="328" t="s">
        <v>3617</v>
      </c>
      <c r="H15" s="326">
        <f>VLOOKUP(A15,Export!A:C,3,0)</f>
        <v>5</v>
      </c>
      <c r="I15" s="326">
        <f>VLOOKUP(A15,Export!A:B,2,0)</f>
        <v>137</v>
      </c>
      <c r="J15" s="329">
        <f>VLOOKUP(A15,Export!A:R,18,0)</f>
        <v>311.97399999999999</v>
      </c>
      <c r="K15" s="329">
        <f>VLOOKUP(A15,Export!A:D,4,0)</f>
        <v>7912592</v>
      </c>
      <c r="L15" s="330">
        <f t="shared" si="0"/>
        <v>1559.87</v>
      </c>
      <c r="M15" s="350">
        <v>46172</v>
      </c>
      <c r="N15" s="326" t="s">
        <v>3621</v>
      </c>
      <c r="O15" s="332"/>
      <c r="P15" s="333">
        <f t="shared" si="1"/>
        <v>0</v>
      </c>
      <c r="Q15" s="339"/>
      <c r="R15" s="335">
        <f>+VLOOKUP(A15,'[1]ORIGINAL '!D:E,2,0)</f>
        <v>0</v>
      </c>
      <c r="S15" s="336" t="b">
        <v>0</v>
      </c>
      <c r="T15" s="337" t="e">
        <f>VLOOKUP(A15,'OFICIO '!A:J,10,0)</f>
        <v>#N/A</v>
      </c>
    </row>
    <row r="16" spans="1:20" s="48" customFormat="1">
      <c r="A16" s="99">
        <v>3352007</v>
      </c>
      <c r="B16" s="98" t="e">
        <f>VLOOKUP(A16,Export!A:N,14,0)</f>
        <v>#N/A</v>
      </c>
      <c r="C16" s="98" t="e">
        <f>VLOOKUP(A16,Export!A:P,16,0)</f>
        <v>#N/A</v>
      </c>
      <c r="D16" s="99" t="e">
        <f>VLOOKUP(A16,Export!A:H,8,0)</f>
        <v>#N/A</v>
      </c>
      <c r="E16" s="99" t="e">
        <f>VLOOKUP(A16,Export!A:I,9,0)</f>
        <v>#N/A</v>
      </c>
      <c r="F16" s="99" t="e">
        <f>VLOOKUP(A16,Export!A:AH,34,0)</f>
        <v>#N/A</v>
      </c>
      <c r="G16" s="100" t="s">
        <v>3617</v>
      </c>
      <c r="H16" s="99" t="e">
        <f>VLOOKUP(A16,Export!A:C,3,0)</f>
        <v>#N/A</v>
      </c>
      <c r="I16" s="99" t="e">
        <f>VLOOKUP(A16,Export!A:B,2,0)</f>
        <v>#N/A</v>
      </c>
      <c r="J16" s="165" t="e">
        <f>VLOOKUP(A16,Export!A:R,18,0)</f>
        <v>#N/A</v>
      </c>
      <c r="K16" s="165" t="e">
        <f>VLOOKUP(A16,Export!A:D,4,0)</f>
        <v>#N/A</v>
      </c>
      <c r="L16" s="101" t="e">
        <f t="shared" si="0"/>
        <v>#N/A</v>
      </c>
      <c r="M16" s="166">
        <v>46157</v>
      </c>
      <c r="N16" s="99" t="s">
        <v>3621</v>
      </c>
      <c r="O16" s="167"/>
      <c r="P16" s="103">
        <f t="shared" si="1"/>
        <v>0</v>
      </c>
      <c r="Q16" s="86"/>
      <c r="R16" s="104">
        <f>+VLOOKUP(A16,'[1]ORIGINAL '!D:E,2,0)</f>
        <v>0</v>
      </c>
      <c r="S16" s="105" t="b">
        <v>0</v>
      </c>
      <c r="T16" s="168" t="e">
        <f>VLOOKUP(A16,'OFICIO '!A:J,10,0)</f>
        <v>#N/A</v>
      </c>
    </row>
    <row r="17" spans="1:20" s="48" customFormat="1">
      <c r="A17" s="99">
        <v>2431101</v>
      </c>
      <c r="B17" s="98">
        <f>VLOOKUP(A17,Export!A:N,14,0)</f>
        <v>11624626</v>
      </c>
      <c r="C17" s="98" t="str">
        <f>VLOOKUP(A17,Export!A:P,16,0)</f>
        <v>FABIOLA ELIZABETH CHAPARRO CHAPARRO</v>
      </c>
      <c r="D17" s="99" t="str">
        <f>VLOOKUP(A17,Export!A:H,8,0)</f>
        <v>31-60</v>
      </c>
      <c r="E17" s="99" t="str">
        <f>VLOOKUP(A17,Export!A:I,9,0)</f>
        <v>61-90</v>
      </c>
      <c r="F17" s="99" t="str">
        <f>VLOOKUP(A17,Export!A:AH,34,0)</f>
        <v>NO RECUPERADO</v>
      </c>
      <c r="G17" s="100" t="s">
        <v>3617</v>
      </c>
      <c r="H17" s="99">
        <v>2</v>
      </c>
      <c r="I17" s="99">
        <f>VLOOKUP(A17,Export!A:B,2,0)</f>
        <v>80</v>
      </c>
      <c r="J17" s="165">
        <f>VLOOKUP(A17,Export!A:R,18,0)</f>
        <v>234.6</v>
      </c>
      <c r="K17" s="165">
        <f>VLOOKUP(A17,Export!A:D,4,0)</f>
        <v>4935008</v>
      </c>
      <c r="L17" s="101">
        <f t="shared" si="0"/>
        <v>469.2</v>
      </c>
      <c r="M17" s="166">
        <v>46149</v>
      </c>
      <c r="N17" s="99" t="s">
        <v>3618</v>
      </c>
      <c r="O17" s="167">
        <v>46150</v>
      </c>
      <c r="P17" s="103">
        <f t="shared" si="1"/>
        <v>4935008</v>
      </c>
      <c r="Q17" s="86" t="s">
        <v>4076</v>
      </c>
      <c r="R17" s="104">
        <f>+VLOOKUP(A17,'[1]ORIGINAL '!D:E,2,0)</f>
        <v>0</v>
      </c>
      <c r="S17" s="105" t="b">
        <v>0</v>
      </c>
      <c r="T17" s="168" t="e">
        <f>VLOOKUP(A17,'OFICIO '!A:J,10,0)</f>
        <v>#N/A</v>
      </c>
    </row>
    <row r="18" spans="1:20" s="228" customFormat="1">
      <c r="A18" s="216">
        <v>3421001</v>
      </c>
      <c r="B18" s="217">
        <f>VLOOKUP(A18,Export!A:N,14,0)</f>
        <v>11853996</v>
      </c>
      <c r="C18" s="217" t="str">
        <f>VLOOKUP(A18,Export!A:P,16,0)</f>
        <v>MARCELA VIVIANA OYARCE ILLANES</v>
      </c>
      <c r="D18" s="216" t="str">
        <f>VLOOKUP(A18,Export!A:H,8,0)</f>
        <v>31-60</v>
      </c>
      <c r="E18" s="216">
        <f>VLOOKUP(A18,Export!A:I,9,0)</f>
        <v>46052</v>
      </c>
      <c r="F18" s="216" t="str">
        <f>VLOOKUP(A18,Export!A:AH,34,0)</f>
        <v>CONTENIDO</v>
      </c>
      <c r="G18" s="218" t="s">
        <v>3617</v>
      </c>
      <c r="H18" s="216">
        <v>3</v>
      </c>
      <c r="I18" s="216">
        <f>VLOOKUP(A18,Export!A:B,2,0)</f>
        <v>20</v>
      </c>
      <c r="J18" s="219">
        <f>VLOOKUP(A18,Export!A:R,18,0)</f>
        <v>278.56299999999999</v>
      </c>
      <c r="K18" s="219">
        <f>VLOOKUP(A18,Export!A:D,4,0)</f>
        <v>9431928</v>
      </c>
      <c r="L18" s="220">
        <f t="shared" si="0"/>
        <v>835.68899999999996</v>
      </c>
      <c r="M18" s="221">
        <v>46153</v>
      </c>
      <c r="N18" s="216" t="s">
        <v>3618</v>
      </c>
      <c r="O18" s="222">
        <v>46153</v>
      </c>
      <c r="P18" s="223" t="e">
        <f>+SUMIF(#REF!,"PAGADO",K18)</f>
        <v>#REF!</v>
      </c>
      <c r="Q18" s="224" t="s">
        <v>4077</v>
      </c>
      <c r="R18" s="225">
        <f>+VLOOKUP(A18,'[1]ORIGINAL '!D:E,2,0)</f>
        <v>0</v>
      </c>
      <c r="S18" s="226" t="b">
        <v>0</v>
      </c>
      <c r="T18" s="227" t="e">
        <f>VLOOKUP(A18,'OFICIO '!A:J,10,0)</f>
        <v>#N/A</v>
      </c>
    </row>
    <row r="19" spans="1:20" s="48" customFormat="1">
      <c r="A19" s="99">
        <v>3128019</v>
      </c>
      <c r="B19" s="98">
        <f>VLOOKUP(A19,Export!A:N,14,0)</f>
        <v>17376853</v>
      </c>
      <c r="C19" s="98" t="str">
        <f>VLOOKUP(A19,Export!A:P,16,0)</f>
        <v>FRANCISCA KARINA LINEROS GARRIDO</v>
      </c>
      <c r="D19" s="99" t="str">
        <f>VLOOKUP(A19,Export!A:H,8,0)</f>
        <v>31-60</v>
      </c>
      <c r="E19" s="99">
        <f>VLOOKUP(A19,Export!A:I,9,0)</f>
        <v>46052</v>
      </c>
      <c r="F19" s="99" t="str">
        <f>VLOOKUP(A19,Export!A:AH,34,0)</f>
        <v>CONTENIDO</v>
      </c>
      <c r="G19" s="100" t="s">
        <v>3617</v>
      </c>
      <c r="H19" s="99">
        <v>1</v>
      </c>
      <c r="I19" s="99">
        <f>VLOOKUP(A19,Export!A:B,2,0)</f>
        <v>24</v>
      </c>
      <c r="J19" s="165">
        <f>VLOOKUP(A19,Export!A:R,18,0)</f>
        <v>371.06799999999998</v>
      </c>
      <c r="K19" s="165">
        <f>VLOOKUP(A19,Export!A:D,4,0)</f>
        <v>7296344</v>
      </c>
      <c r="L19" s="101">
        <f t="shared" si="0"/>
        <v>371.06799999999998</v>
      </c>
      <c r="M19" s="166"/>
      <c r="N19" s="99" t="s">
        <v>3618</v>
      </c>
      <c r="O19" s="167"/>
      <c r="P19" s="103">
        <f t="shared" si="1"/>
        <v>7296344</v>
      </c>
      <c r="Q19" s="86"/>
      <c r="R19" s="104">
        <f>+VLOOKUP(A19,'[1]ORIGINAL '!D:E,2,0)</f>
        <v>0</v>
      </c>
      <c r="S19" s="105" t="b">
        <v>0</v>
      </c>
      <c r="T19" s="168" t="e">
        <f>VLOOKUP(A19,'OFICIO '!A:J,10,0)</f>
        <v>#N/A</v>
      </c>
    </row>
    <row r="20" spans="1:20" s="48" customFormat="1">
      <c r="A20" s="99">
        <v>3378278</v>
      </c>
      <c r="B20" s="98">
        <f>VLOOKUP(A20,Export!A:N,14,0)</f>
        <v>10780067</v>
      </c>
      <c r="C20" s="98" t="str">
        <f>VLOOKUP(A20,Export!A:P,16,0)</f>
        <v>HERMAN ROGELIO VELIZ ITE</v>
      </c>
      <c r="D20" s="99" t="str">
        <f>VLOOKUP(A20,Export!A:H,8,0)</f>
        <v>91-120</v>
      </c>
      <c r="E20" s="99" t="str">
        <f>VLOOKUP(A20,Export!A:I,9,0)</f>
        <v>121-150</v>
      </c>
      <c r="F20" s="99" t="str">
        <f>VLOOKUP(A20,Export!A:AH,34,0)</f>
        <v>NO RECUPERADO</v>
      </c>
      <c r="G20" s="100" t="s">
        <v>3617</v>
      </c>
      <c r="H20" s="99">
        <v>2</v>
      </c>
      <c r="I20" s="99">
        <f>VLOOKUP(A20,Export!A:B,2,0)</f>
        <v>137</v>
      </c>
      <c r="J20" s="165">
        <f>VLOOKUP(A20,Export!A:R,18,0)</f>
        <v>253.85499999999999</v>
      </c>
      <c r="K20" s="165">
        <f>VLOOKUP(A20,Export!A:D,4,0)</f>
        <v>7299234</v>
      </c>
      <c r="L20" s="101">
        <f t="shared" si="0"/>
        <v>507.71</v>
      </c>
      <c r="M20" s="166">
        <v>46171</v>
      </c>
      <c r="N20" s="99" t="s">
        <v>3621</v>
      </c>
      <c r="O20" s="167"/>
      <c r="P20" s="103">
        <f t="shared" si="1"/>
        <v>0</v>
      </c>
      <c r="Q20" s="86"/>
      <c r="R20" s="104">
        <f>+VLOOKUP(A20,'[1]ORIGINAL '!D:E,2,0)</f>
        <v>0</v>
      </c>
      <c r="S20" s="105" t="b">
        <v>0</v>
      </c>
      <c r="T20" s="168" t="e">
        <f>VLOOKUP(A20,'OFICIO '!A:J,10,0)</f>
        <v>#N/A</v>
      </c>
    </row>
    <row r="21" spans="1:20" s="48" customFormat="1">
      <c r="A21" s="209">
        <v>1846277</v>
      </c>
      <c r="B21" s="98" t="e">
        <f>VLOOKUP(A21,Export!A:N,14,0)</f>
        <v>#N/A</v>
      </c>
      <c r="C21" s="98" t="e">
        <f>VLOOKUP(A21,Export!A:P,16,0)</f>
        <v>#N/A</v>
      </c>
      <c r="D21" s="99" t="e">
        <f>VLOOKUP(A21,Export!A:H,8,0)</f>
        <v>#N/A</v>
      </c>
      <c r="E21" s="99" t="e">
        <f>VLOOKUP(A21,Export!A:I,9,0)</f>
        <v>#N/A</v>
      </c>
      <c r="F21" s="99" t="e">
        <f>VLOOKUP(A21,Export!A:AH,34,0)</f>
        <v>#N/A</v>
      </c>
      <c r="G21" s="100" t="s">
        <v>3617</v>
      </c>
      <c r="H21" s="99" t="e">
        <f>VLOOKUP(A21,Export!A:C,3,0)</f>
        <v>#N/A</v>
      </c>
      <c r="I21" s="99" t="e">
        <f>VLOOKUP(A21,Export!A:B,2,0)</f>
        <v>#N/A</v>
      </c>
      <c r="J21" s="165" t="e">
        <f>VLOOKUP(A21,Export!A:R,18,0)</f>
        <v>#N/A</v>
      </c>
      <c r="K21" s="165" t="e">
        <f>VLOOKUP(A21,Export!A:D,4,0)</f>
        <v>#N/A</v>
      </c>
      <c r="L21" s="101" t="e">
        <f>IF(G21="PAGO CUOTAS",H21*J21,K21)</f>
        <v>#N/A</v>
      </c>
      <c r="M21" s="166">
        <v>46150</v>
      </c>
      <c r="N21" s="99" t="s">
        <v>3618</v>
      </c>
      <c r="O21" s="167"/>
      <c r="P21" s="103" t="e">
        <f t="shared" si="1"/>
        <v>#N/A</v>
      </c>
      <c r="Q21" s="86"/>
      <c r="R21" s="104">
        <f>+VLOOKUP(A21,'[1]ORIGINAL '!D:E,2,0)</f>
        <v>0</v>
      </c>
      <c r="S21" s="105" t="b">
        <v>0</v>
      </c>
      <c r="T21" s="168">
        <f>VLOOKUP(A21,'OFICIO '!A:J,10,0)</f>
        <v>46054</v>
      </c>
    </row>
    <row r="22" spans="1:20" s="338" customFormat="1">
      <c r="A22" s="326">
        <v>3014523</v>
      </c>
      <c r="B22" s="327">
        <f>VLOOKUP(A22,Export!A:N,14,0)</f>
        <v>9880918</v>
      </c>
      <c r="C22" s="327" t="str">
        <f>VLOOKUP(A22,Export!A:P,16,0)</f>
        <v>MANUEL FERMÍN VERGARA ZAMORANO</v>
      </c>
      <c r="D22" s="326" t="str">
        <f>VLOOKUP(A22,Export!A:H,8,0)</f>
        <v>331-360</v>
      </c>
      <c r="E22" s="326" t="str">
        <f>VLOOKUP(A22,Export!A:I,9,0)</f>
        <v>331-360</v>
      </c>
      <c r="F22" s="326" t="str">
        <f>VLOOKUP(A22,Export!A:AH,34,0)</f>
        <v>NO RECUPERADO</v>
      </c>
      <c r="G22" s="328" t="s">
        <v>3617</v>
      </c>
      <c r="H22" s="326">
        <f>VLOOKUP(A22,Export!A:C,3,0)</f>
        <v>12</v>
      </c>
      <c r="I22" s="326">
        <f>VLOOKUP(A22,Export!A:B,2,0)</f>
        <v>353</v>
      </c>
      <c r="J22" s="329">
        <f>VLOOKUP(A22,Export!A:R,18,0)</f>
        <v>269.80799999999999</v>
      </c>
      <c r="K22" s="329">
        <f>VLOOKUP(A22,Export!A:D,4,0)</f>
        <v>6447948</v>
      </c>
      <c r="L22" s="330">
        <f t="shared" si="0"/>
        <v>3237.6959999999999</v>
      </c>
      <c r="M22" s="331">
        <v>46168</v>
      </c>
      <c r="N22" s="326" t="s">
        <v>3621</v>
      </c>
      <c r="O22" s="332"/>
      <c r="P22" s="333">
        <f t="shared" si="1"/>
        <v>0</v>
      </c>
      <c r="Q22" s="339"/>
      <c r="R22" s="335">
        <f>+VLOOKUP(A22,'[1]ORIGINAL '!D:E,2,0)</f>
        <v>0</v>
      </c>
      <c r="S22" s="336" t="b">
        <v>0</v>
      </c>
      <c r="T22" s="337" t="e">
        <f>VLOOKUP(A22,'OFICIO '!A:J,10,0)</f>
        <v>#N/A</v>
      </c>
    </row>
    <row r="23" spans="1:20" s="48" customFormat="1">
      <c r="A23" s="99">
        <v>3008575</v>
      </c>
      <c r="B23" s="98" t="e">
        <f>VLOOKUP(A23,Export!A:N,14,0)</f>
        <v>#N/A</v>
      </c>
      <c r="C23" s="98" t="e">
        <f>VLOOKUP(A23,Export!A:P,16,0)</f>
        <v>#N/A</v>
      </c>
      <c r="D23" s="99" t="e">
        <f>VLOOKUP(A23,Export!A:H,8,0)</f>
        <v>#N/A</v>
      </c>
      <c r="E23" s="99" t="e">
        <f>VLOOKUP(A23,Export!A:I,9,0)</f>
        <v>#N/A</v>
      </c>
      <c r="F23" s="99" t="e">
        <f>VLOOKUP(A23,Export!A:AH,34,0)</f>
        <v>#N/A</v>
      </c>
      <c r="G23" s="100" t="s">
        <v>3617</v>
      </c>
      <c r="H23" s="99">
        <v>5</v>
      </c>
      <c r="I23" s="99" t="e">
        <f>VLOOKUP(A23,Export!A:B,2,0)</f>
        <v>#N/A</v>
      </c>
      <c r="J23" s="165" t="e">
        <f>VLOOKUP(A23,Export!A:R,18,0)</f>
        <v>#N/A</v>
      </c>
      <c r="K23" s="165" t="e">
        <f>VLOOKUP(A23,Export!A:D,4,0)</f>
        <v>#N/A</v>
      </c>
      <c r="L23" s="101">
        <v>1833793</v>
      </c>
      <c r="M23" s="166">
        <v>46170</v>
      </c>
      <c r="N23" s="99" t="s">
        <v>3621</v>
      </c>
      <c r="O23" s="167"/>
      <c r="P23" s="103">
        <f t="shared" si="1"/>
        <v>0</v>
      </c>
      <c r="Q23" s="86"/>
      <c r="R23" s="104">
        <f>+VLOOKUP(A23,'[1]ORIGINAL '!D:E,2,0)</f>
        <v>0</v>
      </c>
      <c r="S23" s="105" t="b">
        <v>0</v>
      </c>
      <c r="T23" s="168" t="e">
        <f>VLOOKUP(A23,'OFICIO '!A:J,10,0)</f>
        <v>#N/A</v>
      </c>
    </row>
    <row r="24" spans="1:20" s="48" customFormat="1">
      <c r="A24" s="99">
        <v>1477948</v>
      </c>
      <c r="B24" s="98" t="e">
        <f>VLOOKUP(A24,Export!A:N,14,0)</f>
        <v>#N/A</v>
      </c>
      <c r="C24" s="98" t="e">
        <f>VLOOKUP(A24,Export!A:P,16,0)</f>
        <v>#N/A</v>
      </c>
      <c r="D24" s="99" t="e">
        <f>VLOOKUP(A24,Export!A:H,8,0)</f>
        <v>#N/A</v>
      </c>
      <c r="E24" s="99" t="e">
        <f>VLOOKUP(A24,Export!A:I,9,0)</f>
        <v>#N/A</v>
      </c>
      <c r="F24" s="99" t="e">
        <f>VLOOKUP(A24,Export!A:AH,34,0)</f>
        <v>#N/A</v>
      </c>
      <c r="G24" s="100" t="s">
        <v>3617</v>
      </c>
      <c r="H24" s="99" t="e">
        <f>VLOOKUP(A24,Export!A:C,3,0)</f>
        <v>#N/A</v>
      </c>
      <c r="I24" s="99" t="e">
        <f>VLOOKUP(A24,Export!A:B,2,0)</f>
        <v>#N/A</v>
      </c>
      <c r="J24" s="165" t="e">
        <f>VLOOKUP(A24,Export!A:R,18,0)</f>
        <v>#N/A</v>
      </c>
      <c r="K24" s="165" t="e">
        <f>VLOOKUP(A24,Export!A:D,4,0)</f>
        <v>#N/A</v>
      </c>
      <c r="L24" s="101" t="e">
        <f t="shared" si="0"/>
        <v>#N/A</v>
      </c>
      <c r="M24" s="166">
        <v>46154</v>
      </c>
      <c r="N24" s="99" t="s">
        <v>3618</v>
      </c>
      <c r="O24" s="167"/>
      <c r="P24" s="103" t="e">
        <f t="shared" si="1"/>
        <v>#N/A</v>
      </c>
      <c r="Q24" s="86"/>
      <c r="R24" s="104">
        <f>+VLOOKUP(A24,'[1]ORIGINAL '!D:E,2,0)</f>
        <v>0</v>
      </c>
      <c r="S24" s="105" t="b">
        <v>0</v>
      </c>
      <c r="T24" s="168">
        <f>VLOOKUP(A24,'OFICIO '!A:J,10,0)</f>
        <v>45779</v>
      </c>
    </row>
    <row r="25" spans="1:20" s="48" customFormat="1">
      <c r="A25" s="99">
        <v>2936686</v>
      </c>
      <c r="B25" s="98">
        <f>VLOOKUP(A25,Export!A:N,14,0)</f>
        <v>13134455</v>
      </c>
      <c r="C25" s="98" t="str">
        <f>VLOOKUP(A25,Export!A:P,16,0)</f>
        <v>JOHANA ELIZABETH FUENTES VEJAR</v>
      </c>
      <c r="D25" s="99" t="str">
        <f>VLOOKUP(A25,Export!A:H,8,0)</f>
        <v>31-60</v>
      </c>
      <c r="E25" s="99" t="str">
        <f>VLOOKUP(A25,Export!A:I,9,0)</f>
        <v>31-60</v>
      </c>
      <c r="F25" s="99" t="str">
        <f>VLOOKUP(A25,Export!A:AH,34,0)</f>
        <v>CONTENIDO</v>
      </c>
      <c r="G25" s="100" t="s">
        <v>3617</v>
      </c>
      <c r="H25" s="99">
        <f>VLOOKUP(A25,Export!A:C,3,0)</f>
        <v>2</v>
      </c>
      <c r="I25" s="99">
        <f>VLOOKUP(A25,Export!A:B,2,0)</f>
        <v>35</v>
      </c>
      <c r="J25" s="165">
        <f>VLOOKUP(A25,Export!A:R,18,0)</f>
        <v>257.48700000000002</v>
      </c>
      <c r="K25" s="165">
        <f>VLOOKUP(A25,Export!A:D,4,0)</f>
        <v>6659468</v>
      </c>
      <c r="L25" s="101">
        <f t="shared" si="0"/>
        <v>514.97400000000005</v>
      </c>
      <c r="M25" s="166">
        <v>46157</v>
      </c>
      <c r="N25" s="99" t="s">
        <v>3618</v>
      </c>
      <c r="O25" s="167"/>
      <c r="P25" s="103">
        <f t="shared" si="1"/>
        <v>6659468</v>
      </c>
      <c r="Q25" s="86"/>
      <c r="R25" s="104">
        <f>+VLOOKUP(A25,'[1]ORIGINAL '!D:E,2,0)</f>
        <v>0</v>
      </c>
      <c r="S25" s="105" t="b">
        <v>0</v>
      </c>
      <c r="T25" s="168" t="e">
        <f>VLOOKUP(A25,'OFICIO '!A:J,10,0)</f>
        <v>#N/A</v>
      </c>
    </row>
    <row r="26" spans="1:20" s="48" customFormat="1">
      <c r="A26" s="99">
        <v>3251019</v>
      </c>
      <c r="B26" s="98">
        <f>VLOOKUP(A26,Export!A:N,14,0)</f>
        <v>25890131</v>
      </c>
      <c r="C26" s="98" t="str">
        <f>VLOOKUP(A26,Export!A:P,16,0)</f>
        <v>JOSE JORGE COLORADO RODRIGUEZ</v>
      </c>
      <c r="D26" s="99" t="str">
        <f>VLOOKUP(A26,Export!A:H,8,0)</f>
        <v>61-90</v>
      </c>
      <c r="E26" s="99" t="str">
        <f>VLOOKUP(A26,Export!A:I,9,0)</f>
        <v>61-90</v>
      </c>
      <c r="F26" s="99" t="str">
        <f>VLOOKUP(A26,Export!A:AH,34,0)</f>
        <v>BAJA90</v>
      </c>
      <c r="G26" s="100" t="s">
        <v>3617</v>
      </c>
      <c r="H26" s="99">
        <f>VLOOKUP(A26,Export!A:C,3,0)</f>
        <v>3</v>
      </c>
      <c r="I26" s="99">
        <f>VLOOKUP(A26,Export!A:B,2,0)</f>
        <v>71</v>
      </c>
      <c r="J26" s="165">
        <f>VLOOKUP(A26,Export!A:R,18,0)</f>
        <v>373.22</v>
      </c>
      <c r="K26" s="165">
        <f>VLOOKUP(A26,Export!A:D,4,0)</f>
        <v>9744091</v>
      </c>
      <c r="L26" s="101">
        <f t="shared" si="0"/>
        <v>1119.6600000000001</v>
      </c>
      <c r="M26" s="166">
        <v>46163</v>
      </c>
      <c r="N26" s="99" t="s">
        <v>3621</v>
      </c>
      <c r="O26" s="167"/>
      <c r="P26" s="103">
        <f t="shared" si="1"/>
        <v>0</v>
      </c>
      <c r="Q26" s="287"/>
      <c r="R26" s="104">
        <f>+VLOOKUP(A26,'[1]ORIGINAL '!D:E,2,0)</f>
        <v>0</v>
      </c>
      <c r="S26" s="105" t="b">
        <v>0</v>
      </c>
      <c r="T26" s="168" t="e">
        <f>VLOOKUP(A26,'OFICIO '!A:J,10,0)</f>
        <v>#N/A</v>
      </c>
    </row>
    <row r="27" spans="1:20" s="48" customFormat="1">
      <c r="A27" s="99">
        <v>2685964</v>
      </c>
      <c r="B27" s="98">
        <f>VLOOKUP(A27,Export!A:N,14,0)</f>
        <v>10401635</v>
      </c>
      <c r="C27" s="98" t="str">
        <f>VLOOKUP(A27,Export!A:P,16,0)</f>
        <v>MARÍA ANGÉLICA  GÓMEZ  GUZMÁN</v>
      </c>
      <c r="D27" s="99">
        <f>VLOOKUP(A27,Export!A:H,8,0)</f>
        <v>46052</v>
      </c>
      <c r="E27" s="99" t="str">
        <f>VLOOKUP(A27,Export!A:I,9,0)</f>
        <v>31-60</v>
      </c>
      <c r="F27" s="99" t="str">
        <f>VLOOKUP(A27,Export!A:AH,34,0)</f>
        <v>NO RECUPERADO</v>
      </c>
      <c r="G27" s="100" t="s">
        <v>3617</v>
      </c>
      <c r="H27" s="99">
        <f>VLOOKUP(A27,Export!A:C,3,0)</f>
        <v>2</v>
      </c>
      <c r="I27" s="99">
        <f>VLOOKUP(A27,Export!A:B,2,0)</f>
        <v>35</v>
      </c>
      <c r="J27" s="165">
        <f>VLOOKUP(A27,Export!A:R,18,0)</f>
        <v>354.05700000000002</v>
      </c>
      <c r="K27" s="165">
        <f>VLOOKUP(A27,Export!A:D,4,0)</f>
        <v>4554601</v>
      </c>
      <c r="L27" s="101">
        <f t="shared" si="0"/>
        <v>708.11400000000003</v>
      </c>
      <c r="M27" s="166">
        <v>46157</v>
      </c>
      <c r="N27" s="99" t="s">
        <v>3618</v>
      </c>
      <c r="O27" s="167"/>
      <c r="P27" s="103">
        <f t="shared" si="1"/>
        <v>4554601</v>
      </c>
      <c r="Q27" s="86"/>
      <c r="R27" s="104">
        <f>+VLOOKUP(A27,'[1]ORIGINAL '!D:E,2,0)</f>
        <v>0</v>
      </c>
      <c r="S27" s="105" t="b">
        <v>0</v>
      </c>
      <c r="T27" s="168" t="e">
        <f>VLOOKUP(A27,'OFICIO '!A:J,10,0)</f>
        <v>#N/A</v>
      </c>
    </row>
    <row r="28" spans="1:20" s="48" customFormat="1">
      <c r="A28" s="99">
        <v>3366045</v>
      </c>
      <c r="B28" s="98">
        <f>VLOOKUP(A28,Export!A:N,14,0)</f>
        <v>16254713</v>
      </c>
      <c r="C28" s="98" t="str">
        <f>VLOOKUP(A28,Export!A:P,16,0)</f>
        <v>ITALO JOSE SILVA SALAMANCA</v>
      </c>
      <c r="D28" s="99">
        <f>VLOOKUP(A28,Export!A:H,8,0)</f>
        <v>46052</v>
      </c>
      <c r="E28" s="99" t="str">
        <f>VLOOKUP(A28,Export!A:I,9,0)</f>
        <v>31-60</v>
      </c>
      <c r="F28" s="99" t="str">
        <f>VLOOKUP(A28,Export!A:AH,34,0)</f>
        <v>NO RECUPERADO</v>
      </c>
      <c r="G28" s="100" t="s">
        <v>3617</v>
      </c>
      <c r="H28" s="99">
        <v>1</v>
      </c>
      <c r="I28" s="99">
        <f>VLOOKUP(A28,Export!A:B,2,0)</f>
        <v>45</v>
      </c>
      <c r="J28" s="165">
        <f>VLOOKUP(A28,Export!A:R,18,0)</f>
        <v>193.34800000000001</v>
      </c>
      <c r="K28" s="165">
        <f>VLOOKUP(A28,Export!A:D,4,0)</f>
        <v>2044734</v>
      </c>
      <c r="L28" s="101">
        <f t="shared" si="0"/>
        <v>193.34800000000001</v>
      </c>
      <c r="M28" s="166">
        <v>46154</v>
      </c>
      <c r="N28" s="99" t="s">
        <v>3618</v>
      </c>
      <c r="O28" s="167"/>
      <c r="P28" s="103">
        <f t="shared" si="1"/>
        <v>2044734</v>
      </c>
      <c r="Q28" s="86"/>
      <c r="R28" s="104">
        <f>+VLOOKUP(A28,'[1]ORIGINAL '!D:E,2,0)</f>
        <v>0</v>
      </c>
      <c r="S28" s="105" t="b">
        <v>0</v>
      </c>
      <c r="T28" s="168" t="e">
        <f>VLOOKUP(A28,'OFICIO '!A:J,10,0)</f>
        <v>#N/A</v>
      </c>
    </row>
    <row r="29" spans="1:20" s="48" customFormat="1">
      <c r="A29" s="99">
        <v>2362312</v>
      </c>
      <c r="B29" s="98" t="e">
        <f>VLOOKUP(A29,Export!A:N,14,0)</f>
        <v>#N/A</v>
      </c>
      <c r="C29" s="98" t="e">
        <f>VLOOKUP(A29,Export!A:P,16,0)</f>
        <v>#N/A</v>
      </c>
      <c r="D29" s="99" t="e">
        <f>VLOOKUP(A29,Export!A:H,8,0)</f>
        <v>#N/A</v>
      </c>
      <c r="E29" s="99" t="e">
        <f>VLOOKUP(A29,Export!A:I,9,0)</f>
        <v>#N/A</v>
      </c>
      <c r="F29" s="99" t="e">
        <f>VLOOKUP(A29,Export!A:AH,34,0)</f>
        <v>#N/A</v>
      </c>
      <c r="G29" s="100" t="s">
        <v>3617</v>
      </c>
      <c r="H29" s="99">
        <v>2</v>
      </c>
      <c r="I29" s="99" t="e">
        <f>VLOOKUP(A29,Export!A:B,2,0)</f>
        <v>#N/A</v>
      </c>
      <c r="J29" s="165" t="e">
        <f>VLOOKUP(A29,Export!A:R,18,0)</f>
        <v>#N/A</v>
      </c>
      <c r="K29" s="165" t="e">
        <f>VLOOKUP(A29,Export!A:D,4,0)</f>
        <v>#N/A</v>
      </c>
      <c r="L29" s="101">
        <v>492246</v>
      </c>
      <c r="M29" s="166">
        <v>46149</v>
      </c>
      <c r="N29" s="99" t="s">
        <v>3618</v>
      </c>
      <c r="O29" s="167"/>
      <c r="P29" s="103" t="e">
        <f t="shared" si="1"/>
        <v>#N/A</v>
      </c>
      <c r="Q29" s="86"/>
      <c r="R29" s="104" t="e">
        <f>+VLOOKUP(A29,'[1]ORIGINAL '!D:E,2,0)</f>
        <v>#N/A</v>
      </c>
      <c r="S29" s="105" t="b">
        <v>0</v>
      </c>
      <c r="T29" s="168" t="e">
        <f>VLOOKUP(A29,'OFICIO '!A:J,10,0)</f>
        <v>#N/A</v>
      </c>
    </row>
    <row r="30" spans="1:20" s="48" customFormat="1">
      <c r="A30" s="99">
        <v>3159040</v>
      </c>
      <c r="B30" s="98">
        <f>VLOOKUP(A30,Export!A:N,14,0)</f>
        <v>13872350</v>
      </c>
      <c r="C30" s="98" t="str">
        <f>VLOOKUP(A30,Export!A:P,16,0)</f>
        <v>ALEJANDRO PATRICIO NIETO SALFATE</v>
      </c>
      <c r="D30" s="99" t="str">
        <f>VLOOKUP(A30,Export!A:H,8,0)</f>
        <v>31-60</v>
      </c>
      <c r="E30" s="99" t="str">
        <f>VLOOKUP(A30,Export!A:I,9,0)</f>
        <v>31-60</v>
      </c>
      <c r="F30" s="99" t="str">
        <f>VLOOKUP(A30,Export!A:AH,34,0)</f>
        <v>CONTENIDO</v>
      </c>
      <c r="G30" s="100" t="s">
        <v>3617</v>
      </c>
      <c r="H30" s="99">
        <f>VLOOKUP(A30,Export!A:C,3,0)</f>
        <v>2</v>
      </c>
      <c r="I30" s="99">
        <f>VLOOKUP(A30,Export!A:B,2,0)</f>
        <v>34</v>
      </c>
      <c r="J30" s="165">
        <f>VLOOKUP(A30,Export!A:R,18,0)</f>
        <v>510.56700000000001</v>
      </c>
      <c r="K30" s="165">
        <f>VLOOKUP(A30,Export!A:D,4,0)</f>
        <v>15663717</v>
      </c>
      <c r="L30" s="101">
        <f t="shared" ref="L30:L53" si="2">IF(G30="PAGO CUOTAS",H30*J30,K30)</f>
        <v>1021.134</v>
      </c>
      <c r="M30" s="166">
        <v>46150</v>
      </c>
      <c r="N30" s="99" t="s">
        <v>3618</v>
      </c>
      <c r="O30" s="167">
        <v>46150</v>
      </c>
      <c r="P30" s="103">
        <f t="shared" si="1"/>
        <v>15663717</v>
      </c>
      <c r="Q30" s="86" t="s">
        <v>4078</v>
      </c>
      <c r="R30" s="104">
        <f>+VLOOKUP(A30,'[1]ORIGINAL '!D:E,2,0)</f>
        <v>0</v>
      </c>
      <c r="S30" s="105" t="b">
        <v>0</v>
      </c>
      <c r="T30" s="168" t="e">
        <f>VLOOKUP(A30,'OFICIO '!A:J,10,0)</f>
        <v>#N/A</v>
      </c>
    </row>
    <row r="31" spans="1:20" s="338" customFormat="1">
      <c r="A31" s="326">
        <v>2193307</v>
      </c>
      <c r="B31" s="327" t="e">
        <f>VLOOKUP(A31,Export!A:N,14,0)</f>
        <v>#N/A</v>
      </c>
      <c r="C31" s="327" t="e">
        <f>VLOOKUP(A31,Export!A:P,16,0)</f>
        <v>#N/A</v>
      </c>
      <c r="D31" s="326" t="e">
        <f>VLOOKUP(A31,Export!A:H,8,0)</f>
        <v>#N/A</v>
      </c>
      <c r="E31" s="326" t="e">
        <f>VLOOKUP(A31,Export!A:I,9,0)</f>
        <v>#N/A</v>
      </c>
      <c r="F31" s="326" t="e">
        <f>VLOOKUP(A31,Export!A:AH,34,0)</f>
        <v>#N/A</v>
      </c>
      <c r="G31" s="328" t="s">
        <v>3625</v>
      </c>
      <c r="H31" s="326" t="e">
        <f>VLOOKUP(A31,Export!A:C,3,0)</f>
        <v>#N/A</v>
      </c>
      <c r="I31" s="326" t="e">
        <f>VLOOKUP(A31,Export!A:B,2,0)</f>
        <v>#N/A</v>
      </c>
      <c r="J31" s="329" t="e">
        <f>VLOOKUP(A31,Export!A:R,18,0)</f>
        <v>#N/A</v>
      </c>
      <c r="K31" s="329" t="e">
        <f>VLOOKUP(A31,Export!A:D,4,0)</f>
        <v>#N/A</v>
      </c>
      <c r="L31" s="330" t="e">
        <f t="shared" si="2"/>
        <v>#N/A</v>
      </c>
      <c r="M31" s="331">
        <v>46171</v>
      </c>
      <c r="N31" s="326" t="s">
        <v>3621</v>
      </c>
      <c r="O31" s="332"/>
      <c r="P31" s="333">
        <f t="shared" si="1"/>
        <v>0</v>
      </c>
      <c r="Q31" s="334"/>
      <c r="R31" s="335">
        <f>+VLOOKUP(A31,'[1]ORIGINAL '!D:E,2,0)</f>
        <v>0</v>
      </c>
      <c r="S31" s="336" t="b">
        <v>0</v>
      </c>
      <c r="T31" s="337" t="e">
        <f>VLOOKUP(A31,'OFICIO '!A:J,10,0)</f>
        <v>#N/A</v>
      </c>
    </row>
    <row r="32" spans="1:20" s="48" customFormat="1">
      <c r="A32" s="99">
        <v>2129309</v>
      </c>
      <c r="B32" s="98">
        <f>VLOOKUP(A32,Export!A:N,14,0)</f>
        <v>17927470</v>
      </c>
      <c r="C32" s="98" t="str">
        <f>VLOOKUP(A32,Export!A:P,16,0)</f>
        <v>MATIAS NICOLAS ACHARAN LEVIO</v>
      </c>
      <c r="D32" s="99" t="str">
        <f>VLOOKUP(A32,Export!A:H,8,0)</f>
        <v>31-60</v>
      </c>
      <c r="E32" s="99" t="str">
        <f>VLOOKUP(A32,Export!A:I,9,0)</f>
        <v>61-90</v>
      </c>
      <c r="F32" s="99" t="str">
        <f>VLOOKUP(A32,Export!A:AH,34,0)</f>
        <v>NO RECUPERADO</v>
      </c>
      <c r="G32" s="100" t="s">
        <v>3617</v>
      </c>
      <c r="H32" s="99">
        <v>3</v>
      </c>
      <c r="I32" s="99">
        <f>VLOOKUP(A32,Export!A:B,2,0)</f>
        <v>76</v>
      </c>
      <c r="J32" s="165">
        <f>VLOOKUP(A32,Export!A:R,18,0)</f>
        <v>284.09500000000003</v>
      </c>
      <c r="K32" s="165">
        <f>VLOOKUP(A32,Export!A:D,4,0)</f>
        <v>4460019</v>
      </c>
      <c r="L32" s="101">
        <f t="shared" si="2"/>
        <v>852.28500000000008</v>
      </c>
      <c r="M32" s="166">
        <v>46172</v>
      </c>
      <c r="N32" s="99" t="s">
        <v>3618</v>
      </c>
      <c r="O32" s="167"/>
      <c r="P32" s="103">
        <f t="shared" si="1"/>
        <v>4460019</v>
      </c>
      <c r="Q32" s="86"/>
      <c r="R32" s="104" t="e">
        <f>+VLOOKUP(A32,'[1]ORIGINAL '!D:E,2,0)</f>
        <v>#N/A</v>
      </c>
      <c r="S32" s="105" t="b">
        <v>0</v>
      </c>
      <c r="T32" s="168" t="e">
        <f>VLOOKUP(A32,'OFICIO '!A:J,10,0)</f>
        <v>#N/A</v>
      </c>
    </row>
    <row r="33" spans="1:20" s="48" customFormat="1">
      <c r="A33" s="99">
        <v>2820080</v>
      </c>
      <c r="B33" s="98">
        <f>VLOOKUP(A33,Export!A:N,14,0)</f>
        <v>14570180</v>
      </c>
      <c r="C33" s="98" t="str">
        <f>VLOOKUP(A33,Export!A:P,16,0)</f>
        <v>HIFFYT MARLENE AGUILERA  PEREZ</v>
      </c>
      <c r="D33" s="99" t="str">
        <f>VLOOKUP(A33,Export!A:H,8,0)</f>
        <v>61-90</v>
      </c>
      <c r="E33" s="99" t="str">
        <f>VLOOKUP(A33,Export!A:I,9,0)</f>
        <v>31-60</v>
      </c>
      <c r="F33" s="99" t="str">
        <f>VLOOKUP(A33,Export!A:AH,34,0)</f>
        <v>BAJA90</v>
      </c>
      <c r="G33" s="100" t="s">
        <v>3617</v>
      </c>
      <c r="H33" s="99">
        <f>VLOOKUP(A33,Export!A:C,3,0)</f>
        <v>2</v>
      </c>
      <c r="I33" s="99">
        <f>VLOOKUP(A33,Export!A:B,2,0)</f>
        <v>45</v>
      </c>
      <c r="J33" s="165">
        <f>VLOOKUP(A33,Export!A:R,18,0)</f>
        <v>360.517</v>
      </c>
      <c r="K33" s="165">
        <f>VLOOKUP(A33,Export!A:D,4,0)</f>
        <v>3173278</v>
      </c>
      <c r="L33" s="101">
        <f t="shared" si="2"/>
        <v>721.03399999999999</v>
      </c>
      <c r="M33" s="166">
        <v>45795</v>
      </c>
      <c r="N33" s="99" t="s">
        <v>3618</v>
      </c>
      <c r="O33" s="167"/>
      <c r="P33" s="103">
        <f t="shared" si="1"/>
        <v>3173278</v>
      </c>
      <c r="Q33" s="86"/>
      <c r="R33" s="104" t="e">
        <f>+VLOOKUP(A33,'[1]ORIGINAL '!D:E,2,0)</f>
        <v>#N/A</v>
      </c>
      <c r="S33" s="105" t="b">
        <v>0</v>
      </c>
      <c r="T33" s="168" t="e">
        <f>VLOOKUP(A33,'OFICIO '!A:J,10,0)</f>
        <v>#N/A</v>
      </c>
    </row>
    <row r="34" spans="1:20" s="48" customFormat="1">
      <c r="A34" s="99">
        <v>2881093</v>
      </c>
      <c r="B34" s="98">
        <f>VLOOKUP(A34,Export!A:N,14,0)</f>
        <v>13106136</v>
      </c>
      <c r="C34" s="98" t="str">
        <f>VLOOKUP(A34,Export!A:P,16,0)</f>
        <v>LUIS ALEJANDRO ESPINOZA ARABIA</v>
      </c>
      <c r="D34" s="99" t="str">
        <f>VLOOKUP(A34,Export!A:H,8,0)</f>
        <v>31-60</v>
      </c>
      <c r="E34" s="99" t="str">
        <f>VLOOKUP(A34,Export!A:I,9,0)</f>
        <v>61-90</v>
      </c>
      <c r="F34" s="99" t="str">
        <f>VLOOKUP(A34,Export!A:AH,34,0)</f>
        <v>NO RECUPERADO</v>
      </c>
      <c r="G34" s="100" t="s">
        <v>3617</v>
      </c>
      <c r="H34" s="99">
        <f>VLOOKUP(A34,Export!A:C,3,0)</f>
        <v>3</v>
      </c>
      <c r="I34" s="99">
        <f>VLOOKUP(A34,Export!A:B,2,0)</f>
        <v>61</v>
      </c>
      <c r="J34" s="165">
        <f>VLOOKUP(A34,Export!A:R,18,0)</f>
        <v>223.83</v>
      </c>
      <c r="K34" s="165">
        <f>VLOOKUP(A34,Export!A:D,4,0)</f>
        <v>4694818</v>
      </c>
      <c r="L34" s="101">
        <f t="shared" si="2"/>
        <v>671.49</v>
      </c>
      <c r="M34" s="166">
        <v>46171</v>
      </c>
      <c r="N34" s="99" t="s">
        <v>4079</v>
      </c>
      <c r="O34" s="167"/>
      <c r="P34" s="103">
        <f t="shared" si="1"/>
        <v>0</v>
      </c>
      <c r="Q34" s="86"/>
      <c r="R34" s="104" t="e">
        <f>+VLOOKUP(A34,'[1]ORIGINAL '!D:E,2,0)</f>
        <v>#N/A</v>
      </c>
      <c r="S34" s="105" t="b">
        <v>0</v>
      </c>
      <c r="T34" s="168" t="e">
        <f>VLOOKUP(A34,'OFICIO '!A:J,10,0)</f>
        <v>#N/A</v>
      </c>
    </row>
    <row r="35" spans="1:20" s="363" customFormat="1">
      <c r="A35" s="351">
        <v>3096854</v>
      </c>
      <c r="B35" s="352" t="e">
        <f>VLOOKUP(A35,Export!A:N,14,0)</f>
        <v>#N/A</v>
      </c>
      <c r="C35" s="352" t="e">
        <f>VLOOKUP(A35,Export!A:P,16,0)</f>
        <v>#N/A</v>
      </c>
      <c r="D35" s="351" t="e">
        <f>VLOOKUP(A35,Export!A:H,8,0)</f>
        <v>#N/A</v>
      </c>
      <c r="E35" s="351" t="e">
        <f>VLOOKUP(A35,Export!A:I,9,0)</f>
        <v>#N/A</v>
      </c>
      <c r="F35" s="351" t="e">
        <f>VLOOKUP(A35,Export!A:AH,34,0)</f>
        <v>#N/A</v>
      </c>
      <c r="G35" s="353" t="s">
        <v>3617</v>
      </c>
      <c r="H35" s="351">
        <v>3</v>
      </c>
      <c r="I35" s="351" t="e">
        <f>VLOOKUP(A35,Export!A:B,2,0)</f>
        <v>#N/A</v>
      </c>
      <c r="J35" s="354" t="e">
        <f>VLOOKUP(A35,Export!A:R,18,0)</f>
        <v>#N/A</v>
      </c>
      <c r="K35" s="354" t="e">
        <f>VLOOKUP(A35,Export!A:D,4,0)</f>
        <v>#N/A</v>
      </c>
      <c r="L35" s="355" t="e">
        <f t="shared" si="2"/>
        <v>#N/A</v>
      </c>
      <c r="M35" s="356">
        <v>46171</v>
      </c>
      <c r="N35" s="351" t="s">
        <v>3618</v>
      </c>
      <c r="O35" s="357"/>
      <c r="P35" s="358" t="e">
        <f t="shared" si="1"/>
        <v>#N/A</v>
      </c>
      <c r="Q35" s="359"/>
      <c r="R35" s="360" t="e">
        <f>+VLOOKUP(A35,'[1]ORIGINAL '!D:E,2,0)</f>
        <v>#N/A</v>
      </c>
      <c r="S35" s="361" t="b">
        <v>0</v>
      </c>
      <c r="T35" s="362" t="e">
        <f>VLOOKUP(A35,'OFICIO '!A:J,10,0)</f>
        <v>#N/A</v>
      </c>
    </row>
    <row r="36" spans="1:20" s="48" customFormat="1">
      <c r="A36" s="99">
        <v>1909441</v>
      </c>
      <c r="B36" s="98" t="e">
        <f>VLOOKUP(A36,Export!A:N,14,0)</f>
        <v>#N/A</v>
      </c>
      <c r="C36" s="98" t="e">
        <f>VLOOKUP(A36,Export!A:P,16,0)</f>
        <v>#N/A</v>
      </c>
      <c r="D36" s="99" t="e">
        <f>VLOOKUP(A36,Export!A:H,8,0)</f>
        <v>#N/A</v>
      </c>
      <c r="E36" s="99" t="e">
        <f>VLOOKUP(A36,Export!A:I,9,0)</f>
        <v>#N/A</v>
      </c>
      <c r="F36" s="99" t="e">
        <f>VLOOKUP(A36,Export!A:AH,34,0)</f>
        <v>#N/A</v>
      </c>
      <c r="G36" s="100" t="s">
        <v>3617</v>
      </c>
      <c r="H36" s="99" t="e">
        <f>VLOOKUP(A36,Export!A:C,3,0)</f>
        <v>#N/A</v>
      </c>
      <c r="I36" s="99" t="e">
        <f>VLOOKUP(A36,Export!A:B,2,0)</f>
        <v>#N/A</v>
      </c>
      <c r="J36" s="165" t="e">
        <f>VLOOKUP(A36,Export!A:R,18,0)</f>
        <v>#N/A</v>
      </c>
      <c r="K36" s="165" t="e">
        <f>VLOOKUP(A36,Export!A:D,4,0)</f>
        <v>#N/A</v>
      </c>
      <c r="L36" s="101" t="e">
        <f t="shared" si="2"/>
        <v>#N/A</v>
      </c>
      <c r="M36" s="166">
        <v>46154</v>
      </c>
      <c r="N36" s="99" t="s">
        <v>3618</v>
      </c>
      <c r="O36" s="167"/>
      <c r="P36" s="103" t="e">
        <f t="shared" si="1"/>
        <v>#N/A</v>
      </c>
      <c r="Q36" s="86"/>
      <c r="R36" s="104">
        <f>+VLOOKUP(A36,'[1]ORIGINAL '!D:E,2,0)</f>
        <v>0</v>
      </c>
      <c r="S36" s="105" t="b">
        <v>0</v>
      </c>
      <c r="T36" s="168" t="e">
        <f>VLOOKUP(A36,'OFICIO '!A:J,10,0)</f>
        <v>#N/A</v>
      </c>
    </row>
    <row r="37" spans="1:20" s="48" customFormat="1">
      <c r="A37" s="99">
        <v>2115135</v>
      </c>
      <c r="B37" s="98">
        <f>VLOOKUP(A37,Export!A:N,14,0)</f>
        <v>13000431</v>
      </c>
      <c r="C37" s="98" t="str">
        <f>VLOOKUP(A37,Export!A:P,16,0)</f>
        <v>BORIS EDGARDO YAÑEZ NAHUELHUAIQUE</v>
      </c>
      <c r="D37" s="99" t="str">
        <f>VLOOKUP(A37,Export!A:H,8,0)</f>
        <v>31-60</v>
      </c>
      <c r="E37" s="99" t="str">
        <f>VLOOKUP(A37,Export!A:I,9,0)</f>
        <v>61-90</v>
      </c>
      <c r="F37" s="99" t="str">
        <f>VLOOKUP(A37,Export!A:AH,34,0)</f>
        <v>NO RECUPERADO</v>
      </c>
      <c r="G37" s="100" t="s">
        <v>3617</v>
      </c>
      <c r="H37" s="99">
        <v>2</v>
      </c>
      <c r="I37" s="99">
        <f>VLOOKUP(A37,Export!A:B,2,0)</f>
        <v>80</v>
      </c>
      <c r="J37" s="165">
        <f>VLOOKUP(A37,Export!A:R,18,0)</f>
        <v>279.25799999999998</v>
      </c>
      <c r="K37" s="165">
        <f>VLOOKUP(A37,Export!A:D,4,0)</f>
        <v>4141885</v>
      </c>
      <c r="L37" s="101">
        <f t="shared" si="2"/>
        <v>558.51599999999996</v>
      </c>
      <c r="M37" s="166">
        <v>46157</v>
      </c>
      <c r="N37" s="99" t="s">
        <v>3618</v>
      </c>
      <c r="O37" s="167"/>
      <c r="P37" s="103">
        <f t="shared" si="1"/>
        <v>4141885</v>
      </c>
      <c r="Q37" s="86"/>
      <c r="R37" s="104">
        <f>+VLOOKUP(A37,'[1]ORIGINAL '!D:E,2,0)</f>
        <v>0</v>
      </c>
      <c r="S37" s="105" t="b">
        <v>0</v>
      </c>
      <c r="T37" s="168" t="e">
        <f>VLOOKUP(A37,'OFICIO '!A:J,10,0)</f>
        <v>#N/A</v>
      </c>
    </row>
    <row r="38" spans="1:20" s="48" customFormat="1">
      <c r="A38" s="99">
        <v>2783446</v>
      </c>
      <c r="B38" s="98">
        <f>VLOOKUP(A38,Export!A:N,14,0)</f>
        <v>77097597</v>
      </c>
      <c r="C38" s="98" t="str">
        <f>VLOOKUP(A38,Export!A:P,16,0)</f>
        <v>DON RAMIRO SPA</v>
      </c>
      <c r="D38" s="99" t="str">
        <f>VLOOKUP(A38,Export!A:H,8,0)</f>
        <v>31-60</v>
      </c>
      <c r="E38" s="99" t="str">
        <f>VLOOKUP(A38,Export!A:I,9,0)</f>
        <v>31-60</v>
      </c>
      <c r="F38" s="99" t="str">
        <f>VLOOKUP(A38,Export!A:AH,34,0)</f>
        <v>CONTENIDO</v>
      </c>
      <c r="G38" s="100" t="s">
        <v>3617</v>
      </c>
      <c r="H38" s="99">
        <f>VLOOKUP(A38,Export!A:C,3,0)</f>
        <v>2</v>
      </c>
      <c r="I38" s="99">
        <f>VLOOKUP(A38,Export!A:B,2,0)</f>
        <v>45</v>
      </c>
      <c r="J38" s="165">
        <f>VLOOKUP(A38,Export!A:R,18,0)</f>
        <v>460.29700000000003</v>
      </c>
      <c r="K38" s="165">
        <f>VLOOKUP(A38,Export!A:D,4,0)</f>
        <v>7182434</v>
      </c>
      <c r="L38" s="101">
        <f t="shared" si="2"/>
        <v>920.59400000000005</v>
      </c>
      <c r="M38" s="166">
        <v>46155</v>
      </c>
      <c r="N38" s="99" t="s">
        <v>3618</v>
      </c>
      <c r="O38" s="167"/>
      <c r="P38" s="103">
        <f t="shared" si="1"/>
        <v>7182434</v>
      </c>
      <c r="Q38" s="86"/>
      <c r="R38" s="104">
        <f>+VLOOKUP(A38,'[1]ORIGINAL '!D:E,2,0)</f>
        <v>0</v>
      </c>
      <c r="S38" s="105" t="b">
        <v>0</v>
      </c>
      <c r="T38" s="168" t="e">
        <f>VLOOKUP(A38,'OFICIO '!A:J,10,0)</f>
        <v>#N/A</v>
      </c>
    </row>
    <row r="39" spans="1:20" s="48" customFormat="1">
      <c r="A39" s="99">
        <v>2472050</v>
      </c>
      <c r="B39" s="98">
        <f>VLOOKUP(A39,Export!A:N,14,0)</f>
        <v>11647024</v>
      </c>
      <c r="C39" s="98" t="str">
        <f>VLOOKUP(A39,Export!A:P,16,0)</f>
        <v>JOHANNA LUISA CERDA ROJAS</v>
      </c>
      <c r="D39" s="99" t="str">
        <f>VLOOKUP(A39,Export!A:H,8,0)</f>
        <v>121-150</v>
      </c>
      <c r="E39" s="99" t="str">
        <f>VLOOKUP(A39,Export!A:I,9,0)</f>
        <v>151-180</v>
      </c>
      <c r="F39" s="99" t="str">
        <f>VLOOKUP(A39,Export!A:AH,34,0)</f>
        <v>NO RECUPERADO</v>
      </c>
      <c r="G39" s="100" t="s">
        <v>3617</v>
      </c>
      <c r="H39" s="99">
        <v>2</v>
      </c>
      <c r="I39" s="99">
        <f>VLOOKUP(A39,Export!A:B,2,0)</f>
        <v>169</v>
      </c>
      <c r="J39" s="165">
        <f>VLOOKUP(A39,Export!A:R,18,0)</f>
        <v>224.93</v>
      </c>
      <c r="K39" s="165">
        <f>VLOOKUP(A39,Export!A:D,4,0)</f>
        <v>2840554</v>
      </c>
      <c r="L39" s="101">
        <f t="shared" si="2"/>
        <v>449.86</v>
      </c>
      <c r="M39" s="166">
        <v>46171</v>
      </c>
      <c r="N39" s="99" t="s">
        <v>3621</v>
      </c>
      <c r="O39" s="167"/>
      <c r="P39" s="103">
        <f t="shared" si="1"/>
        <v>0</v>
      </c>
      <c r="Q39" s="86"/>
      <c r="R39" s="104">
        <f>+VLOOKUP(A39,'[1]ORIGINAL '!D:E,2,0)</f>
        <v>0</v>
      </c>
      <c r="S39" s="105" t="b">
        <v>0</v>
      </c>
      <c r="T39" s="168" t="e">
        <f>VLOOKUP(A39,'OFICIO '!A:J,10,0)</f>
        <v>#N/A</v>
      </c>
    </row>
    <row r="40" spans="1:20" s="48" customFormat="1">
      <c r="A40" s="99">
        <v>3322707</v>
      </c>
      <c r="B40" s="98" t="e">
        <f>VLOOKUP(A40,Export!A:N,14,0)</f>
        <v>#N/A</v>
      </c>
      <c r="C40" s="98" t="e">
        <f>VLOOKUP(A40,Export!A:P,16,0)</f>
        <v>#N/A</v>
      </c>
      <c r="D40" s="99" t="e">
        <f>VLOOKUP(A40,Export!A:H,8,0)</f>
        <v>#N/A</v>
      </c>
      <c r="E40" s="99" t="e">
        <f>VLOOKUP(A40,Export!A:I,9,0)</f>
        <v>#N/A</v>
      </c>
      <c r="F40" s="99" t="e">
        <f>VLOOKUP(A40,Export!A:AH,34,0)</f>
        <v>#N/A</v>
      </c>
      <c r="G40" s="100" t="s">
        <v>3617</v>
      </c>
      <c r="H40" s="99">
        <v>7</v>
      </c>
      <c r="I40" s="99" t="e">
        <f>VLOOKUP(A40,Export!A:B,2,0)</f>
        <v>#N/A</v>
      </c>
      <c r="J40" s="165" t="e">
        <f>VLOOKUP(A40,Export!A:R,18,0)</f>
        <v>#N/A</v>
      </c>
      <c r="K40" s="165" t="e">
        <f>VLOOKUP(A40,Export!A:D,4,0)</f>
        <v>#N/A</v>
      </c>
      <c r="L40" s="101" t="e">
        <f t="shared" si="2"/>
        <v>#N/A</v>
      </c>
      <c r="M40" s="166">
        <v>46153</v>
      </c>
      <c r="N40" s="99" t="s">
        <v>3618</v>
      </c>
      <c r="O40" s="167"/>
      <c r="P40" s="103" t="e">
        <f t="shared" si="1"/>
        <v>#N/A</v>
      </c>
      <c r="Q40" s="86"/>
      <c r="R40" s="104">
        <f>+VLOOKUP(A40,'[1]ORIGINAL '!D:E,2,0)</f>
        <v>0</v>
      </c>
      <c r="S40" s="105" t="b">
        <v>0</v>
      </c>
      <c r="T40" s="168" t="e">
        <f>VLOOKUP(A40,'OFICIO '!A:J,10,0)</f>
        <v>#N/A</v>
      </c>
    </row>
    <row r="41" spans="1:20" s="48" customFormat="1">
      <c r="A41" s="99">
        <v>2606899</v>
      </c>
      <c r="B41" s="98" t="e">
        <f>VLOOKUP(A41,Export!A:N,14,0)</f>
        <v>#N/A</v>
      </c>
      <c r="C41" s="98" t="e">
        <f>VLOOKUP(A41,Export!A:P,16,0)</f>
        <v>#N/A</v>
      </c>
      <c r="D41" s="99" t="e">
        <f>VLOOKUP(A41,Export!A:H,8,0)</f>
        <v>#N/A</v>
      </c>
      <c r="E41" s="99" t="e">
        <f>VLOOKUP(A41,Export!A:I,9,0)</f>
        <v>#N/A</v>
      </c>
      <c r="F41" s="99" t="e">
        <f>VLOOKUP(A41,Export!A:AH,34,0)</f>
        <v>#N/A</v>
      </c>
      <c r="G41" s="100" t="s">
        <v>3627</v>
      </c>
      <c r="H41" s="99" t="e">
        <f>VLOOKUP(A41,Export!A:C,3,0)</f>
        <v>#N/A</v>
      </c>
      <c r="I41" s="99" t="e">
        <f>VLOOKUP(A41,Export!A:B,2,0)</f>
        <v>#N/A</v>
      </c>
      <c r="J41" s="165" t="e">
        <f>VLOOKUP(A41,Export!A:R,18,0)</f>
        <v>#N/A</v>
      </c>
      <c r="K41" s="165" t="e">
        <f>VLOOKUP(A41,Export!A:D,4,0)</f>
        <v>#N/A</v>
      </c>
      <c r="L41" s="101" t="e">
        <f t="shared" si="2"/>
        <v>#N/A</v>
      </c>
      <c r="M41" s="166"/>
      <c r="N41" s="99" t="s">
        <v>3618</v>
      </c>
      <c r="O41" s="167"/>
      <c r="P41" s="103" t="e">
        <f t="shared" ref="P41:P60" si="3">+SUMIF(N41,"PAGADO",K41)</f>
        <v>#N/A</v>
      </c>
      <c r="Q41" s="86"/>
      <c r="R41" s="104">
        <f>+VLOOKUP(A41,'[1]ORIGINAL '!D:E,2,0)</f>
        <v>0</v>
      </c>
      <c r="S41" s="105" t="b">
        <v>0</v>
      </c>
      <c r="T41" s="168" t="e">
        <f>VLOOKUP(A41,'OFICIO '!A:J,10,0)</f>
        <v>#N/A</v>
      </c>
    </row>
    <row r="42" spans="1:20" s="48" customFormat="1">
      <c r="A42" s="99">
        <v>1899059</v>
      </c>
      <c r="B42" s="98" t="e">
        <f>VLOOKUP(A42,Export!A:N,14,0)</f>
        <v>#N/A</v>
      </c>
      <c r="C42" s="98" t="e">
        <f>VLOOKUP(A42,Export!A:P,16,0)</f>
        <v>#N/A</v>
      </c>
      <c r="D42" s="99" t="e">
        <f>VLOOKUP(A42,Export!A:H,8,0)</f>
        <v>#N/A</v>
      </c>
      <c r="E42" s="99" t="e">
        <f>VLOOKUP(A42,Export!A:I,9,0)</f>
        <v>#N/A</v>
      </c>
      <c r="F42" s="99" t="e">
        <f>VLOOKUP(A42,Export!A:AH,34,0)</f>
        <v>#N/A</v>
      </c>
      <c r="G42" s="100" t="s">
        <v>3627</v>
      </c>
      <c r="H42" s="99" t="e">
        <f>VLOOKUP(A42,Export!A:C,3,0)</f>
        <v>#N/A</v>
      </c>
      <c r="I42" s="99" t="e">
        <f>VLOOKUP(A42,Export!A:B,2,0)</f>
        <v>#N/A</v>
      </c>
      <c r="J42" s="165" t="e">
        <f>VLOOKUP(A42,Export!A:R,18,0)</f>
        <v>#N/A</v>
      </c>
      <c r="K42" s="165" t="e">
        <f>VLOOKUP(A42,Export!A:D,4,0)</f>
        <v>#N/A</v>
      </c>
      <c r="L42" s="101" t="e">
        <f t="shared" si="2"/>
        <v>#N/A</v>
      </c>
      <c r="M42" s="166"/>
      <c r="N42" s="99" t="s">
        <v>3618</v>
      </c>
      <c r="O42" s="167"/>
      <c r="P42" s="103" t="e">
        <f t="shared" si="3"/>
        <v>#N/A</v>
      </c>
      <c r="Q42" s="86"/>
      <c r="R42" s="104">
        <f>+VLOOKUP(A42,'[1]ORIGINAL '!D:E,2,0)</f>
        <v>0</v>
      </c>
      <c r="S42" s="105" t="b">
        <v>0</v>
      </c>
      <c r="T42" s="168" t="e">
        <f>VLOOKUP(A42,'OFICIO '!A:J,10,0)</f>
        <v>#N/A</v>
      </c>
    </row>
    <row r="43" spans="1:20" s="338" customFormat="1">
      <c r="A43" s="326">
        <v>3452655</v>
      </c>
      <c r="B43" s="327">
        <f>VLOOKUP(A43,Export!A:N,14,0)</f>
        <v>18047588</v>
      </c>
      <c r="C43" s="327" t="str">
        <f>VLOOKUP(A43,Export!A:P,16,0)</f>
        <v>SIMÓN YOEL FREIRE RAMÍREZ</v>
      </c>
      <c r="D43" s="326" t="str">
        <f>VLOOKUP(A43,Export!A:H,8,0)</f>
        <v>301-330</v>
      </c>
      <c r="E43" s="326" t="str">
        <f>VLOOKUP(A43,Export!A:I,9,0)</f>
        <v>331-360</v>
      </c>
      <c r="F43" s="326" t="str">
        <f>VLOOKUP(A43,Export!A:AH,34,0)</f>
        <v>NO RECUPERADO</v>
      </c>
      <c r="G43" s="328" t="s">
        <v>87</v>
      </c>
      <c r="H43" s="326">
        <f>VLOOKUP(A43,Export!A:C,3,0)</f>
        <v>3</v>
      </c>
      <c r="I43" s="326">
        <f>VLOOKUP(A43,Export!A:B,2,0)</f>
        <v>347</v>
      </c>
      <c r="J43" s="329">
        <f>VLOOKUP(A43,Export!A:R,18,0)</f>
        <v>266.50900000000001</v>
      </c>
      <c r="K43" s="329">
        <f>VLOOKUP(A43,Export!A:D,4,0)</f>
        <v>7668715</v>
      </c>
      <c r="L43" s="330">
        <f t="shared" si="2"/>
        <v>7668715</v>
      </c>
      <c r="M43" s="331"/>
      <c r="N43" s="326"/>
      <c r="O43" s="332"/>
      <c r="P43" s="333">
        <f t="shared" si="3"/>
        <v>0</v>
      </c>
      <c r="Q43" s="339"/>
      <c r="R43" s="335">
        <f>+VLOOKUP(A43,'[1]ORIGINAL '!D:E,2,0)</f>
        <v>0</v>
      </c>
      <c r="S43" s="336" t="b">
        <v>0</v>
      </c>
      <c r="T43" s="337" t="e">
        <f>VLOOKUP(A43,'OFICIO '!A:J,10,0)</f>
        <v>#N/A</v>
      </c>
    </row>
    <row r="44" spans="1:20" s="48" customFormat="1">
      <c r="A44" s="99">
        <v>2914167</v>
      </c>
      <c r="B44" s="98">
        <f>VLOOKUP(A44,Export!A:N,14,0)</f>
        <v>10585244</v>
      </c>
      <c r="C44" s="98" t="str">
        <f>VLOOKUP(A44,Export!A:P,16,0)</f>
        <v>CLAUDIA ORIETTA FREDES BARRERA</v>
      </c>
      <c r="D44" s="99" t="str">
        <f>VLOOKUP(A44,Export!A:H,8,0)</f>
        <v>31-60</v>
      </c>
      <c r="E44" s="99" t="str">
        <f>VLOOKUP(A44,Export!A:I,9,0)</f>
        <v>61-90</v>
      </c>
      <c r="F44" s="99" t="str">
        <f>VLOOKUP(A44,Export!A:AH,34,0)</f>
        <v>NO RECUPERADO</v>
      </c>
      <c r="G44" s="100" t="s">
        <v>3617</v>
      </c>
      <c r="H44" s="99">
        <f>VLOOKUP(A44,Export!A:C,3,0)</f>
        <v>3</v>
      </c>
      <c r="I44" s="99">
        <f>VLOOKUP(A44,Export!A:B,2,0)</f>
        <v>66</v>
      </c>
      <c r="J44" s="165">
        <f>VLOOKUP(A44,Export!A:R,18,0)</f>
        <v>173.18299999999999</v>
      </c>
      <c r="K44" s="165">
        <f>VLOOKUP(A44,Export!A:D,4,0)</f>
        <v>2641698</v>
      </c>
      <c r="L44" s="101">
        <f t="shared" si="2"/>
        <v>519.54899999999998</v>
      </c>
      <c r="M44" s="166"/>
      <c r="N44" s="99" t="s">
        <v>3618</v>
      </c>
      <c r="O44" s="167"/>
      <c r="P44" s="103">
        <f t="shared" si="3"/>
        <v>2641698</v>
      </c>
      <c r="Q44" s="86"/>
      <c r="R44" s="104">
        <f>+VLOOKUP(A44,'[1]ORIGINAL '!D:E,2,0)</f>
        <v>0</v>
      </c>
      <c r="S44" s="105" t="b">
        <v>0</v>
      </c>
      <c r="T44" s="168" t="e">
        <f>VLOOKUP(A44,'OFICIO '!A:J,10,0)</f>
        <v>#N/A</v>
      </c>
    </row>
    <row r="45" spans="1:20" s="48" customFormat="1">
      <c r="A45" s="99">
        <v>2817318</v>
      </c>
      <c r="B45" s="98">
        <f>VLOOKUP(A45,Export!A:N,14,0)</f>
        <v>15545976</v>
      </c>
      <c r="C45" s="98" t="str">
        <f>VLOOKUP(A45,Export!A:P,16,0)</f>
        <v>PATRICIA ANDREA HENRIQUEZ BERROETA</v>
      </c>
      <c r="D45" s="99" t="str">
        <f>VLOOKUP(A45,Export!A:H,8,0)</f>
        <v>121-150</v>
      </c>
      <c r="E45" s="99" t="str">
        <f>VLOOKUP(A45,Export!A:I,9,0)</f>
        <v>121-150</v>
      </c>
      <c r="F45" s="99" t="str">
        <f>VLOOKUP(A45,Export!A:AH,34,0)</f>
        <v>NO RECUPERADO</v>
      </c>
      <c r="G45" s="100" t="s">
        <v>3617</v>
      </c>
      <c r="H45" s="99">
        <f>VLOOKUP(A45,Export!A:C,3,0)</f>
        <v>5</v>
      </c>
      <c r="I45" s="99">
        <f>VLOOKUP(A45,Export!A:B,2,0)</f>
        <v>145</v>
      </c>
      <c r="J45" s="165">
        <f>VLOOKUP(A45,Export!A:R,18,0)</f>
        <v>215.13499999999999</v>
      </c>
      <c r="K45" s="165">
        <f>VLOOKUP(A45,Export!A:D,4,0)</f>
        <v>5415478</v>
      </c>
      <c r="L45" s="101">
        <f t="shared" si="2"/>
        <v>1075.675</v>
      </c>
      <c r="M45" s="166">
        <v>46171</v>
      </c>
      <c r="N45" s="99" t="s">
        <v>3621</v>
      </c>
      <c r="O45" s="167"/>
      <c r="P45" s="103">
        <f t="shared" si="3"/>
        <v>0</v>
      </c>
      <c r="Q45" s="86"/>
      <c r="R45" s="104">
        <f>+VLOOKUP(A45,'[1]ORIGINAL '!D:E,2,0)</f>
        <v>0</v>
      </c>
      <c r="S45" s="105" t="b">
        <v>0</v>
      </c>
      <c r="T45" s="168" t="e">
        <f>VLOOKUP(A45,'OFICIO '!A:J,10,0)</f>
        <v>#N/A</v>
      </c>
    </row>
    <row r="46" spans="1:20" s="48" customFormat="1">
      <c r="A46" s="99">
        <v>3371421</v>
      </c>
      <c r="B46" s="98" t="e">
        <f>VLOOKUP(A46,Export!A:N,14,0)</f>
        <v>#N/A</v>
      </c>
      <c r="C46" s="98" t="e">
        <f>VLOOKUP(A46,Export!A:P,16,0)</f>
        <v>#N/A</v>
      </c>
      <c r="D46" s="99" t="e">
        <f>VLOOKUP(A46,Export!A:H,8,0)</f>
        <v>#N/A</v>
      </c>
      <c r="E46" s="99" t="e">
        <f>VLOOKUP(A46,Export!A:I,9,0)</f>
        <v>#N/A</v>
      </c>
      <c r="F46" s="99" t="e">
        <f>VLOOKUP(A46,Export!A:AH,34,0)</f>
        <v>#N/A</v>
      </c>
      <c r="G46" s="100" t="s">
        <v>3617</v>
      </c>
      <c r="H46" s="99">
        <v>2</v>
      </c>
      <c r="I46" s="99" t="e">
        <f>VLOOKUP(A46,Export!A:B,2,0)</f>
        <v>#N/A</v>
      </c>
      <c r="J46" s="165" t="e">
        <f>VLOOKUP(A46,Export!A:R,18,0)</f>
        <v>#N/A</v>
      </c>
      <c r="K46" s="165" t="e">
        <f>VLOOKUP(A46,Export!A:D,4,0)</f>
        <v>#N/A</v>
      </c>
      <c r="L46" s="101" t="e">
        <f t="shared" si="2"/>
        <v>#N/A</v>
      </c>
      <c r="M46" s="166">
        <v>46171</v>
      </c>
      <c r="N46" s="99" t="s">
        <v>3618</v>
      </c>
      <c r="O46" s="167"/>
      <c r="P46" s="103" t="e">
        <f t="shared" si="3"/>
        <v>#N/A</v>
      </c>
      <c r="Q46" s="86"/>
      <c r="R46" s="104">
        <f>+VLOOKUP(A46,'[1]ORIGINAL '!D:E,2,0)</f>
        <v>0</v>
      </c>
      <c r="S46" s="105" t="b">
        <v>0</v>
      </c>
      <c r="T46" s="168" t="e">
        <f>VLOOKUP(A46,'OFICIO '!A:J,10,0)</f>
        <v>#N/A</v>
      </c>
    </row>
    <row r="47" spans="1:20" s="48" customFormat="1">
      <c r="A47" s="99">
        <v>3524299</v>
      </c>
      <c r="B47" s="98">
        <f>VLOOKUP(A47,Export!A:N,14,0)</f>
        <v>17174056</v>
      </c>
      <c r="C47" s="98" t="str">
        <f>VLOOKUP(A47,Export!A:P,16,0)</f>
        <v>JORGE JOEL IBÁÑEZ LÓPEZ</v>
      </c>
      <c r="D47" s="99" t="str">
        <f>VLOOKUP(A47,Export!A:H,8,0)</f>
        <v>61-90</v>
      </c>
      <c r="E47" s="99">
        <f>VLOOKUP(A47,Export!A:I,9,0)</f>
        <v>46052</v>
      </c>
      <c r="F47" s="99" t="str">
        <f>VLOOKUP(A47,Export!A:AH,34,0)</f>
        <v>BAJA90</v>
      </c>
      <c r="G47" s="100" t="s">
        <v>3617</v>
      </c>
      <c r="H47" s="99">
        <v>2</v>
      </c>
      <c r="I47" s="99">
        <f>VLOOKUP(A47,Export!A:B,2,0)</f>
        <v>28</v>
      </c>
      <c r="J47" s="165">
        <f>VLOOKUP(A47,Export!A:R,18,0)</f>
        <v>222.791</v>
      </c>
      <c r="K47" s="165">
        <f>VLOOKUP(A47,Export!A:D,4,0)</f>
        <v>6436678</v>
      </c>
      <c r="L47" s="101">
        <f t="shared" si="2"/>
        <v>445.58199999999999</v>
      </c>
      <c r="M47" s="166">
        <v>46171</v>
      </c>
      <c r="N47" s="99" t="s">
        <v>3618</v>
      </c>
      <c r="O47" s="167"/>
      <c r="P47" s="103">
        <f t="shared" si="3"/>
        <v>6436678</v>
      </c>
      <c r="Q47" s="86"/>
      <c r="R47" s="104">
        <f>+VLOOKUP(A47,'[1]ORIGINAL '!D:E,2,0)</f>
        <v>0</v>
      </c>
      <c r="S47" s="105" t="b">
        <v>0</v>
      </c>
      <c r="T47" s="168" t="e">
        <f>VLOOKUP(A47,'OFICIO '!A:J,10,0)</f>
        <v>#N/A</v>
      </c>
    </row>
    <row r="48" spans="1:20" s="48" customFormat="1">
      <c r="A48" s="99">
        <v>2447002</v>
      </c>
      <c r="B48" s="98" t="e">
        <f>VLOOKUP(A48,Export!A:N,14,0)</f>
        <v>#N/A</v>
      </c>
      <c r="C48" s="98" t="e">
        <f>VLOOKUP(A48,Export!A:P,16,0)</f>
        <v>#N/A</v>
      </c>
      <c r="D48" s="99" t="e">
        <f>VLOOKUP(A48,Export!A:H,8,0)</f>
        <v>#N/A</v>
      </c>
      <c r="E48" s="99" t="e">
        <f>VLOOKUP(A48,Export!A:I,9,0)</f>
        <v>#N/A</v>
      </c>
      <c r="F48" s="99" t="e">
        <f>VLOOKUP(A48,Export!A:AH,34,0)</f>
        <v>#N/A</v>
      </c>
      <c r="G48" s="100" t="s">
        <v>3617</v>
      </c>
      <c r="H48" s="99">
        <v>3</v>
      </c>
      <c r="I48" s="99" t="e">
        <f>VLOOKUP(A48,Export!A:B,2,0)</f>
        <v>#N/A</v>
      </c>
      <c r="J48" s="165" t="e">
        <f>VLOOKUP(A48,Export!A:R,18,0)</f>
        <v>#N/A</v>
      </c>
      <c r="K48" s="165" t="e">
        <f>VLOOKUP(A48,Export!A:D,4,0)</f>
        <v>#N/A</v>
      </c>
      <c r="L48" s="101" t="e">
        <f t="shared" si="2"/>
        <v>#N/A</v>
      </c>
      <c r="M48" s="166">
        <v>46149</v>
      </c>
      <c r="N48" s="99" t="s">
        <v>3618</v>
      </c>
      <c r="O48" s="167"/>
      <c r="P48" s="103" t="e">
        <f t="shared" si="3"/>
        <v>#N/A</v>
      </c>
      <c r="Q48" s="86"/>
      <c r="R48" s="104">
        <f>+VLOOKUP(A48,'[1]ORIGINAL '!D:E,2,0)</f>
        <v>0</v>
      </c>
      <c r="S48" s="105" t="b">
        <v>0</v>
      </c>
      <c r="T48" s="168" t="e">
        <f>VLOOKUP(A48,'OFICIO '!A:J,10,0)</f>
        <v>#N/A</v>
      </c>
    </row>
    <row r="49" spans="1:20" s="48" customFormat="1">
      <c r="A49" s="99">
        <v>2671637</v>
      </c>
      <c r="B49" s="98">
        <f>VLOOKUP(A49,Export!A:N,14,0)</f>
        <v>13865701</v>
      </c>
      <c r="C49" s="98" t="str">
        <f>VLOOKUP(A49,Export!A:P,16,0)</f>
        <v>CARLOS ALBERTO MANRIQUEZ GARCIA</v>
      </c>
      <c r="D49" s="99" t="str">
        <f>VLOOKUP(A49,Export!A:H,8,0)</f>
        <v>121-150</v>
      </c>
      <c r="E49" s="99" t="str">
        <f>VLOOKUP(A49,Export!A:I,9,0)</f>
        <v>151-180</v>
      </c>
      <c r="F49" s="99" t="str">
        <f>VLOOKUP(A49,Export!A:AH,34,0)</f>
        <v>NO RECUPERADO</v>
      </c>
      <c r="G49" s="100" t="s">
        <v>3617</v>
      </c>
      <c r="H49" s="99">
        <v>2</v>
      </c>
      <c r="I49" s="99">
        <f>VLOOKUP(A49,Export!A:B,2,0)</f>
        <v>160</v>
      </c>
      <c r="J49" s="165">
        <f>VLOOKUP(A49,Export!A:R,18,0)</f>
        <v>376.36</v>
      </c>
      <c r="K49" s="165">
        <f>VLOOKUP(A49,Export!A:D,4,0)</f>
        <v>5817589</v>
      </c>
      <c r="L49" s="101">
        <f t="shared" si="2"/>
        <v>752.72</v>
      </c>
      <c r="M49" s="166">
        <v>46160</v>
      </c>
      <c r="N49" s="99" t="s">
        <v>4079</v>
      </c>
      <c r="O49" s="167"/>
      <c r="P49" s="103">
        <f t="shared" si="3"/>
        <v>0</v>
      </c>
      <c r="Q49" s="86"/>
      <c r="R49" s="104">
        <f>+VLOOKUP(A49,'[1]ORIGINAL '!D:E,2,0)</f>
        <v>0</v>
      </c>
      <c r="S49" s="105" t="b">
        <v>0</v>
      </c>
      <c r="T49" s="168" t="e">
        <f>VLOOKUP(A49,'OFICIO '!A:J,10,0)</f>
        <v>#N/A</v>
      </c>
    </row>
    <row r="50" spans="1:20" s="48" customFormat="1">
      <c r="A50" s="99">
        <v>2031687</v>
      </c>
      <c r="B50" s="98">
        <f>VLOOKUP(A50,Export!A:N,14,0)</f>
        <v>8509003</v>
      </c>
      <c r="C50" s="98" t="str">
        <f>VLOOKUP(A50,Export!A:P,16,0)</f>
        <v>PATRICIO EFRAIN ECHEVERRIA INOSTROZA</v>
      </c>
      <c r="D50" s="99" t="str">
        <f>VLOOKUP(A50,Export!A:H,8,0)</f>
        <v>121-150</v>
      </c>
      <c r="E50" s="99" t="str">
        <f>VLOOKUP(A50,Export!A:I,9,0)</f>
        <v>121-150</v>
      </c>
      <c r="F50" s="99" t="str">
        <f>VLOOKUP(A50,Export!A:AH,34,0)</f>
        <v>NO RECUPERADO</v>
      </c>
      <c r="G50" s="100" t="s">
        <v>3617</v>
      </c>
      <c r="H50" s="99">
        <f>VLOOKUP(A50,Export!A:C,3,0)</f>
        <v>5</v>
      </c>
      <c r="I50" s="99">
        <f>VLOOKUP(A50,Export!A:B,2,0)</f>
        <v>142</v>
      </c>
      <c r="J50" s="165">
        <f>VLOOKUP(A50,Export!A:R,18,0)</f>
        <v>342.166</v>
      </c>
      <c r="K50" s="165">
        <f>VLOOKUP(A50,Export!A:D,4,0)</f>
        <v>4941031</v>
      </c>
      <c r="L50" s="101">
        <f t="shared" si="2"/>
        <v>1710.83</v>
      </c>
      <c r="M50" s="166">
        <v>46167</v>
      </c>
      <c r="N50" s="99" t="s">
        <v>3621</v>
      </c>
      <c r="O50" s="167"/>
      <c r="P50" s="103">
        <f t="shared" si="3"/>
        <v>0</v>
      </c>
      <c r="Q50" s="86"/>
      <c r="R50" s="104">
        <f>+VLOOKUP(A50,'[1]ORIGINAL '!D:E,2,0)</f>
        <v>0</v>
      </c>
      <c r="S50" s="105" t="b">
        <v>0</v>
      </c>
      <c r="T50" s="168" t="e">
        <f>VLOOKUP(A50,'OFICIO '!A:J,10,0)</f>
        <v>#N/A</v>
      </c>
    </row>
    <row r="51" spans="1:20" s="48" customFormat="1">
      <c r="A51" s="99">
        <v>2949060</v>
      </c>
      <c r="B51" s="98">
        <f>VLOOKUP(A51,Export!A:N,14,0)</f>
        <v>6756651</v>
      </c>
      <c r="C51" s="98" t="str">
        <f>VLOOKUP(A51,Export!A:P,16,0)</f>
        <v>LUZVENIA DEL CARMEN FIGUEROA REPOL</v>
      </c>
      <c r="D51" s="99" t="str">
        <f>VLOOKUP(A51,Export!A:H,8,0)</f>
        <v>61-90</v>
      </c>
      <c r="E51" s="99" t="str">
        <f>VLOOKUP(A51,Export!A:I,9,0)</f>
        <v>61-90</v>
      </c>
      <c r="F51" s="99" t="str">
        <f>VLOOKUP(A51,Export!A:AH,34,0)</f>
        <v>NO RECUPERADO</v>
      </c>
      <c r="G51" s="100" t="s">
        <v>3617</v>
      </c>
      <c r="H51" s="99">
        <v>1</v>
      </c>
      <c r="I51" s="99">
        <f>VLOOKUP(A51,Export!A:B,2,0)</f>
        <v>84</v>
      </c>
      <c r="J51" s="165">
        <f>VLOOKUP(A51,Export!A:R,18,0)</f>
        <v>227.73099999999999</v>
      </c>
      <c r="K51" s="165">
        <f>VLOOKUP(A51,Export!A:D,4,0)</f>
        <v>2648525</v>
      </c>
      <c r="L51" s="101">
        <f t="shared" si="2"/>
        <v>227.73099999999999</v>
      </c>
      <c r="M51" s="166">
        <v>46162</v>
      </c>
      <c r="N51" s="99" t="s">
        <v>3618</v>
      </c>
      <c r="O51" s="167">
        <v>46162</v>
      </c>
      <c r="P51" s="103">
        <f t="shared" si="3"/>
        <v>2648525</v>
      </c>
      <c r="Q51" s="86"/>
      <c r="R51" s="104">
        <f>+VLOOKUP(A51,'[1]ORIGINAL '!D:E,2,0)</f>
        <v>0</v>
      </c>
      <c r="S51" s="105" t="b">
        <v>0</v>
      </c>
      <c r="T51" s="168" t="e">
        <f>VLOOKUP(A51,'OFICIO '!A:J,10,0)</f>
        <v>#N/A</v>
      </c>
    </row>
    <row r="52" spans="1:20" s="48" customFormat="1">
      <c r="A52" s="99">
        <v>3317826</v>
      </c>
      <c r="B52" s="98">
        <f>VLOOKUP(A52,Export!A:N,14,0)</f>
        <v>17806460</v>
      </c>
      <c r="C52" s="98" t="str">
        <f>VLOOKUP(A52,Export!A:P,16,0)</f>
        <v>SERGIO NICOLÁS  URIBE  GARCÍA</v>
      </c>
      <c r="D52" s="99" t="str">
        <f>VLOOKUP(A52,Export!A:H,8,0)</f>
        <v>31-60</v>
      </c>
      <c r="E52" s="99" t="str">
        <f>VLOOKUP(A52,Export!A:I,9,0)</f>
        <v>31-60</v>
      </c>
      <c r="F52" s="99" t="str">
        <f>VLOOKUP(A52,Export!A:AH,34,0)</f>
        <v>CONTENIDO</v>
      </c>
      <c r="G52" s="100" t="s">
        <v>3617</v>
      </c>
      <c r="H52" s="99">
        <v>1</v>
      </c>
      <c r="I52" s="99">
        <f>VLOOKUP(A52,Export!A:B,2,0)</f>
        <v>45</v>
      </c>
      <c r="J52" s="165">
        <f>VLOOKUP(A52,Export!A:R,18,0)</f>
        <v>422.84100000000001</v>
      </c>
      <c r="K52" s="165">
        <f>VLOOKUP(A52,Export!A:D,4,0)</f>
        <v>3747047</v>
      </c>
      <c r="L52" s="101">
        <f t="shared" si="2"/>
        <v>422.84100000000001</v>
      </c>
      <c r="M52" s="166">
        <v>46157</v>
      </c>
      <c r="N52" s="99" t="s">
        <v>3618</v>
      </c>
      <c r="O52" s="167"/>
      <c r="P52" s="103">
        <f t="shared" si="3"/>
        <v>3747047</v>
      </c>
      <c r="Q52" s="86"/>
      <c r="R52" s="104">
        <f>+VLOOKUP(A52,'[1]ORIGINAL '!D:E,2,0)</f>
        <v>0</v>
      </c>
      <c r="S52" s="105" t="b">
        <v>0</v>
      </c>
      <c r="T52" s="168" t="e">
        <f>VLOOKUP(A52,'OFICIO '!A:J,10,0)</f>
        <v>#N/A</v>
      </c>
    </row>
    <row r="53" spans="1:20" s="48" customFormat="1">
      <c r="A53" s="99">
        <v>3277070</v>
      </c>
      <c r="B53" s="98">
        <f>VLOOKUP(A53,Export!A:N,14,0)</f>
        <v>13662389</v>
      </c>
      <c r="C53" s="98" t="str">
        <f>VLOOKUP(A53,Export!A:P,16,0)</f>
        <v>JOHANNA DEL CARMEN CORNEJO ARMIJO</v>
      </c>
      <c r="D53" s="99" t="str">
        <f>VLOOKUP(A53,Export!A:H,8,0)</f>
        <v>61-90</v>
      </c>
      <c r="E53" s="99" t="str">
        <f>VLOOKUP(A53,Export!A:I,9,0)</f>
        <v>61-90</v>
      </c>
      <c r="F53" s="99" t="str">
        <f>VLOOKUP(A53,Export!A:AH,34,0)</f>
        <v>NO RECUPERADO</v>
      </c>
      <c r="G53" s="100" t="s">
        <v>3617</v>
      </c>
      <c r="H53" s="99">
        <v>1</v>
      </c>
      <c r="I53" s="99">
        <f>VLOOKUP(A53,Export!A:B,2,0)</f>
        <v>87</v>
      </c>
      <c r="J53" s="165">
        <f>VLOOKUP(A53,Export!A:R,18,0)</f>
        <v>235.32300000000001</v>
      </c>
      <c r="K53" s="165">
        <f>VLOOKUP(A53,Export!A:D,4,0)</f>
        <v>6778589</v>
      </c>
      <c r="L53" s="101">
        <f t="shared" si="2"/>
        <v>235.32300000000001</v>
      </c>
      <c r="M53" s="166">
        <v>46164</v>
      </c>
      <c r="N53" s="99" t="s">
        <v>3618</v>
      </c>
      <c r="O53" s="167">
        <v>46164</v>
      </c>
      <c r="P53" s="103">
        <f t="shared" si="3"/>
        <v>6778589</v>
      </c>
      <c r="Q53" s="86"/>
      <c r="R53" s="104">
        <f>+VLOOKUP(A53,'[1]ORIGINAL '!D:E,2,0)</f>
        <v>0</v>
      </c>
      <c r="S53" s="105" t="b">
        <v>0</v>
      </c>
      <c r="T53" s="168" t="e">
        <f>VLOOKUP(A53,'OFICIO '!A:J,10,0)</f>
        <v>#N/A</v>
      </c>
    </row>
    <row r="54" spans="1:20" s="48" customFormat="1">
      <c r="A54" s="99">
        <v>3032093</v>
      </c>
      <c r="B54" s="98" t="e">
        <f>VLOOKUP(A54,Export!A:N,14,0)</f>
        <v>#N/A</v>
      </c>
      <c r="C54" s="98" t="e">
        <f>VLOOKUP(A54,Export!A:P,16,0)</f>
        <v>#N/A</v>
      </c>
      <c r="D54" s="99" t="e">
        <f>VLOOKUP(A54,Export!A:H,8,0)</f>
        <v>#N/A</v>
      </c>
      <c r="E54" s="99" t="e">
        <f>VLOOKUP(A54,Export!A:I,9,0)</f>
        <v>#N/A</v>
      </c>
      <c r="F54" s="99" t="e">
        <f>VLOOKUP(A54,Export!A:AH,34,0)</f>
        <v>#N/A</v>
      </c>
      <c r="G54" s="100" t="s">
        <v>3617</v>
      </c>
      <c r="H54" s="99" t="e">
        <f>VLOOKUP(A54,Export!A:C,3,0)</f>
        <v>#N/A</v>
      </c>
      <c r="I54" s="99" t="e">
        <f>VLOOKUP(A54,Export!A:B,2,0)</f>
        <v>#N/A</v>
      </c>
      <c r="J54" s="165" t="e">
        <f>VLOOKUP(A54,Export!A:R,18,0)</f>
        <v>#N/A</v>
      </c>
      <c r="K54" s="165" t="e">
        <f>VLOOKUP(A54,Export!A:D,4,0)</f>
        <v>#N/A</v>
      </c>
      <c r="L54" s="101" t="e">
        <f t="shared" ref="L54:L60" si="4">IF(G54="PAGO CUOTAS",H54*J54,K54)</f>
        <v>#N/A</v>
      </c>
      <c r="M54" s="166">
        <v>46168</v>
      </c>
      <c r="N54" s="99" t="s">
        <v>3618</v>
      </c>
      <c r="O54" s="167"/>
      <c r="P54" s="103" t="e">
        <f t="shared" si="3"/>
        <v>#N/A</v>
      </c>
      <c r="Q54" s="86"/>
      <c r="R54" s="104">
        <f>+VLOOKUP(A54,'[1]ORIGINAL '!D:E,2,0)</f>
        <v>0</v>
      </c>
      <c r="S54" s="105" t="b">
        <v>0</v>
      </c>
      <c r="T54" s="168" t="e">
        <f>VLOOKUP(A54,'OFICIO '!A:J,10,0)</f>
        <v>#N/A</v>
      </c>
    </row>
    <row r="55" spans="1:20" s="285" customFormat="1">
      <c r="A55" s="209">
        <v>2791803</v>
      </c>
      <c r="B55" s="274">
        <f>VLOOKUP(A55,Export!A:N,14,0)</f>
        <v>15029397</v>
      </c>
      <c r="C55" s="274" t="str">
        <f>VLOOKUP(A55,Export!A:P,16,0)</f>
        <v>MARIA PIA ROJAS RAVEST</v>
      </c>
      <c r="D55" s="209" t="str">
        <f>VLOOKUP(A55,Export!A:H,8,0)</f>
        <v>31-60</v>
      </c>
      <c r="E55" s="209" t="str">
        <f>VLOOKUP(A55,Export!A:I,9,0)</f>
        <v>61-90</v>
      </c>
      <c r="F55" s="209" t="str">
        <f>VLOOKUP(A55,Export!A:AH,34,0)</f>
        <v>NO RECUPERADO</v>
      </c>
      <c r="G55" s="275" t="s">
        <v>3617</v>
      </c>
      <c r="H55" s="209">
        <v>1</v>
      </c>
      <c r="I55" s="209">
        <f>VLOOKUP(A55,Export!A:B,2,0)</f>
        <v>72</v>
      </c>
      <c r="J55" s="276">
        <f>VLOOKUP(A55,Export!A:R,18,0)</f>
        <v>267.964</v>
      </c>
      <c r="K55" s="276">
        <f>VLOOKUP(A55,Export!A:D,4,0)</f>
        <v>5749965</v>
      </c>
      <c r="L55" s="277">
        <f t="shared" si="4"/>
        <v>267.964</v>
      </c>
      <c r="M55" s="278">
        <v>46171</v>
      </c>
      <c r="N55" s="209" t="s">
        <v>3618</v>
      </c>
      <c r="O55" s="279">
        <v>46171</v>
      </c>
      <c r="P55" s="280">
        <f t="shared" si="3"/>
        <v>5749965</v>
      </c>
      <c r="Q55" s="281"/>
      <c r="R55" s="282">
        <f>+VLOOKUP(A55,'[1]ORIGINAL '!D:E,2,0)</f>
        <v>0</v>
      </c>
      <c r="S55" s="283" t="b">
        <v>0</v>
      </c>
      <c r="T55" s="284" t="e">
        <f>VLOOKUP(A55,'OFICIO '!A:J,10,0)</f>
        <v>#N/A</v>
      </c>
    </row>
    <row r="56" spans="1:20" s="285" customFormat="1">
      <c r="A56" s="209">
        <v>2686136</v>
      </c>
      <c r="B56" s="274" t="e">
        <f>VLOOKUP(A56,Export!A:N,14,0)</f>
        <v>#N/A</v>
      </c>
      <c r="C56" s="274" t="e">
        <f>VLOOKUP(A56,Export!A:P,16,0)</f>
        <v>#N/A</v>
      </c>
      <c r="D56" s="209" t="e">
        <f>VLOOKUP(A56,Export!A:H,8,0)</f>
        <v>#N/A</v>
      </c>
      <c r="E56" s="209" t="e">
        <f>VLOOKUP(A56,Export!A:I,9,0)</f>
        <v>#N/A</v>
      </c>
      <c r="F56" s="209" t="e">
        <f>VLOOKUP(A56,Export!A:AH,34,0)</f>
        <v>#N/A</v>
      </c>
      <c r="G56" s="275" t="s">
        <v>3617</v>
      </c>
      <c r="H56" s="209">
        <v>2</v>
      </c>
      <c r="I56" s="209" t="e">
        <f>VLOOKUP(A56,Export!A:B,2,0)</f>
        <v>#N/A</v>
      </c>
      <c r="J56" s="276" t="e">
        <f>VLOOKUP(A56,Export!A:R,18,0)</f>
        <v>#N/A</v>
      </c>
      <c r="K56" s="276" t="e">
        <f>VLOOKUP(A56,Export!A:D,4,0)</f>
        <v>#N/A</v>
      </c>
      <c r="L56" s="277" t="e">
        <f t="shared" si="4"/>
        <v>#N/A</v>
      </c>
      <c r="M56" s="278">
        <v>46168</v>
      </c>
      <c r="N56" s="209" t="s">
        <v>3618</v>
      </c>
      <c r="O56" s="279"/>
      <c r="P56" s="280" t="e">
        <f t="shared" si="3"/>
        <v>#N/A</v>
      </c>
      <c r="Q56" s="281"/>
      <c r="R56" s="282" t="e">
        <f>+VLOOKUP(A56,'[1]ORIGINAL '!D:E,2,0)</f>
        <v>#N/A</v>
      </c>
      <c r="S56" s="283" t="b">
        <v>0</v>
      </c>
      <c r="T56" s="284" t="e">
        <f>VLOOKUP(A56,'OFICIO '!A:J,10,0)</f>
        <v>#N/A</v>
      </c>
    </row>
    <row r="57" spans="1:20" s="285" customFormat="1">
      <c r="A57" s="209">
        <v>3182276</v>
      </c>
      <c r="B57" s="274">
        <f>VLOOKUP(A57,Export!A:N,14,0)</f>
        <v>15662579</v>
      </c>
      <c r="C57" s="274" t="str">
        <f>VLOOKUP(A57,Export!A:P,16,0)</f>
        <v>JOSÉ LUIS  GARRIDO  JAÑA</v>
      </c>
      <c r="D57" s="209">
        <f>VLOOKUP(A57,Export!A:H,8,0)</f>
        <v>46052</v>
      </c>
      <c r="E57" s="209" t="str">
        <f>VLOOKUP(A57,Export!A:I,9,0)</f>
        <v>31-60</v>
      </c>
      <c r="F57" s="209" t="str">
        <f>VLOOKUP(A57,Export!A:AH,34,0)</f>
        <v>NO RECUPERADO</v>
      </c>
      <c r="G57" s="275" t="s">
        <v>3617</v>
      </c>
      <c r="H57" s="209">
        <v>1</v>
      </c>
      <c r="I57" s="209">
        <f>VLOOKUP(A57,Export!A:B,2,0)</f>
        <v>49</v>
      </c>
      <c r="J57" s="276">
        <f>VLOOKUP(A57,Export!A:R,18,0)</f>
        <v>206.82499999999999</v>
      </c>
      <c r="K57" s="276">
        <f>VLOOKUP(A57,Export!A:D,4,0)</f>
        <v>3204020</v>
      </c>
      <c r="L57" s="277">
        <f t="shared" si="4"/>
        <v>206.82499999999999</v>
      </c>
      <c r="M57" s="278">
        <v>46170</v>
      </c>
      <c r="N57" s="209" t="s">
        <v>3618</v>
      </c>
      <c r="O57" s="279">
        <v>46170</v>
      </c>
      <c r="P57" s="280">
        <f t="shared" si="3"/>
        <v>3204020</v>
      </c>
      <c r="Q57" s="281"/>
      <c r="R57" s="282">
        <f>+VLOOKUP(A57,'[1]ORIGINAL '!D:E,2,0)</f>
        <v>0</v>
      </c>
      <c r="S57" s="283" t="b">
        <v>0</v>
      </c>
      <c r="T57" s="284" t="e">
        <f>VLOOKUP(A57,'OFICIO '!A:J,10,0)</f>
        <v>#N/A</v>
      </c>
    </row>
    <row r="58" spans="1:20" s="48" customFormat="1">
      <c r="A58" s="99">
        <v>2916362</v>
      </c>
      <c r="B58" s="98">
        <f>VLOOKUP(A58,Export!A:N,14,0)</f>
        <v>17194972</v>
      </c>
      <c r="C58" s="98" t="str">
        <f>VLOOKUP(A58,Export!A:P,16,0)</f>
        <v>DANISA JOHANNA VILCHES ROJAS</v>
      </c>
      <c r="D58" s="99" t="str">
        <f>VLOOKUP(A58,Export!A:H,8,0)</f>
        <v>31-60</v>
      </c>
      <c r="E58" s="99" t="str">
        <f>VLOOKUP(A58,Export!A:I,9,0)</f>
        <v>31-60</v>
      </c>
      <c r="F58" s="99" t="str">
        <f>VLOOKUP(A58,Export!A:AH,34,0)</f>
        <v>CONTENIDO</v>
      </c>
      <c r="G58" s="100" t="s">
        <v>3617</v>
      </c>
      <c r="H58" s="99">
        <f>VLOOKUP(A58,Export!A:C,3,0)</f>
        <v>2</v>
      </c>
      <c r="I58" s="99">
        <f>VLOOKUP(A58,Export!A:B,2,0)</f>
        <v>45</v>
      </c>
      <c r="J58" s="165">
        <f>VLOOKUP(A58,Export!A:R,18,0)</f>
        <v>137.238</v>
      </c>
      <c r="K58" s="165">
        <f>VLOOKUP(A58,Export!A:D,4,0)</f>
        <v>1484865</v>
      </c>
      <c r="L58" s="101">
        <f t="shared" si="4"/>
        <v>274.476</v>
      </c>
      <c r="M58" s="166">
        <v>46171</v>
      </c>
      <c r="N58" s="99" t="s">
        <v>3618</v>
      </c>
      <c r="O58" s="167"/>
      <c r="P58" s="103">
        <f t="shared" si="3"/>
        <v>1484865</v>
      </c>
      <c r="Q58" s="86"/>
      <c r="R58" s="104">
        <f>+VLOOKUP(A58,'[1]ORIGINAL '!D:E,2,0)</f>
        <v>0</v>
      </c>
      <c r="S58" s="105" t="b">
        <v>0</v>
      </c>
      <c r="T58" s="168" t="e">
        <f>VLOOKUP(A58,'OFICIO '!A:J,10,0)</f>
        <v>#N/A</v>
      </c>
    </row>
    <row r="59" spans="1:20" s="285" customFormat="1">
      <c r="A59" s="209">
        <v>1902230</v>
      </c>
      <c r="B59" s="274" t="e">
        <f>VLOOKUP(A59,Export!A:N,14,0)</f>
        <v>#N/A</v>
      </c>
      <c r="C59" s="274" t="e">
        <f>VLOOKUP(A59,Export!A:P,16,0)</f>
        <v>#N/A</v>
      </c>
      <c r="D59" s="209" t="e">
        <f>VLOOKUP(A59,Export!A:H,8,0)</f>
        <v>#N/A</v>
      </c>
      <c r="E59" s="209" t="e">
        <f>VLOOKUP(A59,Export!A:I,9,0)</f>
        <v>#N/A</v>
      </c>
      <c r="F59" s="209" t="e">
        <f>VLOOKUP(A59,Export!A:AH,34,0)</f>
        <v>#N/A</v>
      </c>
      <c r="G59" s="275" t="s">
        <v>3617</v>
      </c>
      <c r="H59" s="209">
        <v>1</v>
      </c>
      <c r="I59" s="209" t="e">
        <f>VLOOKUP(A59,Export!A:B,2,0)</f>
        <v>#N/A</v>
      </c>
      <c r="J59" s="276" t="e">
        <f>VLOOKUP(A59,Export!A:R,18,0)</f>
        <v>#N/A</v>
      </c>
      <c r="K59" s="276" t="e">
        <f>VLOOKUP(A59,Export!A:D,4,0)</f>
        <v>#N/A</v>
      </c>
      <c r="L59" s="277" t="e">
        <f t="shared" si="4"/>
        <v>#N/A</v>
      </c>
      <c r="M59" s="278">
        <v>46171</v>
      </c>
      <c r="N59" s="209" t="s">
        <v>3618</v>
      </c>
      <c r="O59" s="279"/>
      <c r="P59" s="280" t="e">
        <f t="shared" si="3"/>
        <v>#N/A</v>
      </c>
      <c r="Q59" s="281"/>
      <c r="R59" s="282">
        <f>+VLOOKUP(A59,'[1]ORIGINAL '!D:E,2,0)</f>
        <v>0</v>
      </c>
      <c r="S59" s="283" t="b">
        <v>0</v>
      </c>
      <c r="T59" s="284" t="e">
        <f>VLOOKUP(A59,'OFICIO '!A:J,10,0)</f>
        <v>#N/A</v>
      </c>
    </row>
    <row r="60" spans="1:20" s="48" customFormat="1">
      <c r="A60" s="102">
        <v>3334914</v>
      </c>
      <c r="B60" s="98">
        <f>VLOOKUP(A60,Export!A:N,14,0)</f>
        <v>9507551</v>
      </c>
      <c r="C60" s="98" t="str">
        <f>VLOOKUP(A60,Export!A:P,16,0)</f>
        <v>JUAN LUIS HERNANDEZ ALMONACID</v>
      </c>
      <c r="D60" s="99" t="str">
        <f>VLOOKUP(A60,Export!A:H,8,0)</f>
        <v>121-150</v>
      </c>
      <c r="E60" s="99" t="str">
        <f>VLOOKUP(A60,Export!A:I,9,0)</f>
        <v>151-180</v>
      </c>
      <c r="F60" s="99" t="str">
        <f>VLOOKUP(A60,Export!A:AH,34,0)</f>
        <v>NO RECUPERADO</v>
      </c>
      <c r="G60" s="100" t="s">
        <v>3617</v>
      </c>
      <c r="H60" s="99">
        <v>4</v>
      </c>
      <c r="I60" s="99">
        <f>VLOOKUP(A60,Export!A:B,2,0)</f>
        <v>165</v>
      </c>
      <c r="J60" s="165">
        <f>VLOOKUP(A60,Export!A:R,18,0)</f>
        <v>367.18599999999998</v>
      </c>
      <c r="K60" s="165">
        <f>VLOOKUP(A60,Export!A:D,4,0)</f>
        <v>10255953</v>
      </c>
      <c r="L60" s="101">
        <f t="shared" si="4"/>
        <v>1468.7439999999999</v>
      </c>
      <c r="M60" s="106">
        <v>46167</v>
      </c>
      <c r="N60" s="102" t="s">
        <v>3618</v>
      </c>
      <c r="O60" s="54"/>
      <c r="P60" s="103">
        <f t="shared" si="3"/>
        <v>10255953</v>
      </c>
      <c r="Q60" s="86"/>
      <c r="R60" s="104">
        <f>+VLOOKUP(A60,'[1]ORIGINAL '!D:E,2,0)</f>
        <v>0</v>
      </c>
      <c r="S60" s="105" t="b">
        <v>0</v>
      </c>
      <c r="T60" s="168" t="e">
        <f>VLOOKUP(A60,'OFICIO '!A:J,10,0)</f>
        <v>#N/A</v>
      </c>
    </row>
    <row r="61" spans="1:20" s="48" customFormat="1">
      <c r="A61" s="102">
        <v>2230686</v>
      </c>
      <c r="B61" s="98" t="e">
        <f>VLOOKUP(A61,Export!A:N,14,0)</f>
        <v>#N/A</v>
      </c>
      <c r="C61" s="98" t="e">
        <f>VLOOKUP(A61,Export!A:P,16,0)</f>
        <v>#N/A</v>
      </c>
      <c r="D61" s="99" t="e">
        <f>VLOOKUP(A61,Export!A:H,8,0)</f>
        <v>#N/A</v>
      </c>
      <c r="E61" s="99" t="e">
        <f>VLOOKUP(A61,Export!A:I,9,0)</f>
        <v>#N/A</v>
      </c>
      <c r="F61" s="99" t="e">
        <f>VLOOKUP(A61,Export!A:AH,34,0)</f>
        <v>#N/A</v>
      </c>
      <c r="G61" s="100" t="s">
        <v>3617</v>
      </c>
      <c r="H61" s="99">
        <v>2</v>
      </c>
      <c r="I61" s="99" t="e">
        <f>VLOOKUP(A61,Export!A:B,2,0)</f>
        <v>#N/A</v>
      </c>
      <c r="J61" s="165" t="e">
        <f>VLOOKUP(A61,Export!A:R,18,0)</f>
        <v>#N/A</v>
      </c>
      <c r="K61" s="165" t="e">
        <f>VLOOKUP(A61,Export!A:D,4,0)</f>
        <v>#N/A</v>
      </c>
      <c r="L61" s="101" t="e">
        <f t="shared" ref="L61:L67" si="5">IF(G61="PAGO CUOTAS",H61*J61,K61)</f>
        <v>#N/A</v>
      </c>
      <c r="M61" s="106">
        <v>46171</v>
      </c>
      <c r="N61" s="102" t="s">
        <v>3621</v>
      </c>
      <c r="O61" s="54"/>
      <c r="P61" s="103">
        <f t="shared" ref="P61:P67" si="6">+SUMIF(N61,"PAGADO",K61)</f>
        <v>0</v>
      </c>
      <c r="Q61" s="86"/>
      <c r="R61" s="104">
        <f>+VLOOKUP(A61,'[1]ORIGINAL '!D:E,2,0)</f>
        <v>0</v>
      </c>
      <c r="S61" s="105" t="b">
        <v>0</v>
      </c>
      <c r="T61" s="168" t="e">
        <f>VLOOKUP(A61,'OFICIO '!A:J,10,0)</f>
        <v>#N/A</v>
      </c>
    </row>
    <row r="62" spans="1:20" s="48" customFormat="1">
      <c r="A62" s="102">
        <v>3172499</v>
      </c>
      <c r="B62" s="98">
        <f>VLOOKUP(A62,Export!A:N,14,0)</f>
        <v>18017458</v>
      </c>
      <c r="C62" s="98" t="str">
        <f>VLOOKUP(A62,Export!A:P,16,0)</f>
        <v>GERARDO AURELIO ANIÑIR ANTIMÁN</v>
      </c>
      <c r="D62" s="99" t="str">
        <f>VLOOKUP(A62,Export!A:H,8,0)</f>
        <v>31-60</v>
      </c>
      <c r="E62" s="99" t="str">
        <f>VLOOKUP(A62,Export!A:I,9,0)</f>
        <v>61-90</v>
      </c>
      <c r="F62" s="99" t="str">
        <f>VLOOKUP(A62,Export!A:AH,34,0)</f>
        <v>NO RECUPERADO</v>
      </c>
      <c r="G62" s="100" t="s">
        <v>3617</v>
      </c>
      <c r="H62" s="99">
        <v>2</v>
      </c>
      <c r="I62" s="99">
        <f>VLOOKUP(A62,Export!A:B,2,0)</f>
        <v>61</v>
      </c>
      <c r="J62" s="165">
        <f>VLOOKUP(A62,Export!A:R,18,0)</f>
        <v>174.95400000000001</v>
      </c>
      <c r="K62" s="165">
        <f>VLOOKUP(A62,Export!A:D,4,0)</f>
        <v>3821549</v>
      </c>
      <c r="L62" s="101">
        <f t="shared" si="5"/>
        <v>349.90800000000002</v>
      </c>
      <c r="M62" s="106">
        <v>46161</v>
      </c>
      <c r="N62" s="102" t="s">
        <v>3618</v>
      </c>
      <c r="O62" s="54"/>
      <c r="P62" s="103">
        <f t="shared" si="6"/>
        <v>3821549</v>
      </c>
      <c r="Q62" s="86"/>
      <c r="R62" s="104">
        <f>+VLOOKUP(A62,'[1]ORIGINAL '!D:E,2,0)</f>
        <v>0</v>
      </c>
      <c r="S62" s="105" t="b">
        <v>0</v>
      </c>
      <c r="T62" s="168" t="e">
        <f>VLOOKUP(A62,'OFICIO '!A:J,10,0)</f>
        <v>#N/A</v>
      </c>
    </row>
    <row r="63" spans="1:20" s="338" customFormat="1">
      <c r="A63" s="340">
        <v>3126130</v>
      </c>
      <c r="B63" s="327" t="e">
        <f>VLOOKUP(A63,Export!A:N,14,0)</f>
        <v>#N/A</v>
      </c>
      <c r="C63" s="327" t="e">
        <f>VLOOKUP(A63,Export!A:P,16,0)</f>
        <v>#N/A</v>
      </c>
      <c r="D63" s="326" t="e">
        <f>VLOOKUP(A63,Export!A:H,8,0)</f>
        <v>#N/A</v>
      </c>
      <c r="E63" s="326" t="e">
        <f>VLOOKUP(A63,Export!A:I,9,0)</f>
        <v>#N/A</v>
      </c>
      <c r="F63" s="326" t="e">
        <f>VLOOKUP(A63,Export!A:AH,34,0)</f>
        <v>#N/A</v>
      </c>
      <c r="G63" s="328" t="s">
        <v>87</v>
      </c>
      <c r="H63" s="326"/>
      <c r="I63" s="326" t="e">
        <f>VLOOKUP(A63,Export!A:B,2,0)</f>
        <v>#N/A</v>
      </c>
      <c r="J63" s="329" t="e">
        <f>VLOOKUP(A63,Export!A:R,18,0)</f>
        <v>#N/A</v>
      </c>
      <c r="K63" s="329" t="e">
        <f>VLOOKUP(A63,Export!A:D,4,0)</f>
        <v>#N/A</v>
      </c>
      <c r="L63" s="330" t="e">
        <f t="shared" si="5"/>
        <v>#N/A</v>
      </c>
      <c r="M63" s="341"/>
      <c r="N63" s="340" t="s">
        <v>3621</v>
      </c>
      <c r="O63" s="342"/>
      <c r="P63" s="333">
        <f t="shared" si="6"/>
        <v>0</v>
      </c>
      <c r="Q63" s="339"/>
      <c r="R63" s="335">
        <f>+VLOOKUP(A63,'[1]ORIGINAL '!D:E,2,0)</f>
        <v>0</v>
      </c>
      <c r="S63" s="336" t="b">
        <v>0</v>
      </c>
      <c r="T63" s="337" t="e">
        <f>VLOOKUP(A63,'OFICIO '!A:J,10,0)</f>
        <v>#N/A</v>
      </c>
    </row>
    <row r="64" spans="1:20" s="48" customFormat="1">
      <c r="A64" s="102">
        <v>3291352</v>
      </c>
      <c r="B64" s="98">
        <f>VLOOKUP(A64,Export!A:N,14,0)</f>
        <v>11378450</v>
      </c>
      <c r="C64" s="98" t="str">
        <f>VLOOKUP(A64,Export!A:P,16,0)</f>
        <v>MARCO ANTONIO NATIVIA ESCALERA</v>
      </c>
      <c r="D64" s="99" t="str">
        <f>VLOOKUP(A64,Export!A:H,8,0)</f>
        <v>151-180</v>
      </c>
      <c r="E64" s="99" t="str">
        <f>VLOOKUP(A64,Export!A:I,9,0)</f>
        <v>31-60</v>
      </c>
      <c r="F64" s="99" t="str">
        <f>VLOOKUP(A64,Export!A:AH,34,0)</f>
        <v>BAJA90</v>
      </c>
      <c r="G64" s="100" t="s">
        <v>3617</v>
      </c>
      <c r="H64" s="99">
        <v>7</v>
      </c>
      <c r="I64" s="99">
        <f>VLOOKUP(A64,Export!A:B,2,0)</f>
        <v>53</v>
      </c>
      <c r="J64" s="165">
        <f>VLOOKUP(A64,Export!A:R,18,0)</f>
        <v>147.577</v>
      </c>
      <c r="K64" s="165">
        <f>VLOOKUP(A64,Export!A:D,4,0)</f>
        <v>4680147</v>
      </c>
      <c r="L64" s="101">
        <f t="shared" si="5"/>
        <v>1033.039</v>
      </c>
      <c r="M64" s="106">
        <v>46171</v>
      </c>
      <c r="N64" s="102" t="s">
        <v>3621</v>
      </c>
      <c r="O64" s="54"/>
      <c r="P64" s="103">
        <f t="shared" si="6"/>
        <v>0</v>
      </c>
      <c r="Q64" s="86" t="s">
        <v>4080</v>
      </c>
      <c r="R64" s="104">
        <f>+VLOOKUP(A64,'[1]ORIGINAL '!D:E,2,0)</f>
        <v>0</v>
      </c>
      <c r="S64" s="105" t="b">
        <v>0</v>
      </c>
      <c r="T64" s="168" t="e">
        <f>VLOOKUP(A64,'OFICIO '!A:J,10,0)</f>
        <v>#N/A</v>
      </c>
    </row>
    <row r="65" spans="1:20" s="48" customFormat="1">
      <c r="A65" s="102">
        <v>2764809</v>
      </c>
      <c r="B65" s="98">
        <f>VLOOKUP(A65,Export!A:N,14,0)</f>
        <v>77480172</v>
      </c>
      <c r="C65" s="98" t="str">
        <f>VLOOKUP(A65,Export!A:P,16,0)</f>
        <v>FOOD SERVICE MONTENEGRO SPA</v>
      </c>
      <c r="D65" s="99" t="str">
        <f>VLOOKUP(A65,Export!A:H,8,0)</f>
        <v>61-90</v>
      </c>
      <c r="E65" s="99" t="str">
        <f>VLOOKUP(A65,Export!A:I,9,0)</f>
        <v>91-120</v>
      </c>
      <c r="F65" s="99" t="str">
        <f>VLOOKUP(A65,Export!A:AH,34,0)</f>
        <v>NO RECUPERADO</v>
      </c>
      <c r="G65" s="100" t="s">
        <v>3617</v>
      </c>
      <c r="H65" s="99">
        <v>2</v>
      </c>
      <c r="I65" s="99">
        <f>VLOOKUP(A65,Export!A:B,2,0)</f>
        <v>91</v>
      </c>
      <c r="J65" s="165">
        <f>VLOOKUP(A65,Export!A:R,18,0)</f>
        <v>420.21899999999999</v>
      </c>
      <c r="K65" s="165">
        <f>VLOOKUP(A65,Export!A:D,4,0)</f>
        <v>3014312</v>
      </c>
      <c r="L65" s="101">
        <f t="shared" si="5"/>
        <v>840.43799999999999</v>
      </c>
      <c r="M65" s="106">
        <v>46171</v>
      </c>
      <c r="N65" s="102" t="s">
        <v>3621</v>
      </c>
      <c r="O65" s="54"/>
      <c r="P65" s="103">
        <f t="shared" si="6"/>
        <v>0</v>
      </c>
      <c r="Q65" s="86"/>
      <c r="R65" s="104">
        <f>+VLOOKUP(A65,'[1]ORIGINAL '!D:E,2,0)</f>
        <v>0</v>
      </c>
      <c r="S65" s="105" t="b">
        <v>0</v>
      </c>
      <c r="T65" s="168" t="e">
        <f>VLOOKUP(A65,'OFICIO '!A:J,10,0)</f>
        <v>#N/A</v>
      </c>
    </row>
    <row r="66" spans="1:20" s="48" customFormat="1">
      <c r="A66" s="102">
        <v>2129309</v>
      </c>
      <c r="B66" s="98">
        <f>VLOOKUP(A66,Export!A:N,14,0)</f>
        <v>17927470</v>
      </c>
      <c r="C66" s="98" t="str">
        <f>VLOOKUP(A66,Export!A:P,16,0)</f>
        <v>MATIAS NICOLAS ACHARAN LEVIO</v>
      </c>
      <c r="D66" s="99" t="str">
        <f>VLOOKUP(A66,Export!A:H,8,0)</f>
        <v>31-60</v>
      </c>
      <c r="E66" s="99" t="str">
        <f>VLOOKUP(A66,Export!A:I,9,0)</f>
        <v>61-90</v>
      </c>
      <c r="F66" s="99" t="str">
        <f>VLOOKUP(A66,Export!A:AH,34,0)</f>
        <v>NO RECUPERADO</v>
      </c>
      <c r="G66" s="100" t="s">
        <v>3617</v>
      </c>
      <c r="H66" s="99">
        <v>3</v>
      </c>
      <c r="I66" s="99">
        <f>VLOOKUP(A66,Export!A:B,2,0)</f>
        <v>76</v>
      </c>
      <c r="J66" s="165">
        <f>VLOOKUP(A66,Export!A:R,18,0)</f>
        <v>284.09500000000003</v>
      </c>
      <c r="K66" s="165">
        <f>VLOOKUP(A66,Export!A:D,4,0)</f>
        <v>4460019</v>
      </c>
      <c r="L66" s="101">
        <f t="shared" si="5"/>
        <v>852.28500000000008</v>
      </c>
      <c r="M66" s="106">
        <v>46171</v>
      </c>
      <c r="N66" s="102" t="s">
        <v>3618</v>
      </c>
      <c r="O66" s="54"/>
      <c r="P66" s="103">
        <f t="shared" si="6"/>
        <v>4460019</v>
      </c>
      <c r="Q66" s="86"/>
      <c r="R66" s="104" t="e">
        <f>+VLOOKUP(A66,'[1]ORIGINAL '!D:E,2,0)</f>
        <v>#N/A</v>
      </c>
      <c r="S66" s="105" t="b">
        <v>0</v>
      </c>
      <c r="T66" s="168" t="e">
        <f>VLOOKUP(A66,'OFICIO '!A:J,10,0)</f>
        <v>#N/A</v>
      </c>
    </row>
    <row r="67" spans="1:20" s="48" customFormat="1">
      <c r="A67" s="102">
        <v>3346122</v>
      </c>
      <c r="B67" s="98" t="e">
        <f>VLOOKUP(A67,Export!A:N,14,0)</f>
        <v>#N/A</v>
      </c>
      <c r="C67" s="98" t="e">
        <f>VLOOKUP(A67,Export!A:P,16,0)</f>
        <v>#N/A</v>
      </c>
      <c r="D67" s="99" t="e">
        <f>VLOOKUP(A67,Export!A:H,8,0)</f>
        <v>#N/A</v>
      </c>
      <c r="E67" s="99" t="e">
        <f>VLOOKUP(A67,Export!A:I,9,0)</f>
        <v>#N/A</v>
      </c>
      <c r="F67" s="99" t="e">
        <f>VLOOKUP(A67,Export!A:AH,34,0)</f>
        <v>#N/A</v>
      </c>
      <c r="G67" s="100" t="s">
        <v>3617</v>
      </c>
      <c r="H67" s="99">
        <v>7</v>
      </c>
      <c r="I67" s="99" t="e">
        <f>VLOOKUP(A67,Export!A:B,2,0)</f>
        <v>#N/A</v>
      </c>
      <c r="J67" s="165" t="e">
        <f>VLOOKUP(A67,Export!A:R,18,0)</f>
        <v>#N/A</v>
      </c>
      <c r="K67" s="165" t="e">
        <f>VLOOKUP(A67,Export!A:D,4,0)</f>
        <v>#N/A</v>
      </c>
      <c r="L67" s="101" t="e">
        <f t="shared" si="5"/>
        <v>#N/A</v>
      </c>
      <c r="M67" s="106">
        <v>46171</v>
      </c>
      <c r="N67" s="102" t="s">
        <v>3621</v>
      </c>
      <c r="O67" s="54"/>
      <c r="P67" s="103">
        <f t="shared" si="6"/>
        <v>0</v>
      </c>
      <c r="Q67" s="86"/>
      <c r="R67" s="104">
        <f>+VLOOKUP(A67,'[1]ORIGINAL '!D:E,2,0)</f>
        <v>0</v>
      </c>
      <c r="S67" s="105" t="b">
        <v>0</v>
      </c>
      <c r="T67" s="168" t="e">
        <f>VLOOKUP(A67,'OFICIO '!A:J,10,0)</f>
        <v>#N/A</v>
      </c>
    </row>
    <row r="68" spans="1:20" s="48" customFormat="1">
      <c r="A68" s="102">
        <v>3158491</v>
      </c>
      <c r="B68" s="98">
        <f>VLOOKUP(A68,Export!A:N,14,0)</f>
        <v>12063228</v>
      </c>
      <c r="C68" s="98" t="str">
        <f>VLOOKUP(A68,Export!A:P,16,0)</f>
        <v>MANUEL ALEJANDRO MUÑOZ FIERRO</v>
      </c>
      <c r="D68" s="99" t="str">
        <f>VLOOKUP(A68,Export!A:H,8,0)</f>
        <v>31-60</v>
      </c>
      <c r="E68" s="99" t="str">
        <f>VLOOKUP(A68,Export!A:I,9,0)</f>
        <v>31-60</v>
      </c>
      <c r="F68" s="99" t="str">
        <f>VLOOKUP(A68,Export!A:AH,34,0)</f>
        <v>CONTENIDO</v>
      </c>
      <c r="G68" s="100" t="s">
        <v>3617</v>
      </c>
      <c r="H68" s="99"/>
      <c r="I68" s="99">
        <f>VLOOKUP(A68,Export!A:B,2,0)</f>
        <v>45</v>
      </c>
      <c r="J68" s="165">
        <f>VLOOKUP(A68,Export!A:R,18,0)</f>
        <v>132.65799999999999</v>
      </c>
      <c r="K68" s="165">
        <f>VLOOKUP(A68,Export!A:D,4,0)</f>
        <v>3793517</v>
      </c>
      <c r="L68" s="101">
        <f t="shared" ref="L68:L74" si="7">IF(G68="PAGO CUOTAS",H68*J68,K68)</f>
        <v>0</v>
      </c>
      <c r="M68" s="106"/>
      <c r="N68" s="102" t="s">
        <v>3618</v>
      </c>
      <c r="O68" s="54"/>
      <c r="P68" s="103">
        <f t="shared" ref="P68:P75" si="8">+SUMIF(N68,"PAGADO",K68)</f>
        <v>3793517</v>
      </c>
      <c r="Q68" s="86"/>
      <c r="R68" s="104" t="e">
        <f>+VLOOKUP(A68,'[1]ORIGINAL '!D:E,2,0)</f>
        <v>#N/A</v>
      </c>
      <c r="S68" s="105" t="b">
        <v>0</v>
      </c>
      <c r="T68" s="168" t="e">
        <f>VLOOKUP(A68,'OFICIO '!A:J,10,0)</f>
        <v>#N/A</v>
      </c>
    </row>
    <row r="69" spans="1:20" s="48" customFormat="1">
      <c r="A69" s="102">
        <v>2381394</v>
      </c>
      <c r="B69" s="98">
        <f>VLOOKUP(A69,Export!A:N,14,0)</f>
        <v>13875254</v>
      </c>
      <c r="C69" s="98" t="str">
        <f>VLOOKUP(A69,Export!A:P,16,0)</f>
        <v>CARLA ORIANA MUÑOZ MIRANDA</v>
      </c>
      <c r="D69" s="99" t="str">
        <f>VLOOKUP(A69,Export!A:H,8,0)</f>
        <v>61-90</v>
      </c>
      <c r="E69" s="99" t="str">
        <f>VLOOKUP(A69,Export!A:I,9,0)</f>
        <v>31-60</v>
      </c>
      <c r="F69" s="99" t="str">
        <f>VLOOKUP(A69,Export!A:AH,34,0)</f>
        <v>BAJA90</v>
      </c>
      <c r="G69" s="100" t="s">
        <v>3617</v>
      </c>
      <c r="H69" s="99">
        <v>2</v>
      </c>
      <c r="I69" s="99">
        <f>VLOOKUP(A69,Export!A:B,2,0)</f>
        <v>58</v>
      </c>
      <c r="J69" s="165">
        <f>VLOOKUP(A69,Export!A:R,18,0)</f>
        <v>378.73099999999999</v>
      </c>
      <c r="K69" s="165">
        <f>VLOOKUP(A69,Export!A:D,4,0)</f>
        <v>3575169</v>
      </c>
      <c r="L69" s="101">
        <f t="shared" si="7"/>
        <v>757.46199999999999</v>
      </c>
      <c r="M69" s="106">
        <v>46164</v>
      </c>
      <c r="N69" s="102" t="s">
        <v>3621</v>
      </c>
      <c r="O69" s="54"/>
      <c r="P69" s="103">
        <f t="shared" si="8"/>
        <v>0</v>
      </c>
      <c r="Q69" s="86"/>
      <c r="R69" s="104">
        <f>+VLOOKUP(A69,'[1]ORIGINAL '!D:E,2,0)</f>
        <v>0</v>
      </c>
      <c r="S69" s="105" t="b">
        <v>0</v>
      </c>
      <c r="T69" s="168" t="e">
        <f>VLOOKUP(A69,'OFICIO '!A:J,10,0)</f>
        <v>#N/A</v>
      </c>
    </row>
    <row r="70" spans="1:20" s="48" customFormat="1">
      <c r="A70" s="102">
        <v>3418845</v>
      </c>
      <c r="B70" s="98">
        <f>VLOOKUP(A70,Export!A:N,14,0)</f>
        <v>15778679</v>
      </c>
      <c r="C70" s="98" t="str">
        <f>VLOOKUP(A70,Export!A:P,16,0)</f>
        <v>SUSAN MARGARET MADARIAGA MOLINA</v>
      </c>
      <c r="D70" s="99" t="str">
        <f>VLOOKUP(A70,Export!A:H,8,0)</f>
        <v>121-150</v>
      </c>
      <c r="E70" s="99" t="str">
        <f>VLOOKUP(A70,Export!A:I,9,0)</f>
        <v>121-150</v>
      </c>
      <c r="F70" s="99" t="str">
        <f>VLOOKUP(A70,Export!A:AH,34,0)</f>
        <v>NO RECUPERADO</v>
      </c>
      <c r="G70" s="100" t="s">
        <v>3617</v>
      </c>
      <c r="H70" s="99"/>
      <c r="I70" s="99">
        <f>VLOOKUP(A70,Export!A:B,2,0)</f>
        <v>141</v>
      </c>
      <c r="J70" s="165">
        <f>VLOOKUP(A70,Export!A:R,18,0)</f>
        <v>160.84399999999999</v>
      </c>
      <c r="K70" s="165">
        <f>VLOOKUP(A70,Export!A:D,4,0)</f>
        <v>4346433</v>
      </c>
      <c r="L70" s="101">
        <f t="shared" si="7"/>
        <v>0</v>
      </c>
      <c r="M70" s="106"/>
      <c r="N70" s="102" t="s">
        <v>3618</v>
      </c>
      <c r="O70" s="54"/>
      <c r="P70" s="103">
        <f t="shared" si="8"/>
        <v>4346433</v>
      </c>
      <c r="Q70" s="86"/>
      <c r="R70" s="104" t="e">
        <f>+VLOOKUP(A70,'[1]ORIGINAL '!D:E,2,0)</f>
        <v>#N/A</v>
      </c>
      <c r="S70" s="105" t="b">
        <v>0</v>
      </c>
      <c r="T70" s="168" t="e">
        <f>VLOOKUP(A70,'OFICIO '!A:J,10,0)</f>
        <v>#N/A</v>
      </c>
    </row>
    <row r="71" spans="1:20" s="48" customFormat="1">
      <c r="A71" s="102">
        <v>3649161</v>
      </c>
      <c r="B71" s="98" t="e">
        <f>VLOOKUP(A71,Export!A:N,14,0)</f>
        <v>#N/A</v>
      </c>
      <c r="C71" s="98" t="e">
        <f>VLOOKUP(A71,Export!A:P,16,0)</f>
        <v>#N/A</v>
      </c>
      <c r="D71" s="99" t="e">
        <f>VLOOKUP(A71,Export!A:H,8,0)</f>
        <v>#N/A</v>
      </c>
      <c r="E71" s="99" t="e">
        <f>VLOOKUP(A71,Export!A:I,9,0)</f>
        <v>#N/A</v>
      </c>
      <c r="F71" s="99" t="e">
        <f>VLOOKUP(A71,Export!A:AH,34,0)</f>
        <v>#N/A</v>
      </c>
      <c r="G71" s="100" t="s">
        <v>3617</v>
      </c>
      <c r="H71" s="99">
        <v>3</v>
      </c>
      <c r="I71" s="99" t="e">
        <f>VLOOKUP(A71,Export!A:B,2,0)</f>
        <v>#N/A</v>
      </c>
      <c r="J71" s="165" t="e">
        <f>VLOOKUP(A71,Export!A:R,18,0)</f>
        <v>#N/A</v>
      </c>
      <c r="K71" s="165" t="e">
        <f>VLOOKUP(A71,Export!A:D,4,0)</f>
        <v>#N/A</v>
      </c>
      <c r="L71" s="101" t="e">
        <f t="shared" si="7"/>
        <v>#N/A</v>
      </c>
      <c r="M71" s="106">
        <v>46159</v>
      </c>
      <c r="N71" s="102" t="s">
        <v>3618</v>
      </c>
      <c r="O71" s="54">
        <v>46159</v>
      </c>
      <c r="P71" s="103" t="e">
        <f t="shared" si="8"/>
        <v>#N/A</v>
      </c>
      <c r="Q71" s="86"/>
      <c r="R71" s="104" t="e">
        <f>+VLOOKUP(A71,'[1]ORIGINAL '!D:E,2,0)</f>
        <v>#N/A</v>
      </c>
      <c r="S71" s="105" t="b">
        <v>0</v>
      </c>
      <c r="T71" s="168" t="e">
        <f>VLOOKUP(A71,'OFICIO '!A:J,10,0)</f>
        <v>#N/A</v>
      </c>
    </row>
    <row r="72" spans="1:20" s="48" customFormat="1">
      <c r="A72" s="102">
        <v>3649161</v>
      </c>
      <c r="B72" s="98" t="e">
        <f>VLOOKUP(A72,Export!A:N,14,0)</f>
        <v>#N/A</v>
      </c>
      <c r="C72" s="98" t="e">
        <f>VLOOKUP(A72,Export!A:P,16,0)</f>
        <v>#N/A</v>
      </c>
      <c r="D72" s="99" t="e">
        <f>VLOOKUP(A72,Export!A:H,8,0)</f>
        <v>#N/A</v>
      </c>
      <c r="E72" s="99" t="e">
        <f>VLOOKUP(A72,Export!A:I,9,0)</f>
        <v>#N/A</v>
      </c>
      <c r="F72" s="99" t="e">
        <f>VLOOKUP(A72,Export!A:AH,34,0)</f>
        <v>#N/A</v>
      </c>
      <c r="G72" s="100" t="s">
        <v>3617</v>
      </c>
      <c r="H72" s="99">
        <v>1</v>
      </c>
      <c r="I72" s="99" t="e">
        <f>VLOOKUP(A72,Export!A:B,2,0)</f>
        <v>#N/A</v>
      </c>
      <c r="J72" s="165" t="e">
        <f>VLOOKUP(A72,Export!A:R,18,0)</f>
        <v>#N/A</v>
      </c>
      <c r="K72" s="165" t="e">
        <f>VLOOKUP(A72,Export!A:D,4,0)</f>
        <v>#N/A</v>
      </c>
      <c r="L72" s="101" t="e">
        <f t="shared" si="7"/>
        <v>#N/A</v>
      </c>
      <c r="M72" s="106">
        <v>46171</v>
      </c>
      <c r="N72" s="102" t="s">
        <v>3621</v>
      </c>
      <c r="O72" s="54"/>
      <c r="P72" s="103">
        <f t="shared" si="8"/>
        <v>0</v>
      </c>
      <c r="Q72" s="86"/>
      <c r="R72" s="104" t="e">
        <f>+VLOOKUP(A72,'[1]ORIGINAL '!D:E,2,0)</f>
        <v>#N/A</v>
      </c>
      <c r="S72" s="105" t="b">
        <v>0</v>
      </c>
      <c r="T72" s="168" t="e">
        <f>VLOOKUP(A72,'OFICIO '!A:J,10,0)</f>
        <v>#N/A</v>
      </c>
    </row>
    <row r="73" spans="1:20" s="338" customFormat="1">
      <c r="A73" s="340">
        <v>2982296</v>
      </c>
      <c r="B73" s="327">
        <f>VLOOKUP(A73,Export!A:N,14,0)</f>
        <v>7445898</v>
      </c>
      <c r="C73" s="327" t="str">
        <f>VLOOKUP(A73,Export!A:P,16,0)</f>
        <v>TERESA DE JESÚS CAVADA VERGARA</v>
      </c>
      <c r="D73" s="326" t="str">
        <f>VLOOKUP(A73,Export!A:H,8,0)</f>
        <v>331-360</v>
      </c>
      <c r="E73" s="326" t="str">
        <f>VLOOKUP(A73,Export!A:I,9,0)</f>
        <v>331-360</v>
      </c>
      <c r="F73" s="326" t="str">
        <f>VLOOKUP(A73,Export!A:AH,34,0)</f>
        <v>NO RECUPERADO</v>
      </c>
      <c r="G73" s="328" t="s">
        <v>3617</v>
      </c>
      <c r="H73" s="326"/>
      <c r="I73" s="326">
        <f>VLOOKUP(A73,Export!A:B,2,0)</f>
        <v>351</v>
      </c>
      <c r="J73" s="329">
        <f>VLOOKUP(A73,Export!A:R,18,0)</f>
        <v>397.75799999999998</v>
      </c>
      <c r="K73" s="329">
        <f>VLOOKUP(A73,Export!A:D,4,0)</f>
        <v>11055466</v>
      </c>
      <c r="L73" s="330">
        <f t="shared" si="7"/>
        <v>0</v>
      </c>
      <c r="M73" s="341">
        <v>46171</v>
      </c>
      <c r="N73" s="340" t="s">
        <v>3621</v>
      </c>
      <c r="O73" s="342"/>
      <c r="P73" s="333">
        <f t="shared" si="8"/>
        <v>0</v>
      </c>
      <c r="Q73" s="339" t="s">
        <v>4081</v>
      </c>
      <c r="R73" s="335">
        <f>+VLOOKUP(A73,'[1]ORIGINAL '!D:E,2,0)</f>
        <v>0</v>
      </c>
      <c r="S73" s="336" t="b">
        <v>0</v>
      </c>
      <c r="T73" s="337" t="e">
        <f>VLOOKUP(A73,'OFICIO '!A:J,10,0)</f>
        <v>#N/A</v>
      </c>
    </row>
    <row r="74" spans="1:20" s="48" customFormat="1" ht="13.5" customHeight="1">
      <c r="A74" s="261">
        <v>2339568</v>
      </c>
      <c r="B74" s="262">
        <f>VLOOKUP(A74,Export!A:N,14,0)</f>
        <v>27138496</v>
      </c>
      <c r="C74" s="262" t="str">
        <f>VLOOKUP(A74,Export!A:P,16,0)</f>
        <v>GENITZARET BEATRIZ LIZCANO RANGEL</v>
      </c>
      <c r="D74" s="263" t="str">
        <f>VLOOKUP(A74,Export!A:H,8,0)</f>
        <v>211-240</v>
      </c>
      <c r="E74" s="263" t="str">
        <f>VLOOKUP(A74,Export!A:I,9,0)</f>
        <v>241-270</v>
      </c>
      <c r="F74" s="263" t="str">
        <f>VLOOKUP(A74,Export!A:AH,34,0)</f>
        <v>NO RECUPERADO</v>
      </c>
      <c r="G74" s="264" t="s">
        <v>3617</v>
      </c>
      <c r="H74" s="263">
        <v>4</v>
      </c>
      <c r="I74" s="263">
        <f>VLOOKUP(A74,Export!A:B,2,0)</f>
        <v>257</v>
      </c>
      <c r="J74" s="265">
        <f>VLOOKUP(A74,Export!A:R,18,0)</f>
        <v>341.08</v>
      </c>
      <c r="K74" s="265">
        <v>1672650</v>
      </c>
      <c r="L74" s="266">
        <f t="shared" si="7"/>
        <v>1364.32</v>
      </c>
      <c r="M74" s="267">
        <v>46171</v>
      </c>
      <c r="N74" s="261" t="s">
        <v>3621</v>
      </c>
      <c r="O74" s="268"/>
      <c r="P74" s="269">
        <f t="shared" si="8"/>
        <v>0</v>
      </c>
      <c r="Q74" s="270"/>
      <c r="R74" s="271">
        <f>+VLOOKUP(A74,'[1]ORIGINAL '!D:E,2,0)</f>
        <v>0</v>
      </c>
      <c r="S74" s="272" t="b">
        <v>0</v>
      </c>
      <c r="T74" s="273" t="e">
        <f>VLOOKUP(A74,'OFICIO '!A:J,10,0)</f>
        <v>#N/A</v>
      </c>
    </row>
    <row r="75" spans="1:20" s="293" customFormat="1">
      <c r="A75" s="290">
        <v>2567747</v>
      </c>
      <c r="B75" s="274">
        <f>VLOOKUP(A75,Export!A:N,14,0)</f>
        <v>23109537</v>
      </c>
      <c r="C75" s="274" t="str">
        <f>VLOOKUP(A75,Export!A:P,16,0)</f>
        <v>BRAYAN GIAMPIER  BAZAN VIGO</v>
      </c>
      <c r="D75" s="209" t="str">
        <f>VLOOKUP(A75,Export!A:H,8,0)</f>
        <v>181-210</v>
      </c>
      <c r="E75" s="209" t="str">
        <f>VLOOKUP(A75,Export!A:I,9,0)</f>
        <v>211-240</v>
      </c>
      <c r="F75" s="209" t="str">
        <f>VLOOKUP(A75,Export!A:AH,34,0)</f>
        <v>NO RECUPERADO</v>
      </c>
      <c r="G75" s="275" t="s">
        <v>3617</v>
      </c>
      <c r="H75" s="209">
        <v>4</v>
      </c>
      <c r="I75" s="209">
        <f>VLOOKUP(A75,Export!A:B,2,0)</f>
        <v>222</v>
      </c>
      <c r="J75" s="276">
        <f>VLOOKUP(A75,Export!A:R,18,0)</f>
        <v>383.30700000000002</v>
      </c>
      <c r="K75" s="276">
        <f>VLOOKUP(A75,Export!A:D,4,0)</f>
        <v>9087248</v>
      </c>
      <c r="L75" s="277">
        <v>1706266</v>
      </c>
      <c r="M75" s="291">
        <v>46171</v>
      </c>
      <c r="N75" s="290" t="s">
        <v>3621</v>
      </c>
      <c r="O75" s="292"/>
      <c r="P75" s="280">
        <f t="shared" si="8"/>
        <v>0</v>
      </c>
      <c r="Q75" s="281"/>
      <c r="R75" s="282">
        <f>+VLOOKUP(A75,'[1]ORIGINAL '!D:E,2,0)</f>
        <v>0</v>
      </c>
      <c r="S75" s="283" t="b">
        <v>0</v>
      </c>
      <c r="T75" s="284" t="e">
        <f>VLOOKUP(A75,'OFICIO '!A:J,10,0)</f>
        <v>#N/A</v>
      </c>
    </row>
    <row r="76" spans="1:20" s="343" customFormat="1" ht="13.5" customHeight="1">
      <c r="A76" s="340">
        <v>3032093</v>
      </c>
      <c r="B76" s="327" t="e">
        <f>VLOOKUP(A76,Export!A:N,14,0)</f>
        <v>#N/A</v>
      </c>
      <c r="C76" s="327" t="e">
        <f>VLOOKUP(A76,Export!A:P,16,0)</f>
        <v>#N/A</v>
      </c>
      <c r="D76" s="326" t="e">
        <f>VLOOKUP(A76,Export!A:H,8,0)</f>
        <v>#N/A</v>
      </c>
      <c r="E76" s="326" t="e">
        <f>VLOOKUP(A76,Export!A:I,9,0)</f>
        <v>#N/A</v>
      </c>
      <c r="F76" s="326" t="e">
        <f>VLOOKUP(A76,Export!A:AH,34,0)</f>
        <v>#N/A</v>
      </c>
      <c r="G76" s="328" t="s">
        <v>3617</v>
      </c>
      <c r="H76" s="326">
        <v>4</v>
      </c>
      <c r="I76" s="326" t="e">
        <f>VLOOKUP(A76,Export!A:B,2,0)</f>
        <v>#N/A</v>
      </c>
      <c r="J76" s="329" t="e">
        <f>VLOOKUP(A76,Export!A:R,18,0)</f>
        <v>#N/A</v>
      </c>
      <c r="K76" s="329" t="e">
        <f>VLOOKUP(A76,Export!A:D,4,0)</f>
        <v>#N/A</v>
      </c>
      <c r="L76" s="330">
        <v>1706266</v>
      </c>
      <c r="M76" s="341">
        <v>46171</v>
      </c>
      <c r="N76" s="340" t="s">
        <v>3621</v>
      </c>
      <c r="O76" s="342"/>
      <c r="P76" s="333">
        <f>+SUMIF(N76,"PAGADO",K76)</f>
        <v>0</v>
      </c>
      <c r="Q76" s="339"/>
      <c r="R76" s="335">
        <f>+VLOOKUP(A76,'[1]ORIGINAL '!D:E,2,0)</f>
        <v>0</v>
      </c>
      <c r="S76" s="336" t="b">
        <v>0</v>
      </c>
      <c r="T76" s="337" t="e">
        <f>VLOOKUP(A76,'OFICIO '!A:J,10,0)</f>
        <v>#N/A</v>
      </c>
    </row>
    <row r="77" spans="1:20" s="293" customFormat="1">
      <c r="A77" s="290">
        <v>3421001</v>
      </c>
      <c r="B77" s="274">
        <f>VLOOKUP(A77,Export!A:N,14,0)</f>
        <v>11853996</v>
      </c>
      <c r="C77" s="274" t="str">
        <f>VLOOKUP(A77,Export!A:P,16,0)</f>
        <v>MARCELA VIVIANA OYARCE ILLANES</v>
      </c>
      <c r="D77" s="209" t="str">
        <f>VLOOKUP(A77,Export!A:H,8,0)</f>
        <v>31-60</v>
      </c>
      <c r="E77" s="209">
        <f>VLOOKUP(A77,Export!A:I,9,0)</f>
        <v>46052</v>
      </c>
      <c r="F77" s="209" t="str">
        <f>VLOOKUP(A77,Export!A:AH,34,0)</f>
        <v>CONTENIDO</v>
      </c>
      <c r="G77" s="275" t="s">
        <v>3617</v>
      </c>
      <c r="H77" s="209">
        <v>1</v>
      </c>
      <c r="I77" s="209">
        <f>VLOOKUP(A77,Export!A:B,2,0)</f>
        <v>20</v>
      </c>
      <c r="J77" s="276">
        <f>VLOOKUP(A77,Export!A:R,18,0)</f>
        <v>278.56299999999999</v>
      </c>
      <c r="K77" s="276">
        <f>VLOOKUP(A77,Export!A:D,4,0)</f>
        <v>9431928</v>
      </c>
      <c r="L77" s="277">
        <v>1706266</v>
      </c>
      <c r="M77" s="291">
        <v>46171</v>
      </c>
      <c r="N77" s="290" t="s">
        <v>3621</v>
      </c>
      <c r="O77" s="292"/>
      <c r="P77" s="280">
        <f>+SUMIF(N77,"PAGADO",K77)</f>
        <v>0</v>
      </c>
      <c r="Q77" s="286"/>
      <c r="R77" s="282">
        <f>+VLOOKUP(A77,'[1]ORIGINAL '!D:E,2,0)</f>
        <v>0</v>
      </c>
      <c r="S77" s="283" t="b">
        <v>0</v>
      </c>
      <c r="T77" s="284" t="e">
        <f>VLOOKUP(A77,'OFICIO '!A:J,10,0)</f>
        <v>#N/A</v>
      </c>
    </row>
    <row r="78" spans="1:20" s="343" customFormat="1">
      <c r="A78" s="340">
        <v>3018067</v>
      </c>
      <c r="B78" s="327">
        <f>VLOOKUP(A78,Export!A:N,14,0)</f>
        <v>7806553</v>
      </c>
      <c r="C78" s="327" t="str">
        <f>VLOOKUP(A78,Export!A:P,16,0)</f>
        <v>PILAR ISABEL SEPÚLVEDA OLATE</v>
      </c>
      <c r="D78" s="326" t="str">
        <f>VLOOKUP(A78,Export!A:H,8,0)</f>
        <v>121-150</v>
      </c>
      <c r="E78" s="326" t="str">
        <f>VLOOKUP(A78,Export!A:I,9,0)</f>
        <v>91-120</v>
      </c>
      <c r="F78" s="326" t="str">
        <f>VLOOKUP(A78,Export!A:AH,34,0)</f>
        <v>CONTENIDO</v>
      </c>
      <c r="G78" s="328" t="s">
        <v>3617</v>
      </c>
      <c r="H78" s="326">
        <v>2</v>
      </c>
      <c r="I78" s="326">
        <f>VLOOKUP(A78,Export!A:B,2,0)</f>
        <v>110</v>
      </c>
      <c r="J78" s="329">
        <f>VLOOKUP(A78,Export!A:R,18,0)</f>
        <v>357.51600000000002</v>
      </c>
      <c r="K78" s="329">
        <f>VLOOKUP(A78,Export!A:D,4,0)</f>
        <v>7330135</v>
      </c>
      <c r="L78" s="330">
        <v>1706266</v>
      </c>
      <c r="M78" s="341">
        <v>46171</v>
      </c>
      <c r="N78" s="340" t="s">
        <v>3621</v>
      </c>
      <c r="O78" s="342"/>
      <c r="P78" s="333">
        <f>+SUMIF(N78,"PAGADO",K78)</f>
        <v>0</v>
      </c>
      <c r="Q78" s="334"/>
      <c r="R78" s="335">
        <f>+VLOOKUP(A78,'[1]ORIGINAL '!D:E,2,0)</f>
        <v>0</v>
      </c>
      <c r="S78" s="336" t="b">
        <v>0</v>
      </c>
      <c r="T78" s="337" t="e">
        <f>VLOOKUP(A78,'OFICIO '!A:J,10,0)</f>
        <v>#N/A</v>
      </c>
    </row>
    <row r="79" spans="1:20" s="306" customFormat="1">
      <c r="A79" s="303">
        <v>1307975</v>
      </c>
      <c r="B79" s="295">
        <f>VLOOKUP(A79,Export!A:N,14,0)</f>
        <v>8560731</v>
      </c>
      <c r="C79" s="295" t="str">
        <f>VLOOKUP(A79,Export!A:P,16,0)</f>
        <v>ANA PAOLA VEGA RODRÍGUEZ</v>
      </c>
      <c r="D79" s="294" t="str">
        <f>VLOOKUP(A79,Export!A:H,8,0)</f>
        <v>91-120</v>
      </c>
      <c r="E79" s="294" t="str">
        <f>VLOOKUP(A79,Export!A:I,9,0)</f>
        <v>121-150</v>
      </c>
      <c r="F79" s="294" t="str">
        <f>VLOOKUP(A79,Export!A:AH,34,0)</f>
        <v>NO RECUPERADO</v>
      </c>
      <c r="G79" s="296" t="s">
        <v>3617</v>
      </c>
      <c r="H79" s="294">
        <v>3</v>
      </c>
      <c r="I79" s="294">
        <f>VLOOKUP(A79,Export!A:B,2,0)</f>
        <v>137</v>
      </c>
      <c r="J79" s="297">
        <f>VLOOKUP(A79,Export!A:R,18,0)</f>
        <v>208.16900000000001</v>
      </c>
      <c r="K79" s="297">
        <f>VLOOKUP(A79,Export!A:D,4,0)</f>
        <v>990073</v>
      </c>
      <c r="L79" s="298">
        <v>1706266</v>
      </c>
      <c r="M79" s="304">
        <v>46171</v>
      </c>
      <c r="N79" s="303" t="s">
        <v>3618</v>
      </c>
      <c r="O79" s="305"/>
      <c r="P79" s="299">
        <f t="shared" ref="P79:P109" si="9">+SUMIF(N79,"PAGADO",K79)</f>
        <v>990073</v>
      </c>
      <c r="Q79" s="316"/>
      <c r="R79" s="300">
        <f>+VLOOKUP(A79,'[1]ORIGINAL '!D:E,2,0)</f>
        <v>0</v>
      </c>
      <c r="S79" s="301" t="b">
        <v>0</v>
      </c>
      <c r="T79" s="302" t="e">
        <f>VLOOKUP(A79,'OFICIO '!A:J,10,0)</f>
        <v>#N/A</v>
      </c>
    </row>
    <row r="80" spans="1:20" s="343" customFormat="1">
      <c r="A80" s="340">
        <v>2003692</v>
      </c>
      <c r="B80" s="327">
        <f>VLOOKUP(A80,Export!A:N,14,0)</f>
        <v>11527231</v>
      </c>
      <c r="C80" s="327" t="str">
        <f>VLOOKUP(A80,Export!A:P,16,0)</f>
        <v>LAURA DEL CARMEN SOTO BARRÍA</v>
      </c>
      <c r="D80" s="326" t="str">
        <f>VLOOKUP(A80,Export!A:H,8,0)</f>
        <v>151-180</v>
      </c>
      <c r="E80" s="326" t="str">
        <f>VLOOKUP(A80,Export!A:I,9,0)</f>
        <v>61-90</v>
      </c>
      <c r="F80" s="326" t="str">
        <f>VLOOKUP(A80,Export!A:AH,34,0)</f>
        <v>CONTENIDO</v>
      </c>
      <c r="G80" s="328" t="s">
        <v>3617</v>
      </c>
      <c r="H80" s="326">
        <v>6</v>
      </c>
      <c r="I80" s="326">
        <f>VLOOKUP(A80,Export!A:B,2,0)</f>
        <v>89</v>
      </c>
      <c r="J80" s="329">
        <f>VLOOKUP(A80,Export!A:R,18,0)</f>
        <v>399.39299999999997</v>
      </c>
      <c r="K80" s="329">
        <f>VLOOKUP(A80,Export!A:D,4,0)</f>
        <v>2205064</v>
      </c>
      <c r="L80" s="330">
        <v>2611449</v>
      </c>
      <c r="M80" s="341">
        <v>46171</v>
      </c>
      <c r="N80" s="340" t="s">
        <v>3621</v>
      </c>
      <c r="O80" s="342"/>
      <c r="P80" s="333">
        <f t="shared" si="9"/>
        <v>0</v>
      </c>
      <c r="Q80" s="334"/>
      <c r="R80" s="335">
        <f>+VLOOKUP(A80,'[1]ORIGINAL '!D:E,2,0)</f>
        <v>0</v>
      </c>
      <c r="S80" s="336" t="b">
        <v>0</v>
      </c>
      <c r="T80" s="337" t="e">
        <f>VLOOKUP(A80,'OFICIO '!A:J,10,0)</f>
        <v>#N/A</v>
      </c>
    </row>
    <row r="81" spans="1:20" s="293" customFormat="1" ht="14.25" customHeight="1">
      <c r="A81" s="290">
        <v>3057949</v>
      </c>
      <c r="B81" s="274">
        <f>VLOOKUP(A81,Export!A:N,14,0)</f>
        <v>21102950</v>
      </c>
      <c r="C81" s="274" t="str">
        <f>VLOOKUP(A81,Export!A:P,16,0)</f>
        <v>MARIA FERNANDA RIOS A</v>
      </c>
      <c r="D81" s="209" t="str">
        <f>VLOOKUP(A81,Export!A:H,8,0)</f>
        <v>31-60</v>
      </c>
      <c r="E81" s="209" t="str">
        <f>VLOOKUP(A81,Export!A:I,9,0)</f>
        <v>61-90</v>
      </c>
      <c r="F81" s="209" t="str">
        <f>VLOOKUP(A81,Export!A:AH,34,0)</f>
        <v>NO RECUPERADO</v>
      </c>
      <c r="G81" s="275" t="s">
        <v>3617</v>
      </c>
      <c r="H81" s="209">
        <v>4</v>
      </c>
      <c r="I81" s="209">
        <f>VLOOKUP(A81,Export!A:B,2,0)</f>
        <v>71</v>
      </c>
      <c r="J81" s="276">
        <f>VLOOKUP(A81,Export!A:R,18,0)</f>
        <v>256.20400000000001</v>
      </c>
      <c r="K81" s="276">
        <f>VLOOKUP(A81,Export!A:D,4,0)</f>
        <v>7364541</v>
      </c>
      <c r="L81" s="277">
        <v>1120738</v>
      </c>
      <c r="M81" s="291">
        <v>46171</v>
      </c>
      <c r="N81" s="290" t="s">
        <v>3618</v>
      </c>
      <c r="O81" s="292">
        <v>46172</v>
      </c>
      <c r="P81" s="280">
        <f t="shared" si="9"/>
        <v>7364541</v>
      </c>
      <c r="Q81" s="286"/>
      <c r="R81" s="282">
        <f>+VLOOKUP(A81,'[1]ORIGINAL '!D:E,2,0)</f>
        <v>0</v>
      </c>
      <c r="S81" s="283" t="b">
        <v>0</v>
      </c>
      <c r="T81" s="284" t="e">
        <f>VLOOKUP(A81,'OFICIO '!A:J,10,0)</f>
        <v>#N/A</v>
      </c>
    </row>
    <row r="82" spans="1:20" s="188" customFormat="1">
      <c r="A82" s="102">
        <v>2966597</v>
      </c>
      <c r="B82" s="98">
        <f>VLOOKUP(A82,Export!A:N,14,0)</f>
        <v>17415873</v>
      </c>
      <c r="C82" s="98" t="str">
        <f>VLOOKUP(A82,Export!A:P,16,0)</f>
        <v>NICOL VANESSA RIVERA SANHUEZA</v>
      </c>
      <c r="D82" s="99" t="str">
        <f>VLOOKUP(A82,Export!A:H,8,0)</f>
        <v>61-90</v>
      </c>
      <c r="E82" s="99" t="str">
        <f>VLOOKUP(A82,Export!A:I,9,0)</f>
        <v>91-120</v>
      </c>
      <c r="F82" s="99" t="str">
        <f>VLOOKUP(A82,Export!A:AH,34,0)</f>
        <v>NO RECUPERADO</v>
      </c>
      <c r="G82" s="100" t="s">
        <v>3617</v>
      </c>
      <c r="H82" s="99">
        <v>2</v>
      </c>
      <c r="I82" s="99">
        <f>VLOOKUP(A82,Export!A:B,2,0)</f>
        <v>101</v>
      </c>
      <c r="J82" s="165">
        <f>VLOOKUP(A82,Export!A:R,18,0)</f>
        <v>130.74199999999999</v>
      </c>
      <c r="K82" s="165">
        <f>VLOOKUP(A82,Export!A:D,4,0)</f>
        <v>2712385</v>
      </c>
      <c r="L82" s="101"/>
      <c r="M82" s="106">
        <v>46170</v>
      </c>
      <c r="N82" s="102" t="s">
        <v>3618</v>
      </c>
      <c r="O82" s="54">
        <v>46170</v>
      </c>
      <c r="P82" s="103">
        <f t="shared" si="9"/>
        <v>2712385</v>
      </c>
      <c r="Q82" s="287"/>
      <c r="R82" s="104">
        <f>+VLOOKUP(A82,'[1]ORIGINAL '!D:E,2,0)</f>
        <v>0</v>
      </c>
      <c r="S82" s="105" t="b">
        <v>0</v>
      </c>
      <c r="T82" s="168" t="e">
        <f>VLOOKUP(A82,'OFICIO '!A:J,10,0)</f>
        <v>#N/A</v>
      </c>
    </row>
    <row r="83" spans="1:20" s="293" customFormat="1">
      <c r="A83" s="290">
        <v>2794654</v>
      </c>
      <c r="B83" s="274">
        <f>VLOOKUP(A83,Export!A:N,14,0)</f>
        <v>10101870</v>
      </c>
      <c r="C83" s="274" t="str">
        <f>VLOOKUP(A83,Export!A:P,16,0)</f>
        <v>VICTOR MANUEL SEPULVEDA SCHAAF</v>
      </c>
      <c r="D83" s="209" t="str">
        <f>VLOOKUP(A83,Export!A:H,8,0)</f>
        <v>31-60</v>
      </c>
      <c r="E83" s="209" t="str">
        <f>VLOOKUP(A83,Export!A:I,9,0)</f>
        <v>61-90</v>
      </c>
      <c r="F83" s="209" t="str">
        <f>VLOOKUP(A83,Export!A:AH,34,0)</f>
        <v>NO RECUPERADO</v>
      </c>
      <c r="G83" s="275" t="s">
        <v>3617</v>
      </c>
      <c r="H83" s="209">
        <v>1</v>
      </c>
      <c r="I83" s="209">
        <f>VLOOKUP(A83,Export!A:B,2,0)</f>
        <v>71</v>
      </c>
      <c r="J83" s="276">
        <f>VLOOKUP(A83,Export!A:R,18,0)</f>
        <v>180.429</v>
      </c>
      <c r="K83" s="276">
        <f>VLOOKUP(A83,Export!A:D,4,0)</f>
        <v>2533318</v>
      </c>
      <c r="L83" s="277">
        <v>194259</v>
      </c>
      <c r="M83" s="291">
        <v>46171</v>
      </c>
      <c r="N83" s="290" t="s">
        <v>3618</v>
      </c>
      <c r="O83" s="292"/>
      <c r="P83" s="280">
        <f t="shared" si="9"/>
        <v>2533318</v>
      </c>
      <c r="Q83" s="286"/>
      <c r="R83" s="282">
        <f>+VLOOKUP(A83,'[1]ORIGINAL '!D:E,2,0)</f>
        <v>0</v>
      </c>
      <c r="S83" s="283" t="b">
        <v>0</v>
      </c>
      <c r="T83" s="284">
        <f>VLOOKUP(A83,'OFICIO '!A:J,10,0)</f>
        <v>46086</v>
      </c>
    </row>
    <row r="84" spans="1:20" s="293" customFormat="1">
      <c r="A84" s="290">
        <v>2893403</v>
      </c>
      <c r="B84" s="274">
        <f>VLOOKUP(A84,Export!A:N,14,0)</f>
        <v>10357961</v>
      </c>
      <c r="C84" s="274" t="str">
        <f>VLOOKUP(A84,Export!A:P,16,0)</f>
        <v>LUZ MARCELA LOPEZ BEAS</v>
      </c>
      <c r="D84" s="209" t="str">
        <f>VLOOKUP(A84,Export!A:H,8,0)</f>
        <v>91-120</v>
      </c>
      <c r="E84" s="209" t="str">
        <f>VLOOKUP(A84,Export!A:I,9,0)</f>
        <v>61-90</v>
      </c>
      <c r="F84" s="209" t="str">
        <f>VLOOKUP(A84,Export!A:AH,34,0)</f>
        <v>BAJA90</v>
      </c>
      <c r="G84" s="275" t="s">
        <v>3617</v>
      </c>
      <c r="H84" s="209">
        <v>1</v>
      </c>
      <c r="I84" s="209">
        <f>VLOOKUP(A84,Export!A:B,2,0)</f>
        <v>69</v>
      </c>
      <c r="J84" s="276">
        <f>VLOOKUP(A84,Export!A:R,18,0)</f>
        <v>314.91800000000001</v>
      </c>
      <c r="K84" s="276">
        <f>VLOOKUP(A84,Export!A:D,4,0)</f>
        <v>5770645</v>
      </c>
      <c r="L84" s="277">
        <v>335185</v>
      </c>
      <c r="M84" s="291">
        <v>46171</v>
      </c>
      <c r="N84" s="290" t="s">
        <v>3621</v>
      </c>
      <c r="O84" s="292"/>
      <c r="P84" s="280">
        <f t="shared" si="9"/>
        <v>0</v>
      </c>
      <c r="Q84" s="286"/>
      <c r="R84" s="282">
        <f>+VLOOKUP(A84,'[1]ORIGINAL '!D:E,2,0)</f>
        <v>0</v>
      </c>
      <c r="S84" s="283" t="b">
        <v>0</v>
      </c>
      <c r="T84" s="284">
        <f>VLOOKUP(A84,'OFICIO '!A:J,10,0)</f>
        <v>46055</v>
      </c>
    </row>
    <row r="85" spans="1:20" s="188" customFormat="1">
      <c r="A85" s="102">
        <v>1859110</v>
      </c>
      <c r="B85" s="98">
        <f>VLOOKUP(A85,Export!A:N,14,0)</f>
        <v>9711595</v>
      </c>
      <c r="C85" s="98" t="str">
        <f>VLOOKUP(A85,Export!A:P,16,0)</f>
        <v>MARÍA MARGARITA CUYUL MUÑOZ</v>
      </c>
      <c r="D85" s="99" t="str">
        <f>VLOOKUP(A85,Export!A:H,8,0)</f>
        <v>331-360</v>
      </c>
      <c r="E85" s="99" t="str">
        <f>VLOOKUP(A85,Export!A:I,9,0)</f>
        <v>331-360</v>
      </c>
      <c r="F85" s="99" t="str">
        <f>VLOOKUP(A85,Export!A:AH,34,0)</f>
        <v>NO RECUPERADO</v>
      </c>
      <c r="G85" s="100" t="s">
        <v>3617</v>
      </c>
      <c r="H85" s="99"/>
      <c r="I85" s="99">
        <f>VLOOKUP(A85,Export!A:B,2,0)</f>
        <v>360</v>
      </c>
      <c r="J85" s="165">
        <f>VLOOKUP(A85,Export!A:R,18,0)</f>
        <v>266.44299999999998</v>
      </c>
      <c r="K85" s="165">
        <f>VLOOKUP(A85,Export!A:D,4,0)</f>
        <v>2147018</v>
      </c>
      <c r="L85" s="101"/>
      <c r="M85" s="106"/>
      <c r="N85" s="102" t="s">
        <v>3621</v>
      </c>
      <c r="O85" s="54"/>
      <c r="P85" s="103">
        <f t="shared" si="9"/>
        <v>0</v>
      </c>
      <c r="Q85" s="287"/>
      <c r="R85" s="104">
        <f>+VLOOKUP(A85,'[1]ORIGINAL '!D:E,2,0)</f>
        <v>0</v>
      </c>
      <c r="S85" s="105" t="b">
        <v>0</v>
      </c>
      <c r="T85" s="168" t="e">
        <f>VLOOKUP(A85,'OFICIO '!A:J,10,0)</f>
        <v>#N/A</v>
      </c>
    </row>
    <row r="86" spans="1:20" s="343" customFormat="1">
      <c r="A86" s="340">
        <v>3425380</v>
      </c>
      <c r="B86" s="327">
        <f>VLOOKUP(A86,Export!A:N,14,0)</f>
        <v>10498341</v>
      </c>
      <c r="C86" s="327" t="str">
        <f>VLOOKUP(A86,Export!A:P,16,0)</f>
        <v>PEDRO EDUARDO RAMIREZ VIDAL</v>
      </c>
      <c r="D86" s="326" t="str">
        <f>VLOOKUP(A86,Export!A:H,8,0)</f>
        <v>151-180</v>
      </c>
      <c r="E86" s="326" t="str">
        <f>VLOOKUP(A86,Export!A:I,9,0)</f>
        <v>181-210</v>
      </c>
      <c r="F86" s="326" t="str">
        <f>VLOOKUP(A86,Export!A:AH,34,0)</f>
        <v>NO RECUPERADO</v>
      </c>
      <c r="G86" s="328" t="s">
        <v>3617</v>
      </c>
      <c r="H86" s="326">
        <v>3</v>
      </c>
      <c r="I86" s="326">
        <f>VLOOKUP(A86,Export!A:B,2,0)</f>
        <v>198</v>
      </c>
      <c r="J86" s="329">
        <f>VLOOKUP(A86,Export!A:R,18,0)</f>
        <v>335.67700000000002</v>
      </c>
      <c r="K86" s="329">
        <f>VLOOKUP(A86,Export!A:D,4,0)</f>
        <v>9223296</v>
      </c>
      <c r="L86" s="330">
        <v>1096953</v>
      </c>
      <c r="M86" s="341">
        <v>46171</v>
      </c>
      <c r="N86" s="340" t="s">
        <v>3621</v>
      </c>
      <c r="O86" s="342"/>
      <c r="P86" s="333">
        <f t="shared" si="9"/>
        <v>0</v>
      </c>
      <c r="Q86" s="339"/>
      <c r="R86" s="335" t="e">
        <f>+VLOOKUP(A86,'[1]ORIGINAL '!D:E,2,0)</f>
        <v>#N/A</v>
      </c>
      <c r="S86" s="336" t="b">
        <v>0</v>
      </c>
      <c r="T86" s="337" t="e">
        <f>VLOOKUP(A86,'OFICIO '!A:J,10,0)</f>
        <v>#N/A</v>
      </c>
    </row>
    <row r="87" spans="1:20" s="293" customFormat="1">
      <c r="A87" s="290">
        <v>3451420</v>
      </c>
      <c r="B87" s="274" t="e">
        <f>VLOOKUP(A87,Export!A:N,14,0)</f>
        <v>#N/A</v>
      </c>
      <c r="C87" s="274" t="e">
        <f>VLOOKUP(A87,Export!A:P,16,0)</f>
        <v>#N/A</v>
      </c>
      <c r="D87" s="209" t="e">
        <f>VLOOKUP(A87,Export!A:H,8,0)</f>
        <v>#N/A</v>
      </c>
      <c r="E87" s="209" t="e">
        <f>VLOOKUP(A87,Export!A:I,9,0)</f>
        <v>#N/A</v>
      </c>
      <c r="F87" s="209" t="e">
        <f>VLOOKUP(A87,Export!A:AH,34,0)</f>
        <v>#N/A</v>
      </c>
      <c r="G87" s="275" t="s">
        <v>3617</v>
      </c>
      <c r="H87" s="209">
        <v>2</v>
      </c>
      <c r="I87" s="209" t="e">
        <f>VLOOKUP(A87,Export!A:B,2,0)</f>
        <v>#N/A</v>
      </c>
      <c r="J87" s="276" t="e">
        <f>VLOOKUP(A87,Export!A:R,18,0)</f>
        <v>#N/A</v>
      </c>
      <c r="K87" s="276" t="e">
        <f>VLOOKUP(A87,Export!A:D,4,0)</f>
        <v>#N/A</v>
      </c>
      <c r="L87" s="277">
        <v>1403134</v>
      </c>
      <c r="M87" s="291">
        <v>46170</v>
      </c>
      <c r="N87" s="290" t="s">
        <v>3618</v>
      </c>
      <c r="O87" s="292"/>
      <c r="P87" s="280" t="e">
        <f t="shared" si="9"/>
        <v>#N/A</v>
      </c>
      <c r="Q87" s="286"/>
      <c r="R87" s="282">
        <f>+VLOOKUP(A87,'[1]ORIGINAL '!D:E,2,0)</f>
        <v>0</v>
      </c>
      <c r="S87" s="283" t="b">
        <v>0</v>
      </c>
      <c r="T87" s="284" t="e">
        <f>VLOOKUP(A87,'OFICIO '!A:J,10,0)</f>
        <v>#N/A</v>
      </c>
    </row>
    <row r="88" spans="1:20" s="293" customFormat="1">
      <c r="A88" s="290">
        <v>3334914</v>
      </c>
      <c r="B88" s="274">
        <f>VLOOKUP(A88,Export!A:N,14,0)</f>
        <v>9507551</v>
      </c>
      <c r="C88" s="274" t="str">
        <f>VLOOKUP(A88,Export!A:P,16,0)</f>
        <v>JUAN LUIS HERNANDEZ ALMONACID</v>
      </c>
      <c r="D88" s="209" t="str">
        <f>VLOOKUP(A88,Export!A:H,8,0)</f>
        <v>121-150</v>
      </c>
      <c r="E88" s="209" t="str">
        <f>VLOOKUP(A88,Export!A:I,9,0)</f>
        <v>151-180</v>
      </c>
      <c r="F88" s="209" t="str">
        <f>VLOOKUP(A88,Export!A:AH,34,0)</f>
        <v>NO RECUPERADO</v>
      </c>
      <c r="G88" s="275" t="s">
        <v>3617</v>
      </c>
      <c r="H88" s="209">
        <v>4</v>
      </c>
      <c r="I88" s="209">
        <f>VLOOKUP(A88,Export!A:B,2,0)</f>
        <v>165</v>
      </c>
      <c r="J88" s="276">
        <f>VLOOKUP(A88,Export!A:R,18,0)</f>
        <v>367.18599999999998</v>
      </c>
      <c r="K88" s="276">
        <f>VLOOKUP(A88,Export!A:D,4,0)</f>
        <v>10255953</v>
      </c>
      <c r="L88" s="277"/>
      <c r="M88" s="291"/>
      <c r="N88" s="290" t="s">
        <v>3621</v>
      </c>
      <c r="O88" s="292"/>
      <c r="P88" s="280">
        <f t="shared" si="9"/>
        <v>0</v>
      </c>
      <c r="Q88" s="286"/>
      <c r="R88" s="282">
        <f>+VLOOKUP(A88,'[1]ORIGINAL '!D:E,2,0)</f>
        <v>0</v>
      </c>
      <c r="S88" s="283" t="b">
        <v>0</v>
      </c>
      <c r="T88" s="284" t="e">
        <f>VLOOKUP(A88,'OFICIO '!A:J,10,0)</f>
        <v>#N/A</v>
      </c>
    </row>
    <row r="89" spans="1:20" s="343" customFormat="1">
      <c r="A89" s="340">
        <v>3366045</v>
      </c>
      <c r="B89" s="327">
        <f>VLOOKUP(A89,Export!A:N,14,0)</f>
        <v>16254713</v>
      </c>
      <c r="C89" s="327" t="str">
        <f>VLOOKUP(A89,Export!A:P,16,0)</f>
        <v>ITALO JOSE SILVA SALAMANCA</v>
      </c>
      <c r="D89" s="326">
        <f>VLOOKUP(A89,Export!A:H,8,0)</f>
        <v>46052</v>
      </c>
      <c r="E89" s="326" t="str">
        <f>VLOOKUP(A89,Export!A:I,9,0)</f>
        <v>31-60</v>
      </c>
      <c r="F89" s="326" t="str">
        <f>VLOOKUP(A89,Export!A:AH,34,0)</f>
        <v>NO RECUPERADO</v>
      </c>
      <c r="G89" s="328" t="s">
        <v>3617</v>
      </c>
      <c r="H89" s="326">
        <v>1</v>
      </c>
      <c r="I89" s="326">
        <f>VLOOKUP(A89,Export!A:B,2,0)</f>
        <v>45</v>
      </c>
      <c r="J89" s="329">
        <f>VLOOKUP(A89,Export!A:R,18,0)</f>
        <v>193.34800000000001</v>
      </c>
      <c r="K89" s="329">
        <f>VLOOKUP(A89,Export!A:D,4,0)</f>
        <v>2044734</v>
      </c>
      <c r="L89" s="330"/>
      <c r="M89" s="341"/>
      <c r="N89" s="340" t="s">
        <v>3621</v>
      </c>
      <c r="O89" s="342"/>
      <c r="P89" s="333">
        <f t="shared" si="9"/>
        <v>0</v>
      </c>
      <c r="Q89" s="334"/>
      <c r="R89" s="335">
        <f>+VLOOKUP(A89,'[1]ORIGINAL '!D:E,2,0)</f>
        <v>0</v>
      </c>
      <c r="S89" s="336" t="b">
        <v>0</v>
      </c>
      <c r="T89" s="337" t="e">
        <f>VLOOKUP(A89,'OFICIO '!A:J,10,0)</f>
        <v>#N/A</v>
      </c>
    </row>
    <row r="90" spans="1:20" s="293" customFormat="1">
      <c r="A90" s="290">
        <v>1429617</v>
      </c>
      <c r="B90" s="274">
        <f>VLOOKUP(A90,Export!A:N,14,0)</f>
        <v>15393920</v>
      </c>
      <c r="C90" s="274" t="str">
        <f>VLOOKUP(A90,Export!A:P,16,0)</f>
        <v>MARCELA DEL CARMEN CARTES GONZALEZ</v>
      </c>
      <c r="D90" s="209">
        <f>VLOOKUP(A90,Export!A:H,8,0)</f>
        <v>46052</v>
      </c>
      <c r="E90" s="209" t="str">
        <f>VLOOKUP(A90,Export!A:I,9,0)</f>
        <v>31-60</v>
      </c>
      <c r="F90" s="209" t="str">
        <f>VLOOKUP(A90,Export!A:AH,34,0)</f>
        <v>NO RECUPERADO</v>
      </c>
      <c r="G90" s="275" t="s">
        <v>3617</v>
      </c>
      <c r="H90" s="209">
        <v>1</v>
      </c>
      <c r="I90" s="209">
        <f>VLOOKUP(A90,Export!A:B,2,0)</f>
        <v>45</v>
      </c>
      <c r="J90" s="276">
        <f>VLOOKUP(A90,Export!A:R,18,0)</f>
        <v>214.80500000000001</v>
      </c>
      <c r="K90" s="276">
        <f>VLOOKUP(A90,Export!A:D,4,0)</f>
        <v>624676</v>
      </c>
      <c r="L90" s="277">
        <v>220650</v>
      </c>
      <c r="M90" s="291">
        <v>45804</v>
      </c>
      <c r="N90" s="290" t="s">
        <v>3618</v>
      </c>
      <c r="O90" s="292">
        <v>46169</v>
      </c>
      <c r="P90" s="280">
        <f t="shared" si="9"/>
        <v>624676</v>
      </c>
      <c r="Q90" s="286"/>
      <c r="R90" s="282">
        <f>+VLOOKUP(A90,'[1]ORIGINAL '!D:E,2,0)</f>
        <v>0</v>
      </c>
      <c r="S90" s="283" t="b">
        <v>0</v>
      </c>
      <c r="T90" s="284" t="e">
        <f>VLOOKUP(A90,'OFICIO '!A:J,10,0)</f>
        <v>#N/A</v>
      </c>
    </row>
    <row r="91" spans="1:20" s="293" customFormat="1">
      <c r="A91" s="290">
        <v>1914502</v>
      </c>
      <c r="B91" s="274">
        <f>VLOOKUP(A91,Export!A:N,14,0)</f>
        <v>76536445</v>
      </c>
      <c r="C91" s="274" t="str">
        <f>VLOOKUP(A91,Export!A:P,16,0)</f>
        <v>GASTRONOMIA PEREZ PANDO LIMITADA</v>
      </c>
      <c r="D91" s="209" t="str">
        <f>VLOOKUP(A91,Export!A:H,8,0)</f>
        <v>61-90</v>
      </c>
      <c r="E91" s="209" t="str">
        <f>VLOOKUP(A91,Export!A:I,9,0)</f>
        <v>91-120</v>
      </c>
      <c r="F91" s="209" t="str">
        <f>VLOOKUP(A91,Export!A:AH,34,0)</f>
        <v>NO RECUPERADO</v>
      </c>
      <c r="G91" s="275" t="s">
        <v>3617</v>
      </c>
      <c r="H91" s="209">
        <v>3</v>
      </c>
      <c r="I91" s="209">
        <f>VLOOKUP(A91,Export!A:B,2,0)</f>
        <v>96</v>
      </c>
      <c r="J91" s="276">
        <f>VLOOKUP(A91,Export!A:R,18,0)</f>
        <v>659.63599999999997</v>
      </c>
      <c r="K91" s="276">
        <f>VLOOKUP(A91,Export!A:D,4,0)</f>
        <v>1893087</v>
      </c>
      <c r="L91" s="277"/>
      <c r="M91" s="291">
        <v>46171</v>
      </c>
      <c r="N91" s="290" t="s">
        <v>3618</v>
      </c>
      <c r="O91" s="292">
        <v>46172</v>
      </c>
      <c r="P91" s="280">
        <f t="shared" si="9"/>
        <v>1893087</v>
      </c>
      <c r="Q91" s="286"/>
      <c r="R91" s="282">
        <f>+VLOOKUP(A91,'[1]ORIGINAL '!D:E,2,0)</f>
        <v>0</v>
      </c>
      <c r="S91" s="283" t="b">
        <v>0</v>
      </c>
      <c r="T91" s="284" t="e">
        <f>VLOOKUP(A91,'OFICIO '!A:J,10,0)</f>
        <v>#N/A</v>
      </c>
    </row>
    <row r="92" spans="1:20" s="188" customFormat="1">
      <c r="A92" s="102">
        <v>2362312</v>
      </c>
      <c r="B92" s="98" t="e">
        <f>VLOOKUP(A92,Export!A:N,14,0)</f>
        <v>#N/A</v>
      </c>
      <c r="C92" s="98" t="e">
        <f>VLOOKUP(A92,Export!A:P,16,0)</f>
        <v>#N/A</v>
      </c>
      <c r="D92" s="99" t="e">
        <f>VLOOKUP(A92,Export!A:H,8,0)</f>
        <v>#N/A</v>
      </c>
      <c r="E92" s="99" t="e">
        <f>VLOOKUP(A92,Export!A:I,9,0)</f>
        <v>#N/A</v>
      </c>
      <c r="F92" s="99" t="e">
        <f>VLOOKUP(A92,Export!A:AH,34,0)</f>
        <v>#N/A</v>
      </c>
      <c r="G92" s="100" t="s">
        <v>3617</v>
      </c>
      <c r="H92" s="99">
        <v>1</v>
      </c>
      <c r="I92" s="99" t="e">
        <f>VLOOKUP(A92,Export!A:B,2,0)</f>
        <v>#N/A</v>
      </c>
      <c r="J92" s="165" t="e">
        <f>VLOOKUP(A92,Export!A:R,18,0)</f>
        <v>#N/A</v>
      </c>
      <c r="K92" s="165" t="e">
        <f>VLOOKUP(A92,Export!A:D,4,0)</f>
        <v>#N/A</v>
      </c>
      <c r="L92" s="101">
        <v>243900</v>
      </c>
      <c r="M92" s="106">
        <v>46171</v>
      </c>
      <c r="N92" s="102" t="s">
        <v>3618</v>
      </c>
      <c r="O92" s="54"/>
      <c r="P92" s="103" t="e">
        <f t="shared" si="9"/>
        <v>#N/A</v>
      </c>
      <c r="Q92" s="287"/>
      <c r="R92" s="104" t="e">
        <f>+VLOOKUP(A92,'[1]ORIGINAL '!D:E,2,0)</f>
        <v>#N/A</v>
      </c>
      <c r="S92" s="105" t="b">
        <v>0</v>
      </c>
      <c r="T92" s="168" t="e">
        <f>VLOOKUP(A92,'OFICIO '!A:J,10,0)</f>
        <v>#N/A</v>
      </c>
    </row>
    <row r="93" spans="1:20" s="188" customFormat="1">
      <c r="A93" s="102">
        <v>2348879</v>
      </c>
      <c r="B93" s="98">
        <f>VLOOKUP(A93,Export!A:N,14,0)</f>
        <v>19398935</v>
      </c>
      <c r="C93" s="98" t="str">
        <f>VLOOKUP(A93,Export!A:P,16,0)</f>
        <v>William Anselmo Morales Toro</v>
      </c>
      <c r="D93" s="99" t="str">
        <f>VLOOKUP(A93,Export!A:H,8,0)</f>
        <v>61-90</v>
      </c>
      <c r="E93" s="99">
        <f>VLOOKUP(A93,Export!A:I,9,0)</f>
        <v>46052</v>
      </c>
      <c r="F93" s="99" t="str">
        <f>VLOOKUP(A93,Export!A:AH,34,0)</f>
        <v>BAJA90</v>
      </c>
      <c r="G93" s="100" t="s">
        <v>3617</v>
      </c>
      <c r="H93" s="99"/>
      <c r="I93" s="99">
        <f>VLOOKUP(A93,Export!A:B,2,0)</f>
        <v>15</v>
      </c>
      <c r="J93" s="165">
        <f>VLOOKUP(A93,Export!A:R,18,0)</f>
        <v>226.684</v>
      </c>
      <c r="K93" s="165">
        <f>VLOOKUP(A93,Export!A:D,4,0)</f>
        <v>4943344</v>
      </c>
      <c r="L93" s="101"/>
      <c r="M93" s="106"/>
      <c r="N93" s="102" t="s">
        <v>3618</v>
      </c>
      <c r="O93" s="54"/>
      <c r="P93" s="103">
        <f t="shared" si="9"/>
        <v>4943344</v>
      </c>
      <c r="Q93" s="287"/>
      <c r="R93" s="104">
        <f>+VLOOKUP(A93,'[1]ORIGINAL '!D:E,2,0)</f>
        <v>0</v>
      </c>
      <c r="S93" s="105" t="b">
        <v>0</v>
      </c>
      <c r="T93" s="168" t="e">
        <f>VLOOKUP(A93,'OFICIO '!A:J,10,0)</f>
        <v>#N/A</v>
      </c>
    </row>
    <row r="94" spans="1:20" s="188" customFormat="1">
      <c r="A94" s="102">
        <v>2822126</v>
      </c>
      <c r="B94" s="98">
        <f>VLOOKUP(A94,Export!A:N,14,0)</f>
        <v>17484621</v>
      </c>
      <c r="C94" s="98" t="str">
        <f>VLOOKUP(A94,Export!A:P,16,0)</f>
        <v>PRISCILLA FERNANDA  SALDÍAS  BARROS</v>
      </c>
      <c r="D94" s="99" t="str">
        <f>VLOOKUP(A94,Export!A:H,8,0)</f>
        <v>61-90</v>
      </c>
      <c r="E94" s="99">
        <f>VLOOKUP(A94,Export!A:I,9,0)</f>
        <v>46052</v>
      </c>
      <c r="F94" s="99" t="str">
        <f>VLOOKUP(A94,Export!A:AH,34,0)</f>
        <v>BAJA90</v>
      </c>
      <c r="G94" s="100" t="s">
        <v>3617</v>
      </c>
      <c r="H94" s="99"/>
      <c r="I94" s="99">
        <f>VLOOKUP(A94,Export!A:B,2,0)</f>
        <v>30</v>
      </c>
      <c r="J94" s="165">
        <f>VLOOKUP(A94,Export!A:R,18,0)</f>
        <v>170.887</v>
      </c>
      <c r="K94" s="165">
        <f>VLOOKUP(A94,Export!A:D,4,0)</f>
        <v>2494587</v>
      </c>
      <c r="L94" s="101"/>
      <c r="M94" s="106"/>
      <c r="N94" s="102" t="s">
        <v>3618</v>
      </c>
      <c r="O94" s="54"/>
      <c r="P94" s="103">
        <f t="shared" si="9"/>
        <v>2494587</v>
      </c>
      <c r="Q94" s="287"/>
      <c r="R94" s="104">
        <f>+VLOOKUP(A94,'[1]ORIGINAL '!D:E,2,0)</f>
        <v>0</v>
      </c>
      <c r="S94" s="105" t="b">
        <v>0</v>
      </c>
      <c r="T94" s="168" t="e">
        <f>VLOOKUP(A94,'OFICIO '!A:J,10,0)</f>
        <v>#N/A</v>
      </c>
    </row>
    <row r="95" spans="1:20" s="293" customFormat="1">
      <c r="A95" s="290">
        <v>2916362</v>
      </c>
      <c r="B95" s="274">
        <f>VLOOKUP(A95,Export!A:N,14,0)</f>
        <v>17194972</v>
      </c>
      <c r="C95" s="274" t="str">
        <f>VLOOKUP(A95,Export!A:P,16,0)</f>
        <v>DANISA JOHANNA VILCHES ROJAS</v>
      </c>
      <c r="D95" s="209" t="str">
        <f>VLOOKUP(A95,Export!A:H,8,0)</f>
        <v>31-60</v>
      </c>
      <c r="E95" s="209" t="str">
        <f>VLOOKUP(A95,Export!A:I,9,0)</f>
        <v>31-60</v>
      </c>
      <c r="F95" s="209" t="str">
        <f>VLOOKUP(A95,Export!A:AH,34,0)</f>
        <v>CONTENIDO</v>
      </c>
      <c r="G95" s="275" t="s">
        <v>3617</v>
      </c>
      <c r="H95" s="209">
        <v>1</v>
      </c>
      <c r="I95" s="209">
        <f>VLOOKUP(A95,Export!A:B,2,0)</f>
        <v>45</v>
      </c>
      <c r="J95" s="276">
        <f>VLOOKUP(A95,Export!A:R,18,0)</f>
        <v>137.238</v>
      </c>
      <c r="K95" s="276">
        <f>VLOOKUP(A95,Export!A:D,4,0)</f>
        <v>1484865</v>
      </c>
      <c r="L95" s="277"/>
      <c r="M95" s="291"/>
      <c r="N95" s="290" t="s">
        <v>3618</v>
      </c>
      <c r="O95" s="292"/>
      <c r="P95" s="280">
        <f t="shared" si="9"/>
        <v>1484865</v>
      </c>
      <c r="Q95" s="286"/>
      <c r="R95" s="282">
        <f>+VLOOKUP(A95,'[1]ORIGINAL '!D:E,2,0)</f>
        <v>0</v>
      </c>
      <c r="S95" s="283" t="b">
        <v>0</v>
      </c>
      <c r="T95" s="284" t="e">
        <f>VLOOKUP(A95,'OFICIO '!A:J,10,0)</f>
        <v>#N/A</v>
      </c>
    </row>
    <row r="96" spans="1:20" s="188" customFormat="1">
      <c r="A96" s="102"/>
      <c r="B96" s="98" t="e">
        <f>VLOOKUP(A96,Export!A:N,14,0)</f>
        <v>#N/A</v>
      </c>
      <c r="C96" s="98" t="e">
        <f>VLOOKUP(A96,Export!A:P,16,0)</f>
        <v>#N/A</v>
      </c>
      <c r="D96" s="99" t="e">
        <f>VLOOKUP(A96,Export!A:H,8,0)</f>
        <v>#N/A</v>
      </c>
      <c r="E96" s="99" t="e">
        <f>VLOOKUP(A96,Export!A:I,9,0)</f>
        <v>#N/A</v>
      </c>
      <c r="F96" s="99" t="e">
        <f>VLOOKUP(A96,Export!A:AH,34,0)</f>
        <v>#N/A</v>
      </c>
      <c r="G96" s="100" t="s">
        <v>3617</v>
      </c>
      <c r="H96" s="99"/>
      <c r="I96" s="99" t="e">
        <f>VLOOKUP(A96,Export!A:B,2,0)</f>
        <v>#N/A</v>
      </c>
      <c r="J96" s="165" t="e">
        <f>VLOOKUP(A96,Export!A:R,18,0)</f>
        <v>#N/A</v>
      </c>
      <c r="K96" s="165" t="e">
        <f>VLOOKUP(A96,Export!A:D,4,0)</f>
        <v>#N/A</v>
      </c>
      <c r="L96" s="101"/>
      <c r="M96" s="106"/>
      <c r="N96" s="102" t="s">
        <v>3621</v>
      </c>
      <c r="O96" s="54"/>
      <c r="P96" s="103">
        <f t="shared" si="9"/>
        <v>0</v>
      </c>
      <c r="Q96" s="287"/>
      <c r="R96" s="104" t="e">
        <f>+VLOOKUP(A96,'[1]ORIGINAL '!D:E,2,0)</f>
        <v>#N/A</v>
      </c>
      <c r="S96" s="105" t="b">
        <v>0</v>
      </c>
      <c r="T96" s="168" t="e">
        <f>VLOOKUP(A96,'OFICIO '!A:J,10,0)</f>
        <v>#N/A</v>
      </c>
    </row>
    <row r="97" spans="1:20" s="188" customFormat="1">
      <c r="A97" s="102"/>
      <c r="B97" s="98" t="e">
        <f>VLOOKUP(A97,Export!A:N,14,0)</f>
        <v>#N/A</v>
      </c>
      <c r="C97" s="98" t="e">
        <f>VLOOKUP(A97,Export!A:P,16,0)</f>
        <v>#N/A</v>
      </c>
      <c r="D97" s="99" t="e">
        <f>VLOOKUP(A97,Export!A:H,8,0)</f>
        <v>#N/A</v>
      </c>
      <c r="E97" s="99" t="e">
        <f>VLOOKUP(A97,Export!A:I,9,0)</f>
        <v>#N/A</v>
      </c>
      <c r="F97" s="99" t="e">
        <f>VLOOKUP(A97,Export!A:AH,34,0)</f>
        <v>#N/A</v>
      </c>
      <c r="G97" s="100" t="s">
        <v>3617</v>
      </c>
      <c r="H97" s="99"/>
      <c r="I97" s="99" t="e">
        <f>VLOOKUP(A97,Export!A:B,2,0)</f>
        <v>#N/A</v>
      </c>
      <c r="J97" s="165" t="e">
        <f>VLOOKUP(A97,Export!A:R,18,0)</f>
        <v>#N/A</v>
      </c>
      <c r="K97" s="165" t="e">
        <f>VLOOKUP(A97,Export!A:D,4,0)</f>
        <v>#N/A</v>
      </c>
      <c r="L97" s="101"/>
      <c r="M97" s="106"/>
      <c r="N97" s="102" t="s">
        <v>3621</v>
      </c>
      <c r="O97" s="54"/>
      <c r="P97" s="103">
        <f t="shared" si="9"/>
        <v>0</v>
      </c>
      <c r="Q97" s="287"/>
      <c r="R97" s="104" t="e">
        <f>+VLOOKUP(A97,'[1]ORIGINAL '!D:E,2,0)</f>
        <v>#N/A</v>
      </c>
      <c r="S97" s="105" t="b">
        <v>0</v>
      </c>
      <c r="T97" s="168" t="e">
        <f>VLOOKUP(A97,'OFICIO '!A:J,10,0)</f>
        <v>#N/A</v>
      </c>
    </row>
    <row r="98" spans="1:20" s="188" customFormat="1">
      <c r="A98" s="102"/>
      <c r="B98" s="98" t="e">
        <f>VLOOKUP(A98,Export!A:N,14,0)</f>
        <v>#N/A</v>
      </c>
      <c r="C98" s="98" t="e">
        <f>VLOOKUP(A98,Export!A:P,16,0)</f>
        <v>#N/A</v>
      </c>
      <c r="D98" s="99" t="e">
        <f>VLOOKUP(A98,Export!A:H,8,0)</f>
        <v>#N/A</v>
      </c>
      <c r="E98" s="99" t="e">
        <f>VLOOKUP(A98,Export!A:I,9,0)</f>
        <v>#N/A</v>
      </c>
      <c r="F98" s="99" t="e">
        <f>VLOOKUP(A98,Export!A:AH,34,0)</f>
        <v>#N/A</v>
      </c>
      <c r="G98" s="100" t="s">
        <v>3617</v>
      </c>
      <c r="H98" s="99"/>
      <c r="I98" s="99" t="e">
        <f>VLOOKUP(A98,Export!A:B,2,0)</f>
        <v>#N/A</v>
      </c>
      <c r="J98" s="165" t="e">
        <f>VLOOKUP(A98,Export!A:R,18,0)</f>
        <v>#N/A</v>
      </c>
      <c r="K98" s="165" t="e">
        <f>VLOOKUP(A98,Export!A:D,4,0)</f>
        <v>#N/A</v>
      </c>
      <c r="L98" s="101"/>
      <c r="M98" s="106"/>
      <c r="N98" s="102" t="s">
        <v>3621</v>
      </c>
      <c r="O98" s="54"/>
      <c r="P98" s="103">
        <f t="shared" si="9"/>
        <v>0</v>
      </c>
      <c r="Q98" s="287"/>
      <c r="R98" s="104" t="e">
        <f>+VLOOKUP(A98,'[1]ORIGINAL '!D:E,2,0)</f>
        <v>#N/A</v>
      </c>
      <c r="S98" s="105" t="b">
        <v>0</v>
      </c>
      <c r="T98" s="168" t="e">
        <f>VLOOKUP(A98,'OFICIO '!A:J,10,0)</f>
        <v>#N/A</v>
      </c>
    </row>
    <row r="99" spans="1:20" s="188" customFormat="1">
      <c r="A99" s="102"/>
      <c r="B99" s="98" t="e">
        <f>VLOOKUP(A99,Export!A:N,14,0)</f>
        <v>#N/A</v>
      </c>
      <c r="C99" s="98" t="e">
        <f>VLOOKUP(A99,Export!A:P,16,0)</f>
        <v>#N/A</v>
      </c>
      <c r="D99" s="99" t="e">
        <f>VLOOKUP(A99,Export!A:H,8,0)</f>
        <v>#N/A</v>
      </c>
      <c r="E99" s="99" t="e">
        <f>VLOOKUP(A99,Export!A:I,9,0)</f>
        <v>#N/A</v>
      </c>
      <c r="F99" s="99" t="e">
        <f>VLOOKUP(A99,Export!A:AH,34,0)</f>
        <v>#N/A</v>
      </c>
      <c r="G99" s="100" t="s">
        <v>3617</v>
      </c>
      <c r="H99" s="99"/>
      <c r="I99" s="99" t="e">
        <f>VLOOKUP(A99,Export!A:B,2,0)</f>
        <v>#N/A</v>
      </c>
      <c r="J99" s="165" t="e">
        <f>VLOOKUP(A99,Export!A:R,18,0)</f>
        <v>#N/A</v>
      </c>
      <c r="K99" s="165" t="e">
        <f>VLOOKUP(A99,Export!A:D,4,0)</f>
        <v>#N/A</v>
      </c>
      <c r="L99" s="101"/>
      <c r="M99" s="106"/>
      <c r="N99" s="102" t="s">
        <v>3621</v>
      </c>
      <c r="O99" s="54"/>
      <c r="P99" s="103">
        <f t="shared" si="9"/>
        <v>0</v>
      </c>
      <c r="Q99" s="287"/>
      <c r="R99" s="104" t="e">
        <f>+VLOOKUP(A99,'[1]ORIGINAL '!D:E,2,0)</f>
        <v>#N/A</v>
      </c>
      <c r="S99" s="105" t="b">
        <v>0</v>
      </c>
      <c r="T99" s="168" t="e">
        <f>VLOOKUP(A99,'OFICIO '!A:J,10,0)</f>
        <v>#N/A</v>
      </c>
    </row>
    <row r="100" spans="1:20" s="188" customFormat="1">
      <c r="A100" s="102"/>
      <c r="B100" s="98" t="e">
        <f>VLOOKUP(A100,Export!A:N,14,0)</f>
        <v>#N/A</v>
      </c>
      <c r="C100" s="98" t="e">
        <f>VLOOKUP(A100,Export!A:P,16,0)</f>
        <v>#N/A</v>
      </c>
      <c r="D100" s="99" t="e">
        <f>VLOOKUP(A100,Export!A:H,8,0)</f>
        <v>#N/A</v>
      </c>
      <c r="E100" s="99" t="e">
        <f>VLOOKUP(A100,Export!A:I,9,0)</f>
        <v>#N/A</v>
      </c>
      <c r="F100" s="99" t="e">
        <f>VLOOKUP(A100,Export!A:AH,34,0)</f>
        <v>#N/A</v>
      </c>
      <c r="G100" s="100" t="s">
        <v>3617</v>
      </c>
      <c r="H100" s="99"/>
      <c r="I100" s="99" t="e">
        <f>VLOOKUP(A100,Export!A:B,2,0)</f>
        <v>#N/A</v>
      </c>
      <c r="J100" s="165" t="e">
        <f>VLOOKUP(A100,Export!A:R,18,0)</f>
        <v>#N/A</v>
      </c>
      <c r="K100" s="165" t="e">
        <f>VLOOKUP(A100,Export!A:D,4,0)</f>
        <v>#N/A</v>
      </c>
      <c r="L100" s="101"/>
      <c r="M100" s="106"/>
      <c r="N100" s="102" t="s">
        <v>3621</v>
      </c>
      <c r="O100" s="54"/>
      <c r="P100" s="103">
        <f t="shared" si="9"/>
        <v>0</v>
      </c>
      <c r="Q100" s="287"/>
      <c r="R100" s="104" t="e">
        <f>+VLOOKUP(A100,'[1]ORIGINAL '!D:E,2,0)</f>
        <v>#N/A</v>
      </c>
      <c r="S100" s="105" t="b">
        <v>0</v>
      </c>
      <c r="T100" s="168" t="e">
        <f>VLOOKUP(A100,'OFICIO '!A:J,10,0)</f>
        <v>#N/A</v>
      </c>
    </row>
    <row r="101" spans="1:20" s="188" customFormat="1">
      <c r="A101" s="102"/>
      <c r="B101" s="98" t="e">
        <f>VLOOKUP(A101,Export!A:N,14,0)</f>
        <v>#N/A</v>
      </c>
      <c r="C101" s="98" t="e">
        <f>VLOOKUP(A101,Export!A:P,16,0)</f>
        <v>#N/A</v>
      </c>
      <c r="D101" s="99" t="e">
        <f>VLOOKUP(A101,Export!A:H,8,0)</f>
        <v>#N/A</v>
      </c>
      <c r="E101" s="99" t="e">
        <f>VLOOKUP(A101,Export!A:I,9,0)</f>
        <v>#N/A</v>
      </c>
      <c r="F101" s="99" t="e">
        <f>VLOOKUP(A101,Export!A:AH,34,0)</f>
        <v>#N/A</v>
      </c>
      <c r="G101" s="100" t="s">
        <v>3617</v>
      </c>
      <c r="H101" s="99"/>
      <c r="I101" s="99" t="e">
        <f>VLOOKUP(A101,Export!A:B,2,0)</f>
        <v>#N/A</v>
      </c>
      <c r="J101" s="165" t="e">
        <f>VLOOKUP(A101,Export!A:R,18,0)</f>
        <v>#N/A</v>
      </c>
      <c r="K101" s="165" t="e">
        <f>VLOOKUP(A101,Export!A:D,4,0)</f>
        <v>#N/A</v>
      </c>
      <c r="L101" s="101"/>
      <c r="M101" s="106"/>
      <c r="N101" s="102" t="s">
        <v>3621</v>
      </c>
      <c r="O101" s="54"/>
      <c r="P101" s="103">
        <f t="shared" si="9"/>
        <v>0</v>
      </c>
      <c r="Q101" s="287"/>
      <c r="R101" s="104" t="e">
        <f>+VLOOKUP(A101,'[1]ORIGINAL '!D:E,2,0)</f>
        <v>#N/A</v>
      </c>
      <c r="S101" s="105" t="b">
        <v>0</v>
      </c>
      <c r="T101" s="168" t="e">
        <f>VLOOKUP(A101,'OFICIO '!A:J,10,0)</f>
        <v>#N/A</v>
      </c>
    </row>
    <row r="102" spans="1:20" s="188" customFormat="1">
      <c r="A102" s="102"/>
      <c r="B102" s="98" t="e">
        <f>VLOOKUP(A102,Export!A:N,14,0)</f>
        <v>#N/A</v>
      </c>
      <c r="C102" s="98" t="e">
        <f>VLOOKUP(A102,Export!A:P,16,0)</f>
        <v>#N/A</v>
      </c>
      <c r="D102" s="99" t="e">
        <f>VLOOKUP(A102,Export!A:H,8,0)</f>
        <v>#N/A</v>
      </c>
      <c r="E102" s="99" t="e">
        <f>VLOOKUP(A102,Export!A:I,9,0)</f>
        <v>#N/A</v>
      </c>
      <c r="F102" s="99" t="e">
        <f>VLOOKUP(A102,Export!A:AH,34,0)</f>
        <v>#N/A</v>
      </c>
      <c r="G102" s="100" t="s">
        <v>3617</v>
      </c>
      <c r="H102" s="99"/>
      <c r="I102" s="99" t="e">
        <f>VLOOKUP(A102,Export!A:B,2,0)</f>
        <v>#N/A</v>
      </c>
      <c r="J102" s="165" t="e">
        <f>VLOOKUP(A102,Export!A:R,18,0)</f>
        <v>#N/A</v>
      </c>
      <c r="K102" s="165" t="e">
        <f>VLOOKUP(A102,Export!A:D,4,0)</f>
        <v>#N/A</v>
      </c>
      <c r="L102" s="101"/>
      <c r="M102" s="106"/>
      <c r="N102" s="102" t="s">
        <v>3621</v>
      </c>
      <c r="O102" s="54"/>
      <c r="P102" s="103">
        <f t="shared" si="9"/>
        <v>0</v>
      </c>
      <c r="Q102" s="287"/>
      <c r="R102" s="104" t="e">
        <f>+VLOOKUP(A102,'[1]ORIGINAL '!D:E,2,0)</f>
        <v>#N/A</v>
      </c>
      <c r="S102" s="105" t="b">
        <v>0</v>
      </c>
      <c r="T102" s="168" t="e">
        <f>VLOOKUP(A102,'OFICIO '!A:J,10,0)</f>
        <v>#N/A</v>
      </c>
    </row>
    <row r="103" spans="1:20" s="188" customFormat="1">
      <c r="A103" s="102"/>
      <c r="B103" s="98" t="e">
        <f>VLOOKUP(A103,Export!A:N,14,0)</f>
        <v>#N/A</v>
      </c>
      <c r="C103" s="98" t="e">
        <f>VLOOKUP(A103,Export!A:P,16,0)</f>
        <v>#N/A</v>
      </c>
      <c r="D103" s="99" t="e">
        <f>VLOOKUP(A103,Export!A:H,8,0)</f>
        <v>#N/A</v>
      </c>
      <c r="E103" s="99" t="e">
        <f>VLOOKUP(A103,Export!A:I,9,0)</f>
        <v>#N/A</v>
      </c>
      <c r="F103" s="99" t="e">
        <f>VLOOKUP(A103,Export!A:AH,34,0)</f>
        <v>#N/A</v>
      </c>
      <c r="G103" s="100" t="s">
        <v>3617</v>
      </c>
      <c r="H103" s="99"/>
      <c r="I103" s="99" t="e">
        <f>VLOOKUP(A103,Export!A:B,2,0)</f>
        <v>#N/A</v>
      </c>
      <c r="J103" s="165" t="e">
        <f>VLOOKUP(A103,Export!A:R,18,0)</f>
        <v>#N/A</v>
      </c>
      <c r="K103" s="165" t="e">
        <f>VLOOKUP(A103,Export!A:D,4,0)</f>
        <v>#N/A</v>
      </c>
      <c r="L103" s="101"/>
      <c r="M103" s="106"/>
      <c r="N103" s="102" t="s">
        <v>3621</v>
      </c>
      <c r="O103" s="54"/>
      <c r="P103" s="103">
        <f t="shared" si="9"/>
        <v>0</v>
      </c>
      <c r="Q103" s="287"/>
      <c r="R103" s="104" t="e">
        <f>+VLOOKUP(A103,'[1]ORIGINAL '!D:E,2,0)</f>
        <v>#N/A</v>
      </c>
      <c r="S103" s="105" t="b">
        <v>0</v>
      </c>
      <c r="T103" s="168" t="e">
        <f>VLOOKUP(A103,'OFICIO '!A:J,10,0)</f>
        <v>#N/A</v>
      </c>
    </row>
    <row r="104" spans="1:20" s="188" customFormat="1">
      <c r="A104" s="102"/>
      <c r="B104" s="98" t="e">
        <f>VLOOKUP(A104,Export!A:N,14,0)</f>
        <v>#N/A</v>
      </c>
      <c r="C104" s="98" t="e">
        <f>VLOOKUP(A104,Export!A:P,16,0)</f>
        <v>#N/A</v>
      </c>
      <c r="D104" s="99" t="e">
        <f>VLOOKUP(A104,Export!A:H,8,0)</f>
        <v>#N/A</v>
      </c>
      <c r="E104" s="99" t="e">
        <f>VLOOKUP(A104,Export!A:I,9,0)</f>
        <v>#N/A</v>
      </c>
      <c r="F104" s="99" t="e">
        <f>VLOOKUP(A104,Export!A:AH,34,0)</f>
        <v>#N/A</v>
      </c>
      <c r="G104" s="100" t="s">
        <v>3617</v>
      </c>
      <c r="H104" s="99"/>
      <c r="I104" s="99" t="e">
        <f>VLOOKUP(A104,Export!A:B,2,0)</f>
        <v>#N/A</v>
      </c>
      <c r="J104" s="165" t="e">
        <f>VLOOKUP(A104,Export!A:R,18,0)</f>
        <v>#N/A</v>
      </c>
      <c r="K104" s="165" t="e">
        <f>VLOOKUP(A104,Export!A:D,4,0)</f>
        <v>#N/A</v>
      </c>
      <c r="L104" s="101"/>
      <c r="M104" s="106"/>
      <c r="N104" s="102" t="s">
        <v>3621</v>
      </c>
      <c r="O104" s="54"/>
      <c r="P104" s="103">
        <f t="shared" si="9"/>
        <v>0</v>
      </c>
      <c r="Q104" s="287"/>
      <c r="R104" s="104" t="e">
        <f>+VLOOKUP(A104,'[1]ORIGINAL '!D:E,2,0)</f>
        <v>#N/A</v>
      </c>
      <c r="S104" s="105" t="b">
        <v>0</v>
      </c>
      <c r="T104" s="168" t="e">
        <f>VLOOKUP(A104,'OFICIO '!A:J,10,0)</f>
        <v>#N/A</v>
      </c>
    </row>
    <row r="105" spans="1:20" s="188" customFormat="1">
      <c r="A105" s="102"/>
      <c r="B105" s="98" t="e">
        <f>VLOOKUP(A105,Export!A:N,14,0)</f>
        <v>#N/A</v>
      </c>
      <c r="C105" s="98" t="e">
        <f>VLOOKUP(A105,Export!A:P,16,0)</f>
        <v>#N/A</v>
      </c>
      <c r="D105" s="99" t="e">
        <f>VLOOKUP(A105,Export!A:H,8,0)</f>
        <v>#N/A</v>
      </c>
      <c r="E105" s="99" t="e">
        <f>VLOOKUP(A105,Export!A:I,9,0)</f>
        <v>#N/A</v>
      </c>
      <c r="F105" s="99" t="e">
        <f>VLOOKUP(A105,Export!A:AH,34,0)</f>
        <v>#N/A</v>
      </c>
      <c r="G105" s="100" t="s">
        <v>3617</v>
      </c>
      <c r="H105" s="99"/>
      <c r="I105" s="99" t="e">
        <f>VLOOKUP(A105,Export!A:B,2,0)</f>
        <v>#N/A</v>
      </c>
      <c r="J105" s="165" t="e">
        <f>VLOOKUP(A105,Export!A:R,18,0)</f>
        <v>#N/A</v>
      </c>
      <c r="K105" s="165" t="e">
        <f>VLOOKUP(A105,Export!A:D,4,0)</f>
        <v>#N/A</v>
      </c>
      <c r="L105" s="101"/>
      <c r="M105" s="106"/>
      <c r="N105" s="102" t="s">
        <v>3621</v>
      </c>
      <c r="O105" s="54"/>
      <c r="P105" s="103">
        <f t="shared" si="9"/>
        <v>0</v>
      </c>
      <c r="Q105" s="287"/>
      <c r="R105" s="104" t="e">
        <f>+VLOOKUP(A105,'[1]ORIGINAL '!D:E,2,0)</f>
        <v>#N/A</v>
      </c>
      <c r="S105" s="105" t="b">
        <v>0</v>
      </c>
      <c r="T105" s="168" t="e">
        <f>VLOOKUP(A105,'OFICIO '!A:J,10,0)</f>
        <v>#N/A</v>
      </c>
    </row>
    <row r="106" spans="1:20" s="188" customFormat="1">
      <c r="A106" s="102"/>
      <c r="B106" s="98" t="e">
        <f>VLOOKUP(A106,Export!A:N,14,0)</f>
        <v>#N/A</v>
      </c>
      <c r="C106" s="98" t="e">
        <f>VLOOKUP(A106,Export!A:P,16,0)</f>
        <v>#N/A</v>
      </c>
      <c r="D106" s="99" t="e">
        <f>VLOOKUP(A106,Export!A:H,8,0)</f>
        <v>#N/A</v>
      </c>
      <c r="E106" s="99" t="e">
        <f>VLOOKUP(A106,Export!A:I,9,0)</f>
        <v>#N/A</v>
      </c>
      <c r="F106" s="99" t="e">
        <f>VLOOKUP(A106,Export!A:AH,34,0)</f>
        <v>#N/A</v>
      </c>
      <c r="G106" s="100" t="s">
        <v>3617</v>
      </c>
      <c r="H106" s="99"/>
      <c r="I106" s="99" t="e">
        <f>VLOOKUP(A106,Export!A:B,2,0)</f>
        <v>#N/A</v>
      </c>
      <c r="J106" s="165" t="e">
        <f>VLOOKUP(A106,Export!A:R,18,0)</f>
        <v>#N/A</v>
      </c>
      <c r="K106" s="165" t="e">
        <f>VLOOKUP(A106,Export!A:D,4,0)</f>
        <v>#N/A</v>
      </c>
      <c r="L106" s="101"/>
      <c r="M106" s="106"/>
      <c r="N106" s="102" t="s">
        <v>3621</v>
      </c>
      <c r="O106" s="54"/>
      <c r="P106" s="103">
        <f t="shared" si="9"/>
        <v>0</v>
      </c>
      <c r="Q106" s="287"/>
      <c r="R106" s="104" t="e">
        <f>+VLOOKUP(A106,'[1]ORIGINAL '!D:E,2,0)</f>
        <v>#N/A</v>
      </c>
      <c r="S106" s="105" t="b">
        <v>0</v>
      </c>
      <c r="T106" s="168" t="e">
        <f>VLOOKUP(A106,'OFICIO '!A:J,10,0)</f>
        <v>#N/A</v>
      </c>
    </row>
    <row r="107" spans="1:20" s="188" customFormat="1">
      <c r="A107" s="102"/>
      <c r="B107" s="98" t="e">
        <f>VLOOKUP(A107,Export!A:N,14,0)</f>
        <v>#N/A</v>
      </c>
      <c r="C107" s="98" t="e">
        <f>VLOOKUP(A107,Export!A:P,16,0)</f>
        <v>#N/A</v>
      </c>
      <c r="D107" s="99" t="e">
        <f>VLOOKUP(A107,Export!A:H,8,0)</f>
        <v>#N/A</v>
      </c>
      <c r="E107" s="99" t="e">
        <f>VLOOKUP(A107,Export!A:I,9,0)</f>
        <v>#N/A</v>
      </c>
      <c r="F107" s="99" t="e">
        <f>VLOOKUP(A107,Export!A:AH,34,0)</f>
        <v>#N/A</v>
      </c>
      <c r="G107" s="100" t="s">
        <v>3617</v>
      </c>
      <c r="H107" s="99"/>
      <c r="I107" s="99" t="e">
        <f>VLOOKUP(A107,Export!A:B,2,0)</f>
        <v>#N/A</v>
      </c>
      <c r="J107" s="165" t="e">
        <f>VLOOKUP(A107,Export!A:R,18,0)</f>
        <v>#N/A</v>
      </c>
      <c r="K107" s="165" t="e">
        <f>VLOOKUP(A107,Export!A:D,4,0)</f>
        <v>#N/A</v>
      </c>
      <c r="L107" s="101"/>
      <c r="M107" s="106"/>
      <c r="N107" s="102" t="s">
        <v>3621</v>
      </c>
      <c r="O107" s="54"/>
      <c r="P107" s="103">
        <f t="shared" si="9"/>
        <v>0</v>
      </c>
      <c r="Q107" s="287"/>
      <c r="R107" s="104" t="e">
        <f>+VLOOKUP(A107,'[1]ORIGINAL '!D:E,2,0)</f>
        <v>#N/A</v>
      </c>
      <c r="S107" s="105" t="b">
        <v>0</v>
      </c>
      <c r="T107" s="168" t="e">
        <f>VLOOKUP(A107,'OFICIO '!A:J,10,0)</f>
        <v>#N/A</v>
      </c>
    </row>
    <row r="108" spans="1:20" s="188" customFormat="1">
      <c r="A108" s="102"/>
      <c r="B108" s="98" t="e">
        <f>VLOOKUP(A108,Export!A:N,14,0)</f>
        <v>#N/A</v>
      </c>
      <c r="C108" s="98" t="e">
        <f>VLOOKUP(A108,Export!A:P,16,0)</f>
        <v>#N/A</v>
      </c>
      <c r="D108" s="99" t="e">
        <f>VLOOKUP(A108,Export!A:H,8,0)</f>
        <v>#N/A</v>
      </c>
      <c r="E108" s="99" t="e">
        <f>VLOOKUP(A108,Export!A:I,9,0)</f>
        <v>#N/A</v>
      </c>
      <c r="F108" s="99" t="e">
        <f>VLOOKUP(A108,Export!A:AH,34,0)</f>
        <v>#N/A</v>
      </c>
      <c r="G108" s="100" t="s">
        <v>3617</v>
      </c>
      <c r="H108" s="99"/>
      <c r="I108" s="99" t="e">
        <f>VLOOKUP(A108,Export!A:B,2,0)</f>
        <v>#N/A</v>
      </c>
      <c r="J108" s="165" t="e">
        <f>VLOOKUP(A108,Export!A:R,18,0)</f>
        <v>#N/A</v>
      </c>
      <c r="K108" s="165" t="e">
        <f>VLOOKUP(A108,Export!A:D,4,0)</f>
        <v>#N/A</v>
      </c>
      <c r="L108" s="101"/>
      <c r="M108" s="106"/>
      <c r="N108" s="102" t="s">
        <v>3621</v>
      </c>
      <c r="O108" s="54"/>
      <c r="P108" s="103">
        <f t="shared" si="9"/>
        <v>0</v>
      </c>
      <c r="Q108" s="287"/>
      <c r="R108" s="104" t="e">
        <f>+VLOOKUP(A108,'[1]ORIGINAL '!D:E,2,0)</f>
        <v>#N/A</v>
      </c>
      <c r="S108" s="105" t="b">
        <v>0</v>
      </c>
      <c r="T108" s="168" t="e">
        <f>VLOOKUP(A108,'OFICIO '!A:J,10,0)</f>
        <v>#N/A</v>
      </c>
    </row>
    <row r="109" spans="1:20" s="188" customFormat="1">
      <c r="A109" s="102"/>
      <c r="B109" s="98" t="e">
        <f>VLOOKUP(A109,Export!A:N,14,0)</f>
        <v>#N/A</v>
      </c>
      <c r="C109" s="98" t="e">
        <f>VLOOKUP(A109,Export!A:P,16,0)</f>
        <v>#N/A</v>
      </c>
      <c r="D109" s="99" t="e">
        <f>VLOOKUP(A109,Export!A:H,8,0)</f>
        <v>#N/A</v>
      </c>
      <c r="E109" s="99" t="e">
        <f>VLOOKUP(A109,Export!A:I,9,0)</f>
        <v>#N/A</v>
      </c>
      <c r="F109" s="99" t="e">
        <f>VLOOKUP(A109,Export!A:AH,34,0)</f>
        <v>#N/A</v>
      </c>
      <c r="G109" s="100" t="s">
        <v>3617</v>
      </c>
      <c r="H109" s="99"/>
      <c r="I109" s="99" t="e">
        <f>VLOOKUP(A109,Export!A:B,2,0)</f>
        <v>#N/A</v>
      </c>
      <c r="J109" s="165" t="e">
        <f>VLOOKUP(A109,Export!A:R,18,0)</f>
        <v>#N/A</v>
      </c>
      <c r="K109" s="165" t="e">
        <f>VLOOKUP(A109,Export!A:D,4,0)</f>
        <v>#N/A</v>
      </c>
      <c r="L109" s="101"/>
      <c r="M109" s="106"/>
      <c r="N109" s="102" t="s">
        <v>3621</v>
      </c>
      <c r="O109" s="54"/>
      <c r="P109" s="103">
        <f t="shared" si="9"/>
        <v>0</v>
      </c>
      <c r="Q109" s="287"/>
      <c r="R109" s="104" t="e">
        <f>+VLOOKUP(A109,'[1]ORIGINAL '!D:E,2,0)</f>
        <v>#N/A</v>
      </c>
      <c r="S109" s="105" t="b">
        <v>0</v>
      </c>
      <c r="T109" s="168" t="e">
        <f>VLOOKUP(A109,'OFICIO '!A:J,10,0)</f>
        <v>#N/A</v>
      </c>
    </row>
    <row r="110" spans="1:20">
      <c r="B110" t="e">
        <v>#N/A</v>
      </c>
      <c r="C110" t="e">
        <v>#N/A</v>
      </c>
      <c r="D110" t="e">
        <v>#N/A</v>
      </c>
      <c r="E110" t="e">
        <v>#N/A</v>
      </c>
      <c r="F110" t="e">
        <v>#N/A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P110">
        <v>0</v>
      </c>
      <c r="R110" t="e">
        <v>#N/A</v>
      </c>
      <c r="S110" t="b">
        <v>0</v>
      </c>
      <c r="T110" t="e">
        <v>#N/A</v>
      </c>
    </row>
    <row r="111" spans="1:20">
      <c r="B111" t="e">
        <v>#N/A</v>
      </c>
      <c r="C111" t="e">
        <v>#N/A</v>
      </c>
      <c r="D111" t="e">
        <v>#N/A</v>
      </c>
      <c r="E111" t="e">
        <v>#N/A</v>
      </c>
      <c r="F111" t="e">
        <v>#N/A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P111">
        <v>0</v>
      </c>
      <c r="R111" t="e">
        <v>#N/A</v>
      </c>
      <c r="S111" t="b">
        <v>0</v>
      </c>
      <c r="T111" t="e">
        <v>#N/A</v>
      </c>
    </row>
    <row r="112" spans="1:20">
      <c r="B112" t="e">
        <v>#N/A</v>
      </c>
      <c r="C112" t="e">
        <v>#N/A</v>
      </c>
      <c r="D112" t="e">
        <v>#N/A</v>
      </c>
      <c r="E112" t="e">
        <v>#N/A</v>
      </c>
      <c r="F112" t="e">
        <v>#N/A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P112">
        <v>0</v>
      </c>
      <c r="R112" t="e">
        <v>#N/A</v>
      </c>
      <c r="S112" t="b">
        <v>0</v>
      </c>
      <c r="T112" t="e">
        <v>#N/A</v>
      </c>
    </row>
    <row r="113" spans="2:20">
      <c r="B113" t="e">
        <v>#N/A</v>
      </c>
      <c r="C113" t="e">
        <v>#N/A</v>
      </c>
      <c r="D113" t="e">
        <v>#N/A</v>
      </c>
      <c r="E113" t="e">
        <v>#N/A</v>
      </c>
      <c r="F113" t="e">
        <v>#N/A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P113">
        <v>0</v>
      </c>
      <c r="R113" t="e">
        <v>#N/A</v>
      </c>
      <c r="S113" t="b">
        <v>0</v>
      </c>
      <c r="T113" t="e">
        <v>#N/A</v>
      </c>
    </row>
    <row r="114" spans="2:20">
      <c r="B114" t="e">
        <v>#N/A</v>
      </c>
      <c r="C114" t="e">
        <v>#N/A</v>
      </c>
      <c r="D114" t="e">
        <v>#N/A</v>
      </c>
      <c r="E114" t="e">
        <v>#N/A</v>
      </c>
      <c r="F114" t="e">
        <v>#N/A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P114">
        <v>0</v>
      </c>
      <c r="R114" t="e">
        <v>#N/A</v>
      </c>
      <c r="S114" t="b">
        <v>0</v>
      </c>
      <c r="T114" t="e">
        <v>#N/A</v>
      </c>
    </row>
    <row r="115" spans="2:20">
      <c r="B115" t="e">
        <v>#N/A</v>
      </c>
      <c r="C115" t="e">
        <v>#N/A</v>
      </c>
      <c r="D115" t="e">
        <v>#N/A</v>
      </c>
      <c r="E115" t="e">
        <v>#N/A</v>
      </c>
      <c r="F115" t="e">
        <v>#N/A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P115">
        <v>0</v>
      </c>
      <c r="R115" t="e">
        <v>#N/A</v>
      </c>
      <c r="S115" t="b">
        <v>0</v>
      </c>
      <c r="T115" t="e">
        <v>#N/A</v>
      </c>
    </row>
    <row r="116" spans="2:20">
      <c r="B116" t="e">
        <v>#N/A</v>
      </c>
      <c r="C116" t="e">
        <v>#N/A</v>
      </c>
      <c r="D116" t="e">
        <v>#N/A</v>
      </c>
      <c r="E116" t="e">
        <v>#N/A</v>
      </c>
      <c r="F116" t="e">
        <v>#N/A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P116">
        <v>0</v>
      </c>
      <c r="R116" t="e">
        <v>#N/A</v>
      </c>
      <c r="S116" t="b">
        <v>0</v>
      </c>
      <c r="T116" t="e">
        <v>#N/A</v>
      </c>
    </row>
    <row r="117" spans="2:20">
      <c r="B117" t="e">
        <v>#N/A</v>
      </c>
      <c r="C117" t="e">
        <v>#N/A</v>
      </c>
      <c r="D117" t="e">
        <v>#N/A</v>
      </c>
      <c r="E117" t="e">
        <v>#N/A</v>
      </c>
      <c r="F117" t="e">
        <v>#N/A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P117">
        <v>0</v>
      </c>
      <c r="R117" t="e">
        <v>#N/A</v>
      </c>
      <c r="S117" t="b">
        <v>0</v>
      </c>
      <c r="T117" t="e">
        <v>#N/A</v>
      </c>
    </row>
    <row r="118" spans="2:20">
      <c r="B118" t="e">
        <v>#N/A</v>
      </c>
      <c r="C118" t="e">
        <v>#N/A</v>
      </c>
      <c r="D118" t="e">
        <v>#N/A</v>
      </c>
      <c r="E118" t="e">
        <v>#N/A</v>
      </c>
      <c r="F118" t="e">
        <v>#N/A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P118">
        <v>0</v>
      </c>
      <c r="R118" t="e">
        <v>#N/A</v>
      </c>
      <c r="S118" t="b">
        <v>0</v>
      </c>
      <c r="T118" t="e">
        <v>#N/A</v>
      </c>
    </row>
    <row r="119" spans="2:20">
      <c r="B119" t="e">
        <v>#N/A</v>
      </c>
      <c r="C119" t="e">
        <v>#N/A</v>
      </c>
      <c r="D119" t="e">
        <v>#N/A</v>
      </c>
      <c r="E119" t="e">
        <v>#N/A</v>
      </c>
      <c r="F119" t="e">
        <v>#N/A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P119">
        <v>0</v>
      </c>
      <c r="R119" t="e">
        <v>#N/A</v>
      </c>
      <c r="S119" t="b">
        <v>0</v>
      </c>
      <c r="T119" t="e">
        <v>#N/A</v>
      </c>
    </row>
    <row r="120" spans="2:20">
      <c r="B120" t="e">
        <v>#N/A</v>
      </c>
      <c r="C120" t="e">
        <v>#N/A</v>
      </c>
      <c r="D120" t="e">
        <v>#N/A</v>
      </c>
      <c r="E120" t="e">
        <v>#N/A</v>
      </c>
      <c r="F120" t="e">
        <v>#N/A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P120">
        <v>0</v>
      </c>
      <c r="R120" t="e">
        <v>#N/A</v>
      </c>
      <c r="S120" t="b">
        <v>0</v>
      </c>
      <c r="T120" t="e">
        <v>#N/A</v>
      </c>
    </row>
    <row r="121" spans="2:20">
      <c r="B121" t="e">
        <v>#N/A</v>
      </c>
      <c r="C121" t="e">
        <v>#N/A</v>
      </c>
      <c r="D121" t="e">
        <v>#N/A</v>
      </c>
      <c r="E121" t="e">
        <v>#N/A</v>
      </c>
      <c r="F121" t="e">
        <v>#N/A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P121">
        <v>0</v>
      </c>
      <c r="R121" t="e">
        <v>#N/A</v>
      </c>
      <c r="S121" t="b">
        <v>0</v>
      </c>
      <c r="T121" t="e">
        <v>#N/A</v>
      </c>
    </row>
    <row r="122" spans="2:20">
      <c r="B122" t="e">
        <v>#N/A</v>
      </c>
      <c r="C122" t="e">
        <v>#N/A</v>
      </c>
      <c r="D122" t="e">
        <v>#N/A</v>
      </c>
      <c r="E122" t="e">
        <v>#N/A</v>
      </c>
      <c r="F122" t="e">
        <v>#N/A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P122">
        <v>0</v>
      </c>
      <c r="R122" t="e">
        <v>#N/A</v>
      </c>
      <c r="S122" t="b">
        <v>0</v>
      </c>
      <c r="T122" t="e">
        <v>#N/A</v>
      </c>
    </row>
    <row r="123" spans="2:20">
      <c r="B123" t="e">
        <v>#N/A</v>
      </c>
      <c r="C123" t="e">
        <v>#N/A</v>
      </c>
      <c r="D123" t="e">
        <v>#N/A</v>
      </c>
      <c r="E123" t="e">
        <v>#N/A</v>
      </c>
      <c r="F123" t="e">
        <v>#N/A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P123">
        <v>0</v>
      </c>
      <c r="R123" t="e">
        <v>#N/A</v>
      </c>
      <c r="S123" t="b">
        <v>0</v>
      </c>
      <c r="T123" t="e">
        <v>#N/A</v>
      </c>
    </row>
    <row r="124" spans="2:20">
      <c r="B124" t="e">
        <v>#N/A</v>
      </c>
      <c r="C124" t="e">
        <v>#N/A</v>
      </c>
      <c r="D124" t="e">
        <v>#N/A</v>
      </c>
      <c r="E124" t="e">
        <v>#N/A</v>
      </c>
      <c r="F124" t="e">
        <v>#N/A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P124">
        <v>0</v>
      </c>
      <c r="R124" t="e">
        <v>#N/A</v>
      </c>
      <c r="S124" t="b">
        <v>0</v>
      </c>
      <c r="T124" t="e">
        <v>#N/A</v>
      </c>
    </row>
    <row r="125" spans="2:20">
      <c r="B125" t="e">
        <v>#N/A</v>
      </c>
      <c r="C125" t="e">
        <v>#N/A</v>
      </c>
      <c r="D125" t="e">
        <v>#N/A</v>
      </c>
      <c r="E125" t="e">
        <v>#N/A</v>
      </c>
      <c r="F125" t="e">
        <v>#N/A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P125">
        <v>0</v>
      </c>
      <c r="R125" t="e">
        <v>#N/A</v>
      </c>
      <c r="S125" t="b">
        <v>0</v>
      </c>
      <c r="T125" t="e">
        <v>#N/A</v>
      </c>
    </row>
    <row r="126" spans="2:20">
      <c r="B126" t="e">
        <v>#N/A</v>
      </c>
      <c r="C126" t="e">
        <v>#N/A</v>
      </c>
      <c r="D126" t="e">
        <v>#N/A</v>
      </c>
      <c r="E126" t="e">
        <v>#N/A</v>
      </c>
      <c r="F126" t="e">
        <v>#N/A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P126">
        <v>0</v>
      </c>
      <c r="R126" t="e">
        <v>#N/A</v>
      </c>
      <c r="S126" t="b">
        <v>0</v>
      </c>
      <c r="T126" t="e">
        <v>#N/A</v>
      </c>
    </row>
    <row r="127" spans="2:20">
      <c r="B127" t="e">
        <v>#N/A</v>
      </c>
      <c r="C127" t="e">
        <v>#N/A</v>
      </c>
      <c r="D127" t="e">
        <v>#N/A</v>
      </c>
      <c r="E127" t="e">
        <v>#N/A</v>
      </c>
      <c r="F127" t="e">
        <v>#N/A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P127">
        <v>0</v>
      </c>
      <c r="R127" t="e">
        <v>#N/A</v>
      </c>
      <c r="S127" t="b">
        <v>0</v>
      </c>
      <c r="T127" t="e">
        <v>#N/A</v>
      </c>
    </row>
    <row r="128" spans="2:20">
      <c r="B128" t="e">
        <v>#N/A</v>
      </c>
      <c r="C128" t="e">
        <v>#N/A</v>
      </c>
      <c r="D128" t="e">
        <v>#N/A</v>
      </c>
      <c r="E128" t="e">
        <v>#N/A</v>
      </c>
      <c r="F128" t="e">
        <v>#N/A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P128">
        <v>0</v>
      </c>
      <c r="R128" t="e">
        <v>#N/A</v>
      </c>
      <c r="S128" t="b">
        <v>0</v>
      </c>
      <c r="T128" t="e">
        <v>#N/A</v>
      </c>
    </row>
    <row r="129" spans="2:20">
      <c r="B129" t="e">
        <v>#N/A</v>
      </c>
      <c r="C129" t="e">
        <v>#N/A</v>
      </c>
      <c r="D129" t="e">
        <v>#N/A</v>
      </c>
      <c r="E129" t="e">
        <v>#N/A</v>
      </c>
      <c r="F129" t="e">
        <v>#N/A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P129">
        <v>0</v>
      </c>
      <c r="R129" t="e">
        <v>#N/A</v>
      </c>
      <c r="S129" t="b">
        <v>0</v>
      </c>
      <c r="T129" t="e">
        <v>#N/A</v>
      </c>
    </row>
    <row r="130" spans="2:20">
      <c r="B130" t="e">
        <v>#N/A</v>
      </c>
      <c r="C130" t="e">
        <v>#N/A</v>
      </c>
      <c r="D130" t="e">
        <v>#N/A</v>
      </c>
      <c r="E130" t="e">
        <v>#N/A</v>
      </c>
      <c r="F130" t="e">
        <v>#N/A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P130">
        <v>0</v>
      </c>
      <c r="R130" t="e">
        <v>#N/A</v>
      </c>
      <c r="S130" t="b">
        <v>0</v>
      </c>
      <c r="T130" t="e">
        <v>#N/A</v>
      </c>
    </row>
    <row r="131" spans="2:20">
      <c r="B131" t="e">
        <v>#N/A</v>
      </c>
      <c r="C131" t="e">
        <v>#N/A</v>
      </c>
      <c r="D131" t="e">
        <v>#N/A</v>
      </c>
      <c r="E131" t="e">
        <v>#N/A</v>
      </c>
      <c r="F131" t="e">
        <v>#N/A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P131">
        <v>0</v>
      </c>
      <c r="R131" t="e">
        <v>#N/A</v>
      </c>
      <c r="S131" t="b">
        <v>0</v>
      </c>
      <c r="T131" t="e">
        <v>#N/A</v>
      </c>
    </row>
    <row r="132" spans="2:20">
      <c r="B132" t="e">
        <v>#N/A</v>
      </c>
      <c r="C132" t="e">
        <v>#N/A</v>
      </c>
      <c r="D132" t="e">
        <v>#N/A</v>
      </c>
      <c r="E132" t="e">
        <v>#N/A</v>
      </c>
      <c r="F132" t="e">
        <v>#N/A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P132">
        <v>0</v>
      </c>
      <c r="R132" t="e">
        <v>#N/A</v>
      </c>
      <c r="S132" t="b">
        <v>0</v>
      </c>
      <c r="T132" t="e">
        <v>#N/A</v>
      </c>
    </row>
    <row r="133" spans="2:20">
      <c r="B133" t="e">
        <v>#N/A</v>
      </c>
      <c r="C133" t="e">
        <v>#N/A</v>
      </c>
      <c r="D133" t="e">
        <v>#N/A</v>
      </c>
      <c r="E133" t="e">
        <v>#N/A</v>
      </c>
      <c r="F133" t="e">
        <v>#N/A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P133">
        <v>0</v>
      </c>
      <c r="R133" t="e">
        <v>#N/A</v>
      </c>
      <c r="S133" t="b">
        <v>0</v>
      </c>
      <c r="T133" t="e">
        <v>#N/A</v>
      </c>
    </row>
    <row r="134" spans="2:20">
      <c r="B134" t="e">
        <v>#N/A</v>
      </c>
      <c r="C134" t="e">
        <v>#N/A</v>
      </c>
      <c r="D134" t="e">
        <v>#N/A</v>
      </c>
      <c r="E134" t="e">
        <v>#N/A</v>
      </c>
      <c r="F134" t="e">
        <v>#N/A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P134">
        <v>0</v>
      </c>
      <c r="R134" t="e">
        <v>#N/A</v>
      </c>
      <c r="S134" t="b">
        <v>0</v>
      </c>
      <c r="T134" t="e">
        <v>#N/A</v>
      </c>
    </row>
    <row r="135" spans="2:20">
      <c r="B135" t="e">
        <v>#N/A</v>
      </c>
      <c r="C135" t="e">
        <v>#N/A</v>
      </c>
      <c r="D135" t="e">
        <v>#N/A</v>
      </c>
      <c r="E135" t="e">
        <v>#N/A</v>
      </c>
      <c r="F135" t="e">
        <v>#N/A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P135">
        <v>0</v>
      </c>
      <c r="R135" t="e">
        <v>#N/A</v>
      </c>
      <c r="S135" t="b">
        <v>0</v>
      </c>
      <c r="T135" t="e">
        <v>#N/A</v>
      </c>
    </row>
    <row r="136" spans="2:20">
      <c r="B136" t="e">
        <v>#N/A</v>
      </c>
      <c r="C136" t="e">
        <v>#N/A</v>
      </c>
      <c r="D136" t="e">
        <v>#N/A</v>
      </c>
      <c r="E136" t="e">
        <v>#N/A</v>
      </c>
      <c r="F136" t="e">
        <v>#N/A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P136">
        <v>0</v>
      </c>
      <c r="R136" t="e">
        <v>#N/A</v>
      </c>
      <c r="S136" t="b">
        <v>0</v>
      </c>
      <c r="T136" t="e">
        <v>#N/A</v>
      </c>
    </row>
    <row r="137" spans="2:20">
      <c r="B137" t="e">
        <v>#N/A</v>
      </c>
      <c r="C137" t="e">
        <v>#N/A</v>
      </c>
      <c r="D137" t="e">
        <v>#N/A</v>
      </c>
      <c r="E137" t="e">
        <v>#N/A</v>
      </c>
      <c r="F137" t="e">
        <v>#N/A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P137">
        <v>0</v>
      </c>
      <c r="R137" t="e">
        <v>#N/A</v>
      </c>
      <c r="S137" t="b">
        <v>0</v>
      </c>
      <c r="T137" t="e">
        <v>#N/A</v>
      </c>
    </row>
    <row r="138" spans="2:20">
      <c r="B138" t="e">
        <v>#N/A</v>
      </c>
      <c r="C138" t="e">
        <v>#N/A</v>
      </c>
      <c r="D138" t="e">
        <v>#N/A</v>
      </c>
      <c r="E138" t="e">
        <v>#N/A</v>
      </c>
      <c r="F138" t="e">
        <v>#N/A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P138">
        <v>0</v>
      </c>
      <c r="R138" t="e">
        <v>#N/A</v>
      </c>
      <c r="S138" t="b">
        <v>0</v>
      </c>
      <c r="T138" t="e">
        <v>#N/A</v>
      </c>
    </row>
    <row r="139" spans="2:20">
      <c r="B139" t="e">
        <v>#N/A</v>
      </c>
      <c r="C139" t="e">
        <v>#N/A</v>
      </c>
      <c r="D139" t="e">
        <v>#N/A</v>
      </c>
      <c r="E139" t="e">
        <v>#N/A</v>
      </c>
      <c r="F139" t="e">
        <v>#N/A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P139">
        <v>0</v>
      </c>
      <c r="R139" t="e">
        <v>#N/A</v>
      </c>
      <c r="S139" t="b">
        <v>0</v>
      </c>
      <c r="T139" t="e">
        <v>#N/A</v>
      </c>
    </row>
    <row r="140" spans="2:20">
      <c r="B140" t="e">
        <v>#N/A</v>
      </c>
      <c r="C140" t="e">
        <v>#N/A</v>
      </c>
      <c r="D140" t="e">
        <v>#N/A</v>
      </c>
      <c r="E140" t="e">
        <v>#N/A</v>
      </c>
      <c r="F140" t="e">
        <v>#N/A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P140">
        <v>0</v>
      </c>
      <c r="R140" t="e">
        <v>#N/A</v>
      </c>
      <c r="S140" t="b">
        <v>0</v>
      </c>
      <c r="T140" t="e">
        <v>#N/A</v>
      </c>
    </row>
    <row r="141" spans="2:20">
      <c r="B141" t="e">
        <v>#N/A</v>
      </c>
      <c r="C141" t="e">
        <v>#N/A</v>
      </c>
      <c r="D141" t="e">
        <v>#N/A</v>
      </c>
      <c r="E141" t="e">
        <v>#N/A</v>
      </c>
      <c r="F141" t="e">
        <v>#N/A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P141">
        <v>0</v>
      </c>
      <c r="R141" t="e">
        <v>#N/A</v>
      </c>
      <c r="S141" t="b">
        <v>0</v>
      </c>
      <c r="T141" t="e">
        <v>#N/A</v>
      </c>
    </row>
    <row r="142" spans="2:20">
      <c r="B142" t="e">
        <v>#N/A</v>
      </c>
      <c r="C142" t="e">
        <v>#N/A</v>
      </c>
      <c r="D142" t="e">
        <v>#N/A</v>
      </c>
      <c r="E142" t="e">
        <v>#N/A</v>
      </c>
      <c r="F142" t="e">
        <v>#N/A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P142">
        <v>0</v>
      </c>
      <c r="R142" t="e">
        <v>#N/A</v>
      </c>
      <c r="S142" t="b">
        <v>0</v>
      </c>
      <c r="T142" t="e">
        <v>#N/A</v>
      </c>
    </row>
    <row r="143" spans="2:20">
      <c r="B143" t="e">
        <v>#N/A</v>
      </c>
      <c r="C143" t="e">
        <v>#N/A</v>
      </c>
      <c r="D143" t="e">
        <v>#N/A</v>
      </c>
      <c r="E143" t="e">
        <v>#N/A</v>
      </c>
      <c r="F143" t="e">
        <v>#N/A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P143">
        <v>0</v>
      </c>
      <c r="R143" t="e">
        <v>#N/A</v>
      </c>
      <c r="S143" t="b">
        <v>0</v>
      </c>
      <c r="T143" t="e">
        <v>#N/A</v>
      </c>
    </row>
    <row r="144" spans="2:20">
      <c r="B144" t="e">
        <v>#N/A</v>
      </c>
      <c r="C144" t="e">
        <v>#N/A</v>
      </c>
      <c r="D144" t="e">
        <v>#N/A</v>
      </c>
      <c r="E144" t="e">
        <v>#N/A</v>
      </c>
      <c r="F144" t="e">
        <v>#N/A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P144">
        <v>0</v>
      </c>
      <c r="R144" t="e">
        <v>#N/A</v>
      </c>
      <c r="S144" t="b">
        <v>0</v>
      </c>
      <c r="T144" t="e">
        <v>#N/A</v>
      </c>
    </row>
    <row r="145" spans="2:20">
      <c r="B145" t="e">
        <v>#N/A</v>
      </c>
      <c r="C145" t="e">
        <v>#N/A</v>
      </c>
      <c r="D145" t="e">
        <v>#N/A</v>
      </c>
      <c r="E145" t="e">
        <v>#N/A</v>
      </c>
      <c r="F145" t="e">
        <v>#N/A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P145">
        <v>0</v>
      </c>
      <c r="R145" t="e">
        <v>#N/A</v>
      </c>
      <c r="S145" t="b">
        <v>0</v>
      </c>
      <c r="T145" t="e">
        <v>#N/A</v>
      </c>
    </row>
    <row r="146" spans="2:20">
      <c r="B146" t="e">
        <v>#N/A</v>
      </c>
      <c r="C146" t="e">
        <v>#N/A</v>
      </c>
      <c r="D146" t="e">
        <v>#N/A</v>
      </c>
      <c r="E146" t="e">
        <v>#N/A</v>
      </c>
      <c r="F146" t="e">
        <v>#N/A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P146">
        <v>0</v>
      </c>
      <c r="R146" t="e">
        <v>#N/A</v>
      </c>
      <c r="S146" t="b">
        <v>0</v>
      </c>
      <c r="T146" t="e">
        <v>#N/A</v>
      </c>
    </row>
    <row r="147" spans="2:20">
      <c r="B147" t="e">
        <v>#N/A</v>
      </c>
      <c r="C147" t="e">
        <v>#N/A</v>
      </c>
      <c r="D147" t="e">
        <v>#N/A</v>
      </c>
      <c r="E147" t="e">
        <v>#N/A</v>
      </c>
      <c r="F147" t="e">
        <v>#N/A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P147">
        <v>0</v>
      </c>
      <c r="R147" t="e">
        <v>#N/A</v>
      </c>
      <c r="S147" t="b">
        <v>0</v>
      </c>
      <c r="T147" t="e">
        <v>#N/A</v>
      </c>
    </row>
    <row r="148" spans="2:20">
      <c r="B148" t="e">
        <v>#N/A</v>
      </c>
      <c r="C148" t="e">
        <v>#N/A</v>
      </c>
      <c r="D148" t="e">
        <v>#N/A</v>
      </c>
      <c r="E148" t="e">
        <v>#N/A</v>
      </c>
      <c r="F148" t="e">
        <v>#N/A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P148">
        <v>0</v>
      </c>
      <c r="R148" t="e">
        <v>#N/A</v>
      </c>
      <c r="S148" t="b">
        <v>0</v>
      </c>
      <c r="T148" t="e">
        <v>#N/A</v>
      </c>
    </row>
    <row r="149" spans="2:20">
      <c r="B149" t="e">
        <v>#N/A</v>
      </c>
      <c r="C149" t="e">
        <v>#N/A</v>
      </c>
      <c r="D149" t="e">
        <v>#N/A</v>
      </c>
      <c r="E149" t="e">
        <v>#N/A</v>
      </c>
      <c r="F149" t="e">
        <v>#N/A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P149">
        <v>0</v>
      </c>
      <c r="R149" t="e">
        <v>#N/A</v>
      </c>
      <c r="S149" t="b">
        <v>0</v>
      </c>
      <c r="T149" t="e">
        <v>#N/A</v>
      </c>
    </row>
    <row r="150" spans="2:20">
      <c r="B150" t="e">
        <v>#N/A</v>
      </c>
      <c r="C150" t="e">
        <v>#N/A</v>
      </c>
      <c r="D150" t="e">
        <v>#N/A</v>
      </c>
      <c r="E150" t="e">
        <v>#N/A</v>
      </c>
      <c r="F150" t="e">
        <v>#N/A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P150">
        <v>0</v>
      </c>
      <c r="R150" t="e">
        <v>#N/A</v>
      </c>
      <c r="S150" t="b">
        <v>0</v>
      </c>
      <c r="T150" t="e">
        <v>#N/A</v>
      </c>
    </row>
    <row r="151" spans="2:20">
      <c r="B151" t="e">
        <v>#N/A</v>
      </c>
      <c r="C151" t="e">
        <v>#N/A</v>
      </c>
      <c r="D151" t="e">
        <v>#N/A</v>
      </c>
      <c r="E151" t="e">
        <v>#N/A</v>
      </c>
      <c r="F151" t="e">
        <v>#N/A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P151">
        <v>0</v>
      </c>
      <c r="R151" t="e">
        <v>#N/A</v>
      </c>
      <c r="S151" t="b">
        <v>0</v>
      </c>
      <c r="T151" t="e">
        <v>#N/A</v>
      </c>
    </row>
    <row r="152" spans="2:20">
      <c r="B152" t="e">
        <v>#N/A</v>
      </c>
      <c r="C152" t="e">
        <v>#N/A</v>
      </c>
      <c r="D152" t="e">
        <v>#N/A</v>
      </c>
      <c r="E152" t="e">
        <v>#N/A</v>
      </c>
      <c r="F152" t="e">
        <v>#N/A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  <c r="P152">
        <v>0</v>
      </c>
      <c r="R152" t="e">
        <v>#N/A</v>
      </c>
      <c r="S152" t="b">
        <v>0</v>
      </c>
      <c r="T152" t="e">
        <v>#N/A</v>
      </c>
    </row>
    <row r="153" spans="2:20">
      <c r="B153" t="e">
        <v>#N/A</v>
      </c>
      <c r="C153" t="e">
        <v>#N/A</v>
      </c>
      <c r="D153" t="e">
        <v>#N/A</v>
      </c>
      <c r="E153" t="e">
        <v>#N/A</v>
      </c>
      <c r="F153" t="e">
        <v>#N/A</v>
      </c>
      <c r="H153" t="e">
        <v>#N/A</v>
      </c>
      <c r="I153" t="e">
        <v>#N/A</v>
      </c>
      <c r="J153" t="e">
        <v>#N/A</v>
      </c>
      <c r="K153" t="e">
        <v>#N/A</v>
      </c>
      <c r="L153" t="e">
        <v>#N/A</v>
      </c>
      <c r="P153">
        <v>0</v>
      </c>
      <c r="R153" t="e">
        <v>#N/A</v>
      </c>
      <c r="S153" t="b">
        <v>0</v>
      </c>
      <c r="T153" t="e">
        <v>#N/A</v>
      </c>
    </row>
    <row r="154" spans="2:20">
      <c r="B154" t="e">
        <v>#N/A</v>
      </c>
      <c r="C154" t="e">
        <v>#N/A</v>
      </c>
      <c r="D154" t="e">
        <v>#N/A</v>
      </c>
      <c r="E154" t="e">
        <v>#N/A</v>
      </c>
      <c r="F154" t="e">
        <v>#N/A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P154">
        <v>0</v>
      </c>
      <c r="R154" t="e">
        <v>#N/A</v>
      </c>
      <c r="S154" t="b">
        <v>0</v>
      </c>
      <c r="T154" t="e">
        <v>#N/A</v>
      </c>
    </row>
    <row r="155" spans="2:20">
      <c r="B155" t="e">
        <v>#N/A</v>
      </c>
      <c r="C155" t="e">
        <v>#N/A</v>
      </c>
      <c r="D155" t="e">
        <v>#N/A</v>
      </c>
      <c r="E155" t="e">
        <v>#N/A</v>
      </c>
      <c r="F155" t="e">
        <v>#N/A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P155">
        <v>0</v>
      </c>
      <c r="R155" t="e">
        <v>#N/A</v>
      </c>
      <c r="S155" t="b">
        <v>0</v>
      </c>
      <c r="T155" t="e">
        <v>#N/A</v>
      </c>
    </row>
    <row r="156" spans="2:20">
      <c r="B156" t="e">
        <v>#N/A</v>
      </c>
      <c r="C156" t="e">
        <v>#N/A</v>
      </c>
      <c r="D156" t="e">
        <v>#N/A</v>
      </c>
      <c r="E156" t="e">
        <v>#N/A</v>
      </c>
      <c r="F156" t="e">
        <v>#N/A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P156">
        <v>0</v>
      </c>
      <c r="R156" t="e">
        <v>#N/A</v>
      </c>
      <c r="S156" t="b">
        <v>0</v>
      </c>
      <c r="T156" t="e">
        <v>#N/A</v>
      </c>
    </row>
    <row r="157" spans="2:20">
      <c r="B157" t="e">
        <v>#N/A</v>
      </c>
      <c r="C157" t="e">
        <v>#N/A</v>
      </c>
      <c r="D157" t="e">
        <v>#N/A</v>
      </c>
      <c r="E157" t="e">
        <v>#N/A</v>
      </c>
      <c r="F157" t="e">
        <v>#N/A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P157">
        <v>0</v>
      </c>
      <c r="R157" t="e">
        <v>#N/A</v>
      </c>
      <c r="S157" t="b">
        <v>0</v>
      </c>
      <c r="T157" t="e">
        <v>#N/A</v>
      </c>
    </row>
    <row r="158" spans="2:20">
      <c r="B158" t="e">
        <v>#N/A</v>
      </c>
      <c r="C158" t="e">
        <v>#N/A</v>
      </c>
      <c r="D158" t="e">
        <v>#N/A</v>
      </c>
      <c r="E158" t="e">
        <v>#N/A</v>
      </c>
      <c r="F158" t="e">
        <v>#N/A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P158">
        <v>0</v>
      </c>
      <c r="R158" t="e">
        <v>#N/A</v>
      </c>
      <c r="S158" t="b">
        <v>0</v>
      </c>
      <c r="T158" t="e">
        <v>#N/A</v>
      </c>
    </row>
    <row r="159" spans="2:20">
      <c r="B159" t="e">
        <v>#N/A</v>
      </c>
      <c r="C159" t="e">
        <v>#N/A</v>
      </c>
      <c r="D159" t="e">
        <v>#N/A</v>
      </c>
      <c r="E159" t="e">
        <v>#N/A</v>
      </c>
      <c r="F159" t="e">
        <v>#N/A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P159">
        <v>0</v>
      </c>
      <c r="R159" t="e">
        <v>#N/A</v>
      </c>
      <c r="S159" t="b">
        <v>0</v>
      </c>
      <c r="T159" t="e">
        <v>#N/A</v>
      </c>
    </row>
    <row r="160" spans="2:20">
      <c r="B160" t="e">
        <v>#N/A</v>
      </c>
      <c r="C160" t="e">
        <v>#N/A</v>
      </c>
      <c r="D160" t="e">
        <v>#N/A</v>
      </c>
      <c r="E160" t="e">
        <v>#N/A</v>
      </c>
      <c r="F160" t="e">
        <v>#N/A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  <c r="P160">
        <v>0</v>
      </c>
      <c r="R160" t="e">
        <v>#N/A</v>
      </c>
      <c r="S160" t="b">
        <v>0</v>
      </c>
      <c r="T160" t="e">
        <v>#N/A</v>
      </c>
    </row>
    <row r="161" spans="2:20">
      <c r="B161" t="e">
        <v>#N/A</v>
      </c>
      <c r="C161" t="e">
        <v>#N/A</v>
      </c>
      <c r="D161" t="e">
        <v>#N/A</v>
      </c>
      <c r="E161" t="e">
        <v>#N/A</v>
      </c>
      <c r="F161" t="e">
        <v>#N/A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P161">
        <v>0</v>
      </c>
      <c r="R161" t="e">
        <v>#N/A</v>
      </c>
      <c r="S161" t="b">
        <v>0</v>
      </c>
      <c r="T161" t="e">
        <v>#N/A</v>
      </c>
    </row>
    <row r="162" spans="2:20">
      <c r="B162" t="e">
        <v>#N/A</v>
      </c>
      <c r="C162" t="e">
        <v>#N/A</v>
      </c>
      <c r="D162" t="e">
        <v>#N/A</v>
      </c>
      <c r="E162" t="e">
        <v>#N/A</v>
      </c>
      <c r="F162" t="e">
        <v>#N/A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P162">
        <v>0</v>
      </c>
      <c r="R162" t="e">
        <v>#N/A</v>
      </c>
      <c r="S162" t="b">
        <v>0</v>
      </c>
      <c r="T162" t="e">
        <v>#N/A</v>
      </c>
    </row>
    <row r="163" spans="2:20">
      <c r="B163" t="e">
        <v>#N/A</v>
      </c>
      <c r="C163" t="e">
        <v>#N/A</v>
      </c>
      <c r="D163" t="e">
        <v>#N/A</v>
      </c>
      <c r="E163" t="e">
        <v>#N/A</v>
      </c>
      <c r="F163" t="e">
        <v>#N/A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P163">
        <v>0</v>
      </c>
      <c r="R163" t="e">
        <v>#N/A</v>
      </c>
      <c r="S163" t="b">
        <v>0</v>
      </c>
      <c r="T163" t="e">
        <v>#N/A</v>
      </c>
    </row>
    <row r="164" spans="2:20">
      <c r="B164" t="e">
        <v>#N/A</v>
      </c>
      <c r="C164" t="e">
        <v>#N/A</v>
      </c>
      <c r="D164" t="e">
        <v>#N/A</v>
      </c>
      <c r="E164" t="e">
        <v>#N/A</v>
      </c>
      <c r="F164" t="e">
        <v>#N/A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  <c r="P164">
        <v>0</v>
      </c>
      <c r="R164" t="e">
        <v>#N/A</v>
      </c>
      <c r="S164" t="b">
        <v>0</v>
      </c>
      <c r="T164" t="e">
        <v>#N/A</v>
      </c>
    </row>
  </sheetData>
  <autoFilter ref="A1:T164" xr:uid="{0BC09345-FE26-4EED-8C37-2BD17A81A944}"/>
  <conditionalFormatting sqref="A1">
    <cfRule type="duplicateValues" dxfId="8" priority="15"/>
  </conditionalFormatting>
  <conditionalFormatting sqref="A18:M18">
    <cfRule type="expression" dxfId="7" priority="29">
      <formula>#REF!="PAGADO"</formula>
    </cfRule>
  </conditionalFormatting>
  <conditionalFormatting sqref="A19:T109">
    <cfRule type="expression" dxfId="6" priority="2">
      <formula>$N19="PAGADO"</formula>
    </cfRule>
  </conditionalFormatting>
  <conditionalFormatting sqref="B2:T2 A3:T17 N18:T18">
    <cfRule type="expression" dxfId="5" priority="14">
      <formula>$N2="PAGADO"</formula>
    </cfRule>
  </conditionalFormatting>
  <conditionalFormatting sqref="E1:F109">
    <cfRule type="containsText" dxfId="4" priority="16" operator="containsText" text="No Factura">
      <formula>NOT(ISERROR(SEARCH("No Factura",E1)))</formula>
    </cfRule>
  </conditionalFormatting>
  <conditionalFormatting sqref="N18">
    <cfRule type="expression" dxfId="3" priority="28">
      <formula>$N17="PAGADO"</formula>
    </cfRule>
  </conditionalFormatting>
  <dataValidations count="4">
    <dataValidation type="list" allowBlank="1" showInputMessage="1" showErrorMessage="1" sqref="G2" xr:uid="{6C044AE8-A184-46E1-846B-AC1F373D9DB7}">
      <formula1>"DACIÓN,RENEGOCIACIÓN,PAGO CUOTAS,CHEQUE,PREPAGO,PLAN DE PAGO,NUEVO PLAN DE PAGO,EXCEPCION PUT, PUT EN PARTES, INTENCION DE PAGO"</formula1>
    </dataValidation>
    <dataValidation type="list" allowBlank="1" showInputMessage="1" showErrorMessage="1" sqref="G1" xr:uid="{7788528D-A8B4-4695-9E0B-977B819C3772}">
      <formula1>"DACIÓN,RENEGOCIACIÓN,PAGO CUOTAS,PREPAGO,PLAN DE PAGO,EXCEPCION PUT"</formula1>
    </dataValidation>
    <dataValidation type="list" allowBlank="1" showInputMessage="1" showErrorMessage="1" sqref="G3:G109" xr:uid="{D88865E3-B346-497B-A72E-17A7F8873896}">
      <formula1>"DACIÓN,RENEGOCIACIÓN,PAGO CUOTAS,PREPAGO,PLAN DE PAGO,NUEVO PLAN DE PAGO,EXCEPCION PUT, PUT EN PARTES, INTENCION DE PAGO"</formula1>
    </dataValidation>
    <dataValidation type="list" allowBlank="1" showInputMessage="1" showErrorMessage="1" sqref="N1:N109" xr:uid="{0DA1D0B1-A778-41F3-93EC-F22DCA6F123F}">
      <formula1>"PAGADO,PENDIENTE,ROTO"</formula1>
    </dataValidation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DD309-64C4-42F4-94B5-95B6C9941807}">
  <dimension ref="A1:N49"/>
  <sheetViews>
    <sheetView topLeftCell="C20" workbookViewId="0">
      <selection activeCell="H31" sqref="H31"/>
    </sheetView>
  </sheetViews>
  <sheetFormatPr defaultColWidth="11.42578125" defaultRowHeight="15"/>
  <cols>
    <col min="2" max="2" width="27.7109375" customWidth="1"/>
    <col min="5" max="5" width="39.5703125" customWidth="1"/>
    <col min="7" max="7" width="15" customWidth="1"/>
    <col min="8" max="8" width="35.140625" customWidth="1"/>
  </cols>
  <sheetData>
    <row r="1" spans="1:14" ht="17.25" thickBot="1">
      <c r="A1" s="528" t="s">
        <v>4082</v>
      </c>
      <c r="B1" s="529"/>
      <c r="C1" s="50"/>
      <c r="D1" s="46"/>
      <c r="E1" s="46"/>
      <c r="F1" s="46"/>
      <c r="G1" s="46"/>
      <c r="H1" s="47"/>
      <c r="I1" s="48"/>
      <c r="J1" s="49"/>
      <c r="L1" s="74"/>
    </row>
    <row r="2" spans="1:14">
      <c r="A2" s="530" t="s">
        <v>4083</v>
      </c>
      <c r="B2" s="531"/>
      <c r="C2" s="532"/>
      <c r="D2" s="51"/>
      <c r="E2" s="51"/>
      <c r="F2" s="52"/>
      <c r="G2" s="52"/>
      <c r="H2" s="47"/>
      <c r="I2" s="48"/>
      <c r="J2" s="49"/>
      <c r="L2" s="74"/>
    </row>
    <row r="3" spans="1:14">
      <c r="A3" s="76" t="s">
        <v>4084</v>
      </c>
      <c r="B3" s="77" t="s">
        <v>4085</v>
      </c>
      <c r="C3" s="78" t="s">
        <v>3698</v>
      </c>
      <c r="D3" s="79" t="s">
        <v>4086</v>
      </c>
      <c r="E3" s="78" t="s">
        <v>3599</v>
      </c>
      <c r="F3" s="77" t="s">
        <v>4087</v>
      </c>
      <c r="G3" s="77" t="s">
        <v>4088</v>
      </c>
      <c r="H3" s="80" t="s">
        <v>4089</v>
      </c>
      <c r="I3" s="81" t="s">
        <v>4090</v>
      </c>
      <c r="J3" s="82" t="s">
        <v>4091</v>
      </c>
      <c r="K3" s="79" t="s">
        <v>3610</v>
      </c>
      <c r="L3" s="364" t="s">
        <v>4092</v>
      </c>
      <c r="M3" s="365" t="s">
        <v>4093</v>
      </c>
    </row>
    <row r="4" spans="1:14" s="42" customFormat="1">
      <c r="A4" s="475" t="s">
        <v>80</v>
      </c>
      <c r="B4" s="476">
        <v>1</v>
      </c>
      <c r="C4" s="524">
        <v>2710716</v>
      </c>
      <c r="D4" s="477">
        <f>VLOOKUP(C4,Export!A:N,14,0)</f>
        <v>17393894</v>
      </c>
      <c r="E4" s="477" t="str">
        <f>VLOOKUP(C4,Export!A:P,16,0)</f>
        <v>JACQUELINE ANDREA MUÑOZ PALMA</v>
      </c>
      <c r="F4" s="478">
        <v>46220</v>
      </c>
      <c r="G4" s="479" t="s">
        <v>4094</v>
      </c>
      <c r="H4" s="480" t="s">
        <v>4095</v>
      </c>
      <c r="I4" s="481" t="s">
        <v>4096</v>
      </c>
      <c r="J4" s="482"/>
      <c r="K4" s="86"/>
      <c r="M4" s="86"/>
    </row>
    <row r="5" spans="1:14" s="245" customFormat="1" ht="17.25">
      <c r="A5" s="183" t="s">
        <v>80</v>
      </c>
      <c r="B5" s="85">
        <v>1</v>
      </c>
      <c r="C5" s="525">
        <v>3075097</v>
      </c>
      <c r="D5" s="184">
        <f>VLOOKUP(C5,Export!A:N,14,0)</f>
        <v>18738780</v>
      </c>
      <c r="E5" s="184" t="str">
        <f>VLOOKUP(C5,Export!A:P,16,0)</f>
        <v>TANIA FRANCHESCA JARA MARDONES</v>
      </c>
      <c r="F5" s="522">
        <v>46223</v>
      </c>
      <c r="G5" s="54">
        <v>46223</v>
      </c>
      <c r="H5" s="55" t="s">
        <v>4095</v>
      </c>
      <c r="I5" s="56" t="s">
        <v>4096</v>
      </c>
      <c r="J5" s="57"/>
      <c r="K5" s="287"/>
      <c r="L5" s="366"/>
      <c r="M5" s="287"/>
    </row>
    <row r="6" spans="1:14" s="245" customFormat="1">
      <c r="A6" s="67" t="s">
        <v>80</v>
      </c>
      <c r="B6" s="367">
        <v>1</v>
      </c>
      <c r="C6" s="403">
        <v>3455677</v>
      </c>
      <c r="D6" s="184">
        <f>VLOOKUP(C6,Export!A:N,14,0)</f>
        <v>20030024</v>
      </c>
      <c r="E6" s="184" t="str">
        <f>VLOOKUP(C6,Export!A:P,16,0)</f>
        <v>FRANCISCO JAVIER MATAMALA ZAPATA</v>
      </c>
      <c r="F6" s="523">
        <v>46227</v>
      </c>
      <c r="G6" s="186">
        <v>46227</v>
      </c>
      <c r="H6" s="187" t="s">
        <v>4097</v>
      </c>
      <c r="I6" s="56" t="s">
        <v>4096</v>
      </c>
      <c r="J6" s="188"/>
      <c r="K6" s="287"/>
      <c r="L6" s="367"/>
      <c r="M6" s="287"/>
    </row>
    <row r="7" spans="1:14" s="245" customFormat="1">
      <c r="A7" s="67" t="s">
        <v>80</v>
      </c>
      <c r="B7" s="367"/>
      <c r="C7" s="483"/>
      <c r="D7" s="184" t="e">
        <f>VLOOKUP(C7,Export!A:N,14,0)</f>
        <v>#N/A</v>
      </c>
      <c r="E7" s="184" t="e">
        <f>VLOOKUP(C7,Export!A:P,16,0)</f>
        <v>#N/A</v>
      </c>
      <c r="F7" s="189"/>
      <c r="G7" s="185"/>
      <c r="H7" s="187"/>
      <c r="I7" s="56"/>
      <c r="J7" s="188"/>
      <c r="K7" s="287"/>
      <c r="L7" s="366"/>
      <c r="M7" s="287"/>
    </row>
    <row r="8" spans="1:14" s="245" customFormat="1">
      <c r="A8" s="484" t="s">
        <v>80</v>
      </c>
      <c r="B8" s="485"/>
      <c r="C8" s="486"/>
      <c r="D8" s="487" t="e">
        <f>VLOOKUP(C8,Export!A:N,14,0)</f>
        <v>#N/A</v>
      </c>
      <c r="E8" s="487" t="e">
        <f>VLOOKUP(C8,Export!A:P,16,0)</f>
        <v>#N/A</v>
      </c>
      <c r="F8" s="504"/>
      <c r="G8" s="186"/>
      <c r="H8" s="187"/>
      <c r="I8" s="56"/>
      <c r="J8" s="188"/>
      <c r="K8" s="287"/>
      <c r="L8" s="366"/>
      <c r="M8" s="287"/>
    </row>
    <row r="9" spans="1:14" s="320" customFormat="1" ht="16.5">
      <c r="A9" s="61" t="s">
        <v>80</v>
      </c>
      <c r="B9" s="88"/>
      <c r="C9" s="89"/>
      <c r="D9" s="83" t="e">
        <f>VLOOKUP(C9,Export!A:N,14,0)</f>
        <v>#N/A</v>
      </c>
      <c r="E9" s="184" t="e">
        <f>VLOOKUP(C9,Export!A:P,16,0)</f>
        <v>#N/A</v>
      </c>
      <c r="F9" s="504"/>
      <c r="G9" s="186"/>
      <c r="H9" s="187"/>
      <c r="I9" s="56"/>
      <c r="J9" s="188"/>
      <c r="K9" s="287"/>
      <c r="L9" s="366"/>
      <c r="M9" s="287"/>
      <c r="N9" s="245"/>
    </row>
    <row r="10" spans="1:14" s="320" customFormat="1" ht="16.5">
      <c r="A10" s="61" t="s">
        <v>80</v>
      </c>
      <c r="B10" s="88"/>
      <c r="C10" s="89"/>
      <c r="D10" s="83" t="e">
        <f>VLOOKUP(C10,Export!A:N,14,0)</f>
        <v>#N/A</v>
      </c>
      <c r="E10" s="184" t="e">
        <f>VLOOKUP(C10,Export!A:P,16,0)</f>
        <v>#N/A</v>
      </c>
      <c r="F10" s="504"/>
      <c r="G10" s="186"/>
      <c r="H10" s="187"/>
      <c r="I10" s="56"/>
      <c r="J10" s="188"/>
      <c r="K10" s="287"/>
      <c r="L10" s="366"/>
      <c r="M10" s="287"/>
      <c r="N10" s="245"/>
    </row>
    <row r="11" spans="1:14" s="320" customFormat="1" ht="16.5">
      <c r="A11" s="61" t="s">
        <v>80</v>
      </c>
      <c r="B11" s="88"/>
      <c r="C11" s="89"/>
      <c r="D11" s="83" t="e">
        <f>VLOOKUP(C11,Export!A:N,14,0)</f>
        <v>#N/A</v>
      </c>
      <c r="E11" s="184" t="e">
        <f>VLOOKUP(C11,Export!A:P,16,0)</f>
        <v>#N/A</v>
      </c>
      <c r="F11" s="504"/>
      <c r="G11" s="186"/>
      <c r="H11" s="187"/>
      <c r="I11" s="56"/>
      <c r="J11" s="188"/>
      <c r="K11" s="287"/>
      <c r="L11" s="366"/>
      <c r="M11" s="287"/>
      <c r="N11" s="245"/>
    </row>
    <row r="12" spans="1:14" ht="16.5">
      <c r="A12" s="61" t="s">
        <v>80</v>
      </c>
      <c r="B12" s="88"/>
      <c r="C12" s="89"/>
      <c r="D12" s="83" t="e">
        <f>VLOOKUP(C12,Export!A:N,14,0)</f>
        <v>#N/A</v>
      </c>
      <c r="E12" s="184" t="e">
        <f>VLOOKUP(C12,Export!A:P,16,0)</f>
        <v>#N/A</v>
      </c>
      <c r="F12" s="62"/>
      <c r="G12" s="62"/>
      <c r="H12" s="59"/>
      <c r="I12" s="56" t="e">
        <f>VLOOKUP(C12,Export!A:J,10,0)</f>
        <v>#N/A</v>
      </c>
      <c r="J12" s="60"/>
      <c r="K12" s="27"/>
      <c r="L12" s="368"/>
      <c r="M12" s="27"/>
      <c r="N12" s="245"/>
    </row>
    <row r="13" spans="1:14">
      <c r="A13" s="533" t="s">
        <v>4098</v>
      </c>
      <c r="B13" s="534"/>
      <c r="C13" s="535"/>
      <c r="D13" s="91" t="e">
        <f>VLOOKUP(C13,Export!A:N,14,0)</f>
        <v>#N/A</v>
      </c>
      <c r="E13" s="91" t="e">
        <f>VLOOKUP(C13,Export!A:P,16,0)</f>
        <v>#N/A</v>
      </c>
      <c r="F13" s="193"/>
      <c r="G13" s="93"/>
      <c r="H13" s="94"/>
      <c r="I13" s="95" t="e">
        <f>VLOOKUP(C13,Export!A:J,10,0)</f>
        <v>#N/A</v>
      </c>
      <c r="J13" s="96"/>
      <c r="K13" s="369"/>
      <c r="L13" s="370"/>
      <c r="M13" s="371"/>
      <c r="N13" s="245"/>
    </row>
    <row r="14" spans="1:14" s="42" customFormat="1">
      <c r="A14" s="488" t="s">
        <v>80</v>
      </c>
      <c r="B14" s="489"/>
      <c r="C14" s="490"/>
      <c r="D14" s="477" t="e">
        <f>VLOOKUP(C14,Export!A:N,14,0)</f>
        <v>#N/A</v>
      </c>
      <c r="E14" s="477" t="e">
        <f>VLOOKUP(C14,Export!A:P,16,0)</f>
        <v>#N/A</v>
      </c>
      <c r="F14" s="491"/>
      <c r="G14" s="210"/>
      <c r="H14" s="492"/>
      <c r="I14" s="481" t="s">
        <v>4096</v>
      </c>
      <c r="J14" s="493"/>
      <c r="K14" s="86"/>
      <c r="L14" s="90"/>
      <c r="M14" s="86"/>
    </row>
    <row r="15" spans="1:14" s="42" customFormat="1">
      <c r="A15" s="488" t="s">
        <v>80</v>
      </c>
      <c r="B15" s="489"/>
      <c r="C15" s="490"/>
      <c r="D15" s="477" t="e">
        <f>VLOOKUP(C15,Export!A:N,14,0)</f>
        <v>#N/A</v>
      </c>
      <c r="E15" s="477" t="e">
        <f>VLOOKUP(C15,Export!A:P,16,0)</f>
        <v>#N/A</v>
      </c>
      <c r="F15" s="192"/>
      <c r="G15" s="494"/>
      <c r="H15" s="492"/>
      <c r="I15" s="481"/>
      <c r="J15" s="493"/>
      <c r="K15" s="86"/>
      <c r="L15" s="90"/>
      <c r="M15" s="86"/>
    </row>
    <row r="16" spans="1:14" s="42" customFormat="1">
      <c r="A16" s="67" t="s">
        <v>80</v>
      </c>
      <c r="B16" s="495"/>
      <c r="C16" s="402"/>
      <c r="D16" s="496" t="e">
        <f>VLOOKUP(C16,Export!A:N,14,0)</f>
        <v>#N/A</v>
      </c>
      <c r="E16" s="496" t="e">
        <f>VLOOKUP(C16,Export!A:P,16,0)</f>
        <v>#N/A</v>
      </c>
      <c r="F16" s="497"/>
      <c r="G16" s="498"/>
      <c r="H16" s="499"/>
      <c r="I16" s="56"/>
      <c r="J16" s="72"/>
      <c r="K16" s="86"/>
      <c r="L16" s="90"/>
      <c r="M16" s="86"/>
    </row>
    <row r="17" spans="1:14" s="42" customFormat="1">
      <c r="A17" s="67" t="s">
        <v>80</v>
      </c>
      <c r="B17" s="495"/>
      <c r="C17" s="402"/>
      <c r="D17" s="496" t="e">
        <f>VLOOKUP(C17,Export!A:N,14,0)</f>
        <v>#N/A</v>
      </c>
      <c r="E17" s="496" t="e">
        <f>VLOOKUP(C17,Export!A:P,16,0)</f>
        <v>#N/A</v>
      </c>
      <c r="F17" s="497"/>
      <c r="G17" s="498"/>
      <c r="H17" s="499"/>
      <c r="I17" s="56"/>
      <c r="J17" s="72"/>
      <c r="K17" s="86"/>
      <c r="L17" s="90"/>
      <c r="M17" s="86"/>
    </row>
    <row r="18" spans="1:14" s="42" customFormat="1">
      <c r="A18" s="67" t="s">
        <v>80</v>
      </c>
      <c r="B18" s="495"/>
      <c r="C18" s="402"/>
      <c r="D18" s="496" t="e">
        <f>VLOOKUP(C18,Export!A:N,14,0)</f>
        <v>#N/A</v>
      </c>
      <c r="E18" s="496" t="e">
        <f>VLOOKUP(C18,Export!A:P,16,0)</f>
        <v>#N/A</v>
      </c>
      <c r="F18" s="497"/>
      <c r="G18" s="498"/>
      <c r="H18" s="499"/>
      <c r="I18" s="56"/>
      <c r="J18" s="72"/>
      <c r="K18" s="86"/>
      <c r="L18" s="90"/>
      <c r="M18" s="86"/>
    </row>
    <row r="19" spans="1:14" ht="16.5">
      <c r="A19" s="58" t="s">
        <v>80</v>
      </c>
      <c r="B19" s="53"/>
      <c r="C19" s="89"/>
      <c r="D19" s="83" t="e">
        <f>VLOOKUP(C19,Export!A:N,14,0)</f>
        <v>#N/A</v>
      </c>
      <c r="E19" s="184" t="e">
        <f>VLOOKUP(C19,Export!A:P,16,0)</f>
        <v>#N/A</v>
      </c>
      <c r="F19" s="194"/>
      <c r="G19" s="65"/>
      <c r="H19" s="63"/>
      <c r="I19" s="56" t="e">
        <f>VLOOKUP(C19,Export!A:J,10,0)</f>
        <v>#N/A</v>
      </c>
      <c r="J19" s="66"/>
      <c r="K19" s="27"/>
      <c r="L19" s="372"/>
      <c r="M19" s="27"/>
      <c r="N19" s="245"/>
    </row>
    <row r="20" spans="1:14" ht="22.5" customHeight="1">
      <c r="A20" s="536" t="s">
        <v>4099</v>
      </c>
      <c r="B20" s="537"/>
      <c r="C20" s="538"/>
      <c r="D20" s="91" t="e">
        <f>VLOOKUP(C20,Export!A:N,14,0)</f>
        <v>#N/A</v>
      </c>
      <c r="E20" s="211" t="e">
        <f>VLOOKUP(C20,Export!A:P,16,0)</f>
        <v>#N/A</v>
      </c>
      <c r="F20" s="195"/>
      <c r="G20" s="92"/>
      <c r="H20" s="97"/>
      <c r="I20" s="95" t="e">
        <f>VLOOKUP(C20,Export!A:J,10,0)</f>
        <v>#N/A</v>
      </c>
      <c r="J20" s="94"/>
      <c r="K20" s="371"/>
      <c r="L20" s="373"/>
      <c r="M20" s="371"/>
      <c r="N20" s="245"/>
    </row>
    <row r="21" spans="1:14" s="245" customFormat="1">
      <c r="A21" s="67" t="s">
        <v>80</v>
      </c>
      <c r="B21" s="68"/>
      <c r="C21" s="69"/>
      <c r="D21" s="196" t="e">
        <f>VLOOKUP(C21,Export!A:N,14,0)</f>
        <v>#N/A</v>
      </c>
      <c r="E21" s="85" t="e">
        <f>VLOOKUP(C21,Export!A:P,16,0)</f>
        <v>#N/A</v>
      </c>
      <c r="F21" s="70"/>
      <c r="G21" s="187"/>
      <c r="H21" s="56" t="e">
        <f>VLOOKUP(C21,Export!A:J,10,0)</f>
        <v>#N/A</v>
      </c>
      <c r="I21" s="72" t="s">
        <v>4100</v>
      </c>
      <c r="J21" s="287"/>
      <c r="K21" s="374"/>
      <c r="L21" s="287"/>
    </row>
    <row r="22" spans="1:14">
      <c r="A22" s="67" t="s">
        <v>80</v>
      </c>
      <c r="B22" s="99"/>
      <c r="C22" s="190"/>
      <c r="D22" s="196" t="e">
        <f>VLOOKUP(C22,Export!A:N,14,0)</f>
        <v>#N/A</v>
      </c>
      <c r="E22" s="85" t="e">
        <f>VLOOKUP(C22,Export!A:P,16,0)</f>
        <v>#N/A</v>
      </c>
      <c r="F22" s="70"/>
      <c r="G22" s="71"/>
      <c r="H22" s="56" t="e">
        <f>VLOOKUP(C22,Export!A:J,10,0)</f>
        <v>#N/A</v>
      </c>
      <c r="I22" s="72" t="s">
        <v>4101</v>
      </c>
      <c r="J22" s="287"/>
      <c r="K22" s="374"/>
      <c r="L22" s="27"/>
      <c r="M22" s="245"/>
    </row>
    <row r="23" spans="1:14">
      <c r="A23" s="67" t="s">
        <v>80</v>
      </c>
      <c r="B23" s="99"/>
      <c r="C23" s="190"/>
      <c r="D23" s="196" t="e">
        <f>VLOOKUP(C23,Export!A:N,14,0)</f>
        <v>#N/A</v>
      </c>
      <c r="E23" s="85" t="e">
        <f>VLOOKUP(C23,Export!A:P,16,0)</f>
        <v>#N/A</v>
      </c>
      <c r="F23" s="70"/>
      <c r="G23" s="71"/>
      <c r="H23" s="56" t="e">
        <f>VLOOKUP(C23,Export!A:J,10,0)</f>
        <v>#N/A</v>
      </c>
      <c r="I23" s="502"/>
      <c r="J23" s="287"/>
      <c r="K23" s="366"/>
      <c r="L23" s="27"/>
      <c r="M23" s="245"/>
    </row>
    <row r="24" spans="1:14">
      <c r="A24" s="67" t="s">
        <v>80</v>
      </c>
      <c r="B24" s="99"/>
      <c r="C24" s="190"/>
      <c r="D24" s="196" t="e">
        <f>VLOOKUP(C24,Export!A:N,14,0)</f>
        <v>#N/A</v>
      </c>
      <c r="E24" s="85" t="e">
        <f>VLOOKUP(C24,Export!A:P,16,0)</f>
        <v>#N/A</v>
      </c>
      <c r="F24" s="70"/>
      <c r="G24" s="71"/>
      <c r="H24" s="56"/>
      <c r="I24" s="502"/>
      <c r="J24" s="287"/>
      <c r="K24" s="366"/>
      <c r="L24" s="27"/>
      <c r="M24" s="245"/>
    </row>
    <row r="25" spans="1:14">
      <c r="A25" s="67" t="s">
        <v>80</v>
      </c>
      <c r="B25" s="99"/>
      <c r="D25" s="196" t="e">
        <f>VLOOKUP(C25,Export!A:N,14,0)</f>
        <v>#N/A</v>
      </c>
      <c r="E25" s="85" t="e">
        <f>VLOOKUP(C25,Export!A:P,16,0)</f>
        <v>#N/A</v>
      </c>
      <c r="F25" s="70"/>
      <c r="G25" s="71"/>
      <c r="H25" s="56"/>
      <c r="I25" s="48"/>
      <c r="J25" s="287"/>
      <c r="K25" s="366"/>
      <c r="L25" s="27"/>
      <c r="M25" s="245"/>
    </row>
    <row r="26" spans="1:14">
      <c r="A26" s="67" t="s">
        <v>80</v>
      </c>
      <c r="B26" s="99"/>
      <c r="C26" s="190"/>
      <c r="D26" s="196" t="e">
        <f>VLOOKUP(C26,Export!A:N,14,0)</f>
        <v>#N/A</v>
      </c>
      <c r="E26" s="85" t="e">
        <f>VLOOKUP(C26,Export!A:P,16,0)</f>
        <v>#N/A</v>
      </c>
      <c r="F26" s="70"/>
      <c r="G26" s="70"/>
      <c r="H26" s="71"/>
      <c r="I26" s="503"/>
      <c r="J26" s="188"/>
      <c r="K26" s="287"/>
      <c r="L26" s="366"/>
      <c r="M26" s="27"/>
      <c r="N26" s="245"/>
    </row>
    <row r="27" spans="1:14">
      <c r="A27" s="536" t="s">
        <v>4102</v>
      </c>
      <c r="B27" s="537"/>
      <c r="C27" s="538"/>
      <c r="D27" s="197" t="e">
        <f>VLOOKUP(C27,Export!A:N,14,0)</f>
        <v>#N/A</v>
      </c>
      <c r="E27" s="91" t="e">
        <f>VLOOKUP(C27,Export!A:P,16,0)</f>
        <v>#N/A</v>
      </c>
      <c r="F27" s="93"/>
      <c r="G27" s="93"/>
      <c r="H27" s="94"/>
      <c r="I27" s="95" t="e">
        <f>VLOOKUP(C27,Export!A:J,10,0)</f>
        <v>#N/A</v>
      </c>
      <c r="J27" s="96"/>
      <c r="K27" s="369"/>
      <c r="L27" s="370"/>
      <c r="M27" s="371"/>
      <c r="N27" s="245"/>
    </row>
    <row r="28" spans="1:14" s="245" customFormat="1">
      <c r="A28" s="191" t="s">
        <v>80</v>
      </c>
      <c r="B28" s="68"/>
      <c r="C28" s="69">
        <v>2559696</v>
      </c>
      <c r="D28" s="196">
        <f>VLOOKUP(C28,Export!A:N,14,0)</f>
        <v>13903398</v>
      </c>
      <c r="E28" s="85" t="str">
        <f>VLOOKUP(C28,Export!A:P,16,0)</f>
        <v>MARCIA  ANDREA IBAÑEZ MATEO</v>
      </c>
      <c r="F28" s="501"/>
      <c r="G28" s="70"/>
      <c r="H28" s="187" t="s">
        <v>4103</v>
      </c>
      <c r="I28" s="56" t="str">
        <f>VLOOKUP(C28,Export!A:J,10,0)</f>
        <v>VIGENTE</v>
      </c>
      <c r="J28" s="72"/>
      <c r="K28" s="287"/>
      <c r="L28" s="374"/>
      <c r="M28" s="287"/>
      <c r="N28" s="245" t="s">
        <v>4103</v>
      </c>
    </row>
    <row r="29" spans="1:14" s="245" customFormat="1">
      <c r="A29" s="67" t="s">
        <v>80</v>
      </c>
      <c r="B29" s="68"/>
      <c r="C29" s="69">
        <v>2484501</v>
      </c>
      <c r="D29" s="196">
        <f>VLOOKUP(C29,Export!A:N,14,0)</f>
        <v>10928665</v>
      </c>
      <c r="E29" s="85" t="str">
        <f>VLOOKUP(C29,Export!A:P,16,0)</f>
        <v>NELSON IVÁN SILVA TOLEDO</v>
      </c>
      <c r="F29" s="500"/>
      <c r="G29" s="70"/>
      <c r="H29" s="187" t="s">
        <v>4103</v>
      </c>
      <c r="I29" s="56" t="str">
        <f>VLOOKUP(C29,Export!A:J,10,0)</f>
        <v>VIGENTE</v>
      </c>
      <c r="J29" s="72"/>
      <c r="K29" s="287"/>
      <c r="L29" s="374"/>
      <c r="M29" s="287"/>
    </row>
    <row r="30" spans="1:14" s="320" customFormat="1">
      <c r="A30" s="190" t="s">
        <v>80</v>
      </c>
      <c r="B30" s="99">
        <v>1</v>
      </c>
      <c r="C30" s="190"/>
      <c r="D30" s="196" t="e">
        <f>VLOOKUP(C30,Export!A:N,14,0)</f>
        <v>#N/A</v>
      </c>
      <c r="E30" s="85" t="e">
        <f>VLOOKUP(C30,Export!A:P,16,0)</f>
        <v>#N/A</v>
      </c>
      <c r="F30" s="375"/>
      <c r="G30" s="70"/>
      <c r="H30" s="187"/>
      <c r="I30" s="56" t="e">
        <f>VLOOKUP(C30,Export!A:J,10,0)</f>
        <v>#N/A</v>
      </c>
      <c r="J30" s="72"/>
      <c r="K30" s="287"/>
      <c r="L30" s="374"/>
      <c r="M30" s="287"/>
    </row>
    <row r="31" spans="1:14">
      <c r="A31" s="58" t="s">
        <v>80</v>
      </c>
      <c r="B31" s="27"/>
      <c r="C31" s="376"/>
      <c r="D31" s="198" t="e">
        <f>VLOOKUP(C31,Export!A:N,14,0)</f>
        <v>#N/A</v>
      </c>
      <c r="E31" s="184" t="e">
        <f>VLOOKUP(C31,Export!A:P,16,0)</f>
        <v>#N/A</v>
      </c>
      <c r="F31" s="377"/>
      <c r="G31" s="27"/>
      <c r="H31" s="378"/>
      <c r="I31" s="56" t="e">
        <f>VLOOKUP(C31,Export!A:J,10,0)</f>
        <v>#N/A</v>
      </c>
      <c r="J31" s="27"/>
      <c r="K31" s="27"/>
      <c r="L31" s="372"/>
      <c r="M31" s="27"/>
      <c r="N31" s="245"/>
    </row>
    <row r="32" spans="1:14">
      <c r="A32" s="58" t="s">
        <v>80</v>
      </c>
      <c r="B32" s="27"/>
      <c r="C32" s="376"/>
      <c r="D32" s="198" t="e">
        <f>VLOOKUP(C32,Export!A:N,14,0)</f>
        <v>#N/A</v>
      </c>
      <c r="E32" s="184" t="e">
        <f>VLOOKUP(C32,Export!A:P,16,0)</f>
        <v>#N/A</v>
      </c>
      <c r="F32" s="377"/>
      <c r="G32" s="27"/>
      <c r="H32" s="378"/>
      <c r="I32" s="56" t="e">
        <f>VLOOKUP(C32,Export!A:J,10,0)</f>
        <v>#N/A</v>
      </c>
      <c r="J32" s="27"/>
      <c r="K32" s="27"/>
      <c r="L32" s="372"/>
      <c r="M32" s="27"/>
      <c r="N32" s="245"/>
    </row>
    <row r="33" spans="1:14">
      <c r="A33" s="58" t="s">
        <v>80</v>
      </c>
      <c r="B33" s="27"/>
      <c r="C33" s="376"/>
      <c r="D33" s="198" t="e">
        <f>VLOOKUP(C33,Export!A:N,14,0)</f>
        <v>#N/A</v>
      </c>
      <c r="E33" s="184" t="e">
        <f>VLOOKUP(C33,Export!A:P,16,0)</f>
        <v>#N/A</v>
      </c>
      <c r="F33" s="377"/>
      <c r="G33" s="27"/>
      <c r="H33" s="378"/>
      <c r="I33" s="56" t="e">
        <f>VLOOKUP(C33,Export!A:J,10,0)</f>
        <v>#N/A</v>
      </c>
      <c r="J33" s="27"/>
      <c r="K33" s="27"/>
      <c r="L33" s="372"/>
      <c r="M33" s="27"/>
      <c r="N33" s="245"/>
    </row>
    <row r="40" spans="1:14">
      <c r="F40">
        <v>235.334</v>
      </c>
    </row>
    <row r="41" spans="1:14">
      <c r="F41">
        <v>230.04599999999999</v>
      </c>
    </row>
    <row r="42" spans="1:14">
      <c r="F42">
        <v>224.929</v>
      </c>
    </row>
    <row r="43" spans="1:14">
      <c r="F43">
        <v>219.64099999999999</v>
      </c>
    </row>
    <row r="44" spans="1:14">
      <c r="F44">
        <v>214.69399999999999</v>
      </c>
    </row>
    <row r="45" spans="1:14">
      <c r="F45">
        <v>209.577</v>
      </c>
    </row>
    <row r="46" spans="1:14">
      <c r="F46">
        <v>204.28899999999999</v>
      </c>
    </row>
    <row r="47" spans="1:14">
      <c r="F47" s="386">
        <v>199.172</v>
      </c>
      <c r="G47" s="386"/>
    </row>
    <row r="49" spans="6:6">
      <c r="F49">
        <f>SUM(F40:F48)</f>
        <v>1737.682</v>
      </c>
    </row>
  </sheetData>
  <mergeCells count="5">
    <mergeCell ref="A1:B1"/>
    <mergeCell ref="A2:C2"/>
    <mergeCell ref="A13:C13"/>
    <mergeCell ref="A20:C20"/>
    <mergeCell ref="A27:C2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C5F8-87F0-4AAF-8F7B-C20D9E11614B}">
  <dimension ref="A1:K28"/>
  <sheetViews>
    <sheetView topLeftCell="A12" workbookViewId="0">
      <selection activeCell="G22" sqref="G22"/>
    </sheetView>
  </sheetViews>
  <sheetFormatPr defaultColWidth="11.42578125" defaultRowHeight="15"/>
  <cols>
    <col min="2" max="2" width="16.7109375" customWidth="1"/>
    <col min="3" max="3" width="19.28515625" customWidth="1"/>
    <col min="4" max="5" width="19.7109375" customWidth="1"/>
    <col min="6" max="6" width="20.5703125" customWidth="1"/>
    <col min="9" max="9" width="20.85546875" customWidth="1"/>
    <col min="10" max="10" width="33.85546875" customWidth="1"/>
  </cols>
  <sheetData>
    <row r="1" spans="1:7" ht="30">
      <c r="A1" s="10" t="s">
        <v>4104</v>
      </c>
      <c r="B1" s="10" t="s">
        <v>4105</v>
      </c>
      <c r="C1" s="10" t="s">
        <v>4106</v>
      </c>
      <c r="D1" s="10" t="s">
        <v>4107</v>
      </c>
      <c r="E1" s="10" t="s">
        <v>4108</v>
      </c>
      <c r="F1" s="10" t="s">
        <v>4109</v>
      </c>
    </row>
    <row r="2" spans="1:7">
      <c r="A2" s="11" t="s">
        <v>80</v>
      </c>
      <c r="B2" s="199"/>
      <c r="C2" s="12">
        <v>1</v>
      </c>
      <c r="D2" s="11"/>
      <c r="E2" s="11"/>
      <c r="F2" s="11"/>
    </row>
    <row r="3" spans="1:7">
      <c r="A3" s="11"/>
      <c r="B3" s="11"/>
      <c r="C3" s="11"/>
      <c r="D3" s="11"/>
      <c r="E3" s="11"/>
      <c r="F3" s="11"/>
    </row>
    <row r="4" spans="1:7">
      <c r="A4" s="11"/>
      <c r="B4" s="11"/>
      <c r="C4" s="11"/>
      <c r="D4" s="11"/>
      <c r="E4" s="11"/>
      <c r="F4" s="11"/>
    </row>
    <row r="7" spans="1:7" ht="24">
      <c r="A7" s="13" t="s">
        <v>4104</v>
      </c>
      <c r="B7" s="13" t="s">
        <v>4105</v>
      </c>
      <c r="C7" s="203" t="s">
        <v>4110</v>
      </c>
      <c r="D7" s="204" t="s">
        <v>4111</v>
      </c>
      <c r="E7" s="204" t="s">
        <v>4112</v>
      </c>
      <c r="F7" s="204" t="s">
        <v>4113</v>
      </c>
    </row>
    <row r="8" spans="1:7">
      <c r="A8" s="14" t="s">
        <v>80</v>
      </c>
      <c r="B8" s="199" t="s">
        <v>4114</v>
      </c>
      <c r="C8" s="200">
        <v>9039748</v>
      </c>
      <c r="D8" s="205">
        <v>0</v>
      </c>
      <c r="E8" s="206" t="s">
        <v>4115</v>
      </c>
      <c r="F8" s="207"/>
    </row>
    <row r="9" spans="1:7">
      <c r="A9" s="16"/>
      <c r="B9" s="17"/>
      <c r="C9" s="17"/>
      <c r="D9" s="18"/>
      <c r="E9" s="18"/>
      <c r="F9" s="18"/>
    </row>
    <row r="10" spans="1:7">
      <c r="A10" s="16"/>
      <c r="B10" s="19"/>
      <c r="C10" s="17"/>
      <c r="D10" s="18"/>
      <c r="E10" s="20"/>
      <c r="F10" s="21"/>
    </row>
    <row r="11" spans="1:7">
      <c r="A11" s="540" t="s">
        <v>4116</v>
      </c>
      <c r="B11" s="540"/>
      <c r="C11" s="13"/>
      <c r="D11" s="22" t="s">
        <v>4117</v>
      </c>
      <c r="E11" s="23" t="s">
        <v>4118</v>
      </c>
      <c r="F11" s="24"/>
    </row>
    <row r="12" spans="1:7">
      <c r="A12" s="539" t="s">
        <v>4119</v>
      </c>
      <c r="B12" s="539"/>
      <c r="C12" s="25"/>
      <c r="D12" s="15"/>
      <c r="E12" s="26"/>
      <c r="F12" s="24"/>
    </row>
    <row r="13" spans="1:7">
      <c r="A13" s="539" t="s">
        <v>4120</v>
      </c>
      <c r="B13" s="539"/>
      <c r="C13" s="25"/>
      <c r="D13" s="27"/>
      <c r="E13" s="28"/>
      <c r="F13" s="29"/>
    </row>
    <row r="14" spans="1:7">
      <c r="A14" s="539" t="s">
        <v>4121</v>
      </c>
      <c r="B14" s="539"/>
      <c r="C14" s="25"/>
      <c r="D14" s="30"/>
      <c r="E14" s="26"/>
      <c r="F14" s="31"/>
      <c r="G14" s="30"/>
    </row>
    <row r="15" spans="1:7">
      <c r="A15" s="539" t="s">
        <v>4122</v>
      </c>
      <c r="B15" s="539"/>
      <c r="C15" s="25"/>
      <c r="D15" s="32"/>
      <c r="E15" s="26"/>
      <c r="F15" s="24"/>
    </row>
    <row r="16" spans="1:7">
      <c r="A16" s="539" t="s">
        <v>4123</v>
      </c>
      <c r="B16" s="539"/>
      <c r="C16" s="25"/>
      <c r="D16" s="201" t="s">
        <v>4124</v>
      </c>
      <c r="E16" s="45">
        <v>2749966</v>
      </c>
      <c r="F16" s="33"/>
    </row>
    <row r="17" spans="1:11">
      <c r="A17" s="539" t="s">
        <v>4125</v>
      </c>
      <c r="B17" s="539"/>
      <c r="C17" s="25"/>
      <c r="D17" s="202"/>
      <c r="E17" s="34"/>
      <c r="F17" s="35"/>
    </row>
    <row r="18" spans="1:11">
      <c r="A18" s="539" t="s">
        <v>4126</v>
      </c>
      <c r="B18" s="539"/>
      <c r="C18" s="25"/>
      <c r="D18" s="201">
        <v>14525883</v>
      </c>
      <c r="E18" s="44">
        <v>2933440</v>
      </c>
      <c r="F18" s="24"/>
    </row>
    <row r="19" spans="1:11">
      <c r="A19" s="539" t="s">
        <v>4127</v>
      </c>
      <c r="B19" s="539"/>
      <c r="C19" s="36"/>
      <c r="D19" s="37"/>
      <c r="E19" s="38">
        <v>0.62</v>
      </c>
      <c r="F19" s="39"/>
    </row>
    <row r="20" spans="1:11">
      <c r="A20" s="16"/>
      <c r="B20" s="18"/>
      <c r="C20" s="40"/>
      <c r="E20" s="7"/>
      <c r="F20" s="41"/>
    </row>
    <row r="24" spans="1:11">
      <c r="A24" t="s">
        <v>4128</v>
      </c>
    </row>
    <row r="25" spans="1:11" ht="15.75" thickBot="1"/>
    <row r="26" spans="1:11" ht="15.75" thickBot="1">
      <c r="A26" s="387">
        <v>2550653</v>
      </c>
      <c r="B26" s="388" t="s">
        <v>5</v>
      </c>
      <c r="C26" s="388" t="s">
        <v>4129</v>
      </c>
      <c r="D26" s="388" t="s">
        <v>631</v>
      </c>
      <c r="E26" s="388" t="s">
        <v>3968</v>
      </c>
      <c r="F26" s="388" t="s">
        <v>4130</v>
      </c>
      <c r="G26" s="388" t="s">
        <v>4130</v>
      </c>
      <c r="H26" s="388" t="s">
        <v>80</v>
      </c>
      <c r="I26" s="388" t="s">
        <v>4131</v>
      </c>
      <c r="J26" s="388" t="s">
        <v>4132</v>
      </c>
      <c r="K26" t="s">
        <v>4133</v>
      </c>
    </row>
    <row r="27" spans="1:11" ht="15.75" thickBot="1">
      <c r="A27" s="389">
        <v>3246183</v>
      </c>
      <c r="B27" s="390" t="s">
        <v>5</v>
      </c>
      <c r="C27" s="390" t="s">
        <v>4129</v>
      </c>
      <c r="D27" s="390" t="s">
        <v>1366</v>
      </c>
      <c r="E27" s="390" t="s">
        <v>300</v>
      </c>
      <c r="F27" s="390" t="s">
        <v>4134</v>
      </c>
      <c r="G27" s="390" t="s">
        <v>4134</v>
      </c>
      <c r="H27" s="390" t="s">
        <v>80</v>
      </c>
      <c r="I27" s="390" t="s">
        <v>4131</v>
      </c>
      <c r="J27" s="390" t="s">
        <v>4135</v>
      </c>
      <c r="K27" t="s">
        <v>4133</v>
      </c>
    </row>
    <row r="28" spans="1:11" ht="15.75">
      <c r="A28" s="391" t="s">
        <v>4136</v>
      </c>
    </row>
  </sheetData>
  <mergeCells count="9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5569-A38D-4A0A-AF9A-0DA63AD16B2E}">
  <dimension ref="A1:L18"/>
  <sheetViews>
    <sheetView topLeftCell="A6" workbookViewId="0">
      <selection activeCell="F13" sqref="F13"/>
    </sheetView>
  </sheetViews>
  <sheetFormatPr defaultColWidth="11.42578125" defaultRowHeight="15"/>
  <cols>
    <col min="2" max="2" width="10.28515625" customWidth="1"/>
    <col min="3" max="3" width="37.140625" customWidth="1"/>
    <col min="4" max="4" width="8.5703125" customWidth="1"/>
    <col min="6" max="6" width="16" customWidth="1"/>
    <col min="8" max="8" width="13.140625" customWidth="1"/>
    <col min="10" max="10" width="39.5703125" customWidth="1"/>
  </cols>
  <sheetData>
    <row r="1" spans="1:12" s="107" customFormat="1" ht="15.75">
      <c r="A1" s="108" t="s">
        <v>3598</v>
      </c>
      <c r="B1" s="109" t="s">
        <v>36</v>
      </c>
      <c r="C1" s="109" t="s">
        <v>3599</v>
      </c>
      <c r="D1" s="108" t="s">
        <v>3600</v>
      </c>
      <c r="E1" s="110" t="s">
        <v>3601</v>
      </c>
      <c r="F1" s="111" t="s">
        <v>56</v>
      </c>
      <c r="G1" s="108" t="s">
        <v>3605</v>
      </c>
      <c r="H1" s="113" t="s">
        <v>3607</v>
      </c>
      <c r="I1" s="108" t="s">
        <v>3610</v>
      </c>
      <c r="J1" s="118" t="s">
        <v>63</v>
      </c>
      <c r="K1" s="109" t="s">
        <v>3679</v>
      </c>
      <c r="L1" s="120" t="s">
        <v>3615</v>
      </c>
    </row>
    <row r="2" spans="1:12" s="48" customFormat="1">
      <c r="A2" s="287">
        <v>3656732</v>
      </c>
      <c r="B2" s="98">
        <f>VLOOKUP(A2,Export!A:N,14,0)</f>
        <v>17377854</v>
      </c>
      <c r="C2" s="98" t="str">
        <f>VLOOKUP(A2,Export!A:P,16,0)</f>
        <v>BORIS OMAR DINAMARCA CONTRERAS</v>
      </c>
      <c r="D2" s="99" t="str">
        <f>VLOOKUP(A2,Export!A:H,8,0)</f>
        <v>121-150</v>
      </c>
      <c r="E2" s="99" t="str">
        <f>VLOOKUP(A2,Export!A:I,9,0)</f>
        <v>151-180</v>
      </c>
      <c r="F2" s="99" t="str">
        <f>VLOOKUP(A2,Export!A:AH,34,0)</f>
        <v>NO RECUPERADO</v>
      </c>
      <c r="G2" s="99">
        <f>VLOOKUP(A2,Export!A:B,2,0)</f>
        <v>161</v>
      </c>
      <c r="H2" s="165">
        <f>VLOOKUP(A2,Export!A:D,4,0)</f>
        <v>14105160</v>
      </c>
      <c r="I2" s="379" t="s">
        <v>3621</v>
      </c>
      <c r="J2" s="380" t="s">
        <v>4137</v>
      </c>
      <c r="K2" s="380"/>
      <c r="L2" s="168" t="e">
        <f>VLOOKUP(A2,'OFICIO '!A:J,10,0)</f>
        <v>#N/A</v>
      </c>
    </row>
    <row r="3" spans="1:12" s="48" customFormat="1">
      <c r="A3" s="287">
        <v>3575468</v>
      </c>
      <c r="B3" s="98">
        <f>VLOOKUP(A3,Export!A:N,14,0)</f>
        <v>11643628</v>
      </c>
      <c r="C3" s="98" t="str">
        <f>VLOOKUP(A3,Export!A:P,16,0)</f>
        <v>LAZARO ABURTO A</v>
      </c>
      <c r="D3" s="99" t="str">
        <f>VLOOKUP(A3,Export!A:H,8,0)</f>
        <v>151-180</v>
      </c>
      <c r="E3" s="99" t="str">
        <f>VLOOKUP(A3,Export!A:I,9,0)</f>
        <v>181-210</v>
      </c>
      <c r="F3" s="99" t="str">
        <f>VLOOKUP(A3,Export!A:AH,34,0)</f>
        <v>NO RECUPERADO</v>
      </c>
      <c r="G3" s="99">
        <f>VLOOKUP(A3,Export!A:B,2,0)</f>
        <v>196</v>
      </c>
      <c r="H3" s="165">
        <f>VLOOKUP(A3,Export!A:D,4,0)</f>
        <v>24913683</v>
      </c>
      <c r="I3" s="99" t="s">
        <v>3621</v>
      </c>
      <c r="J3" s="380" t="s">
        <v>4138</v>
      </c>
      <c r="K3" s="380"/>
      <c r="L3" s="168" t="e">
        <f>VLOOKUP(A3,'OFICIO '!A:J,10,0)</f>
        <v>#N/A</v>
      </c>
    </row>
    <row r="4" spans="1:12" s="48" customFormat="1" ht="30">
      <c r="A4" s="287">
        <v>3306478</v>
      </c>
      <c r="B4" s="98">
        <f>VLOOKUP(A4,Export!A:N,14,0)</f>
        <v>14698527</v>
      </c>
      <c r="C4" s="98" t="str">
        <f>VLOOKUP(A4,Export!A:P,16,0)</f>
        <v>XIUQIN LUO</v>
      </c>
      <c r="D4" s="99" t="str">
        <f>VLOOKUP(A4,Export!A:H,8,0)</f>
        <v>271-300</v>
      </c>
      <c r="E4" s="99" t="str">
        <f>VLOOKUP(A4,Export!A:I,9,0)</f>
        <v>301-330</v>
      </c>
      <c r="F4" s="99" t="str">
        <f>VLOOKUP(A4,Export!A:AH,34,0)</f>
        <v>NO RECUPERADO</v>
      </c>
      <c r="G4" s="99">
        <f>VLOOKUP(A4,Export!A:B,2,0)</f>
        <v>313</v>
      </c>
      <c r="H4" s="165">
        <f>VLOOKUP(A4,Export!A:D,4,0)</f>
        <v>29850679</v>
      </c>
      <c r="I4" s="99" t="s">
        <v>3621</v>
      </c>
      <c r="J4" s="380" t="s">
        <v>4139</v>
      </c>
      <c r="K4" s="380"/>
      <c r="L4" s="168" t="e">
        <f>VLOOKUP(A4,'OFICIO '!A:J,10,0)</f>
        <v>#N/A</v>
      </c>
    </row>
    <row r="5" spans="1:12" s="48" customFormat="1">
      <c r="A5" s="2">
        <v>3227495</v>
      </c>
      <c r="B5" s="98">
        <f>VLOOKUP(A5,Export!A:N,14,0)</f>
        <v>25029668</v>
      </c>
      <c r="C5" s="98" t="str">
        <f>VLOOKUP(A5,Export!A:P,16,0)</f>
        <v>MEI LI</v>
      </c>
      <c r="D5" s="99" t="str">
        <f>VLOOKUP(A5,Export!A:H,8,0)</f>
        <v>331-360</v>
      </c>
      <c r="E5" s="99" t="str">
        <f>VLOOKUP(A5,Export!A:I,9,0)</f>
        <v>331-360</v>
      </c>
      <c r="F5" s="99" t="str">
        <f>VLOOKUP(A5,Export!A:AH,34,0)</f>
        <v>NO RECUPERADO</v>
      </c>
      <c r="G5" s="99">
        <f>VLOOKUP(A5,Export!A:B,2,0)</f>
        <v>353</v>
      </c>
      <c r="H5" s="165">
        <f>VLOOKUP(A5,Export!A:D,4,0)</f>
        <v>14028698</v>
      </c>
      <c r="I5" s="99" t="s">
        <v>3621</v>
      </c>
      <c r="J5" t="s">
        <v>4140</v>
      </c>
      <c r="K5" s="104">
        <f>+VLOOKUP(A5,'[1]ORIGINAL '!D:E,2,0)</f>
        <v>0</v>
      </c>
      <c r="L5" s="168" t="e">
        <f>VLOOKUP(A5,'OFICIO '!A:J,10,0)</f>
        <v>#N/A</v>
      </c>
    </row>
    <row r="6" spans="1:12" s="48" customFormat="1" ht="30">
      <c r="A6" s="287">
        <v>3409313</v>
      </c>
      <c r="B6" s="98">
        <f>VLOOKUP(A6,Export!A:N,14,0)</f>
        <v>17482620</v>
      </c>
      <c r="C6" s="98" t="str">
        <f>VLOOKUP(A6,Export!A:P,16,0)</f>
        <v>JIMMY MANUEL SAVICH MELENDRE</v>
      </c>
      <c r="D6" s="99" t="str">
        <f>VLOOKUP(A6,Export!A:H,8,0)</f>
        <v>331-360</v>
      </c>
      <c r="E6" s="99" t="str">
        <f>VLOOKUP(A6,Export!A:I,9,0)</f>
        <v>361-390</v>
      </c>
      <c r="F6" s="99" t="str">
        <f>VLOOKUP(A6,Export!A:AH,34,0)</f>
        <v>CASTIGO</v>
      </c>
      <c r="G6" s="99">
        <f>VLOOKUP(A6,Export!A:B,2,0)</f>
        <v>0</v>
      </c>
      <c r="H6" s="165">
        <f>VLOOKUP(A6,Export!A:D,4,0)</f>
        <v>12662922</v>
      </c>
      <c r="I6" s="99" t="s">
        <v>3621</v>
      </c>
      <c r="J6" s="386" t="s">
        <v>4141</v>
      </c>
      <c r="K6" s="386" t="s">
        <v>4142</v>
      </c>
      <c r="L6" s="168" t="e">
        <f>VLOOKUP(A6,'OFICIO '!A:J,10,0)</f>
        <v>#N/A</v>
      </c>
    </row>
    <row r="7" spans="1:12" s="48" customFormat="1" ht="30">
      <c r="A7">
        <v>3662424</v>
      </c>
      <c r="B7" s="98">
        <f>VLOOKUP(A7,Export!A:N,14,0)</f>
        <v>19914942</v>
      </c>
      <c r="C7" s="98" t="str">
        <f>VLOOKUP(A7,Export!A:P,16,0)</f>
        <v>HIHARABY MAYTTE DÍAZ CARRASCO</v>
      </c>
      <c r="D7" s="99" t="str">
        <f>VLOOKUP(A7,Export!A:H,8,0)</f>
        <v>121-150</v>
      </c>
      <c r="E7" s="99" t="str">
        <f>VLOOKUP(A7,Export!A:I,9,0)</f>
        <v>121-150</v>
      </c>
      <c r="F7" s="99" t="str">
        <f>VLOOKUP(A7,Export!A:AH,34,0)</f>
        <v>NO RECUPERADO</v>
      </c>
      <c r="G7" s="99">
        <f>VLOOKUP(A7,Export!A:B,2,0)</f>
        <v>146</v>
      </c>
      <c r="H7" s="165">
        <f>VLOOKUP(A7,Export!A:D,4,0)</f>
        <v>9416435</v>
      </c>
      <c r="I7" s="99" t="s">
        <v>3621</v>
      </c>
      <c r="J7" s="386" t="s">
        <v>4143</v>
      </c>
      <c r="K7" s="386"/>
      <c r="L7" s="168" t="e">
        <f>VLOOKUP(A7,'OFICIO '!A:J,10,0)</f>
        <v>#N/A</v>
      </c>
    </row>
    <row r="8" spans="1:12" s="48" customFormat="1" ht="30">
      <c r="A8" s="287">
        <v>2317511</v>
      </c>
      <c r="B8" s="98">
        <f>VLOOKUP(A8,Export!A:N,14,0)</f>
        <v>11478052</v>
      </c>
      <c r="C8" s="98" t="str">
        <f>VLOOKUP(A8,Export!A:P,16,0)</f>
        <v>MIGUEL ANGEL MIDOLO ESCOBAR</v>
      </c>
      <c r="D8" s="99" t="str">
        <f>VLOOKUP(A8,Export!A:H,8,0)</f>
        <v>0-365</v>
      </c>
      <c r="E8" s="99" t="str">
        <f>VLOOKUP(A8,Export!A:I,9,0)</f>
        <v>0-365</v>
      </c>
      <c r="F8" s="99" t="str">
        <f>VLOOKUP(A8,Export!A:AH,34,0)</f>
        <v>CASTIGO</v>
      </c>
      <c r="G8" s="99">
        <f>VLOOKUP(A8,Export!A:B,2,0)</f>
        <v>1</v>
      </c>
      <c r="H8" s="165">
        <f>VLOOKUP(A8,Export!A:D,4,0)</f>
        <v>7166910</v>
      </c>
      <c r="I8" s="99" t="s">
        <v>3621</v>
      </c>
      <c r="J8" s="386" t="s">
        <v>4144</v>
      </c>
      <c r="K8" s="386"/>
      <c r="L8" s="168" t="e">
        <f>VLOOKUP(A8,'OFICIO '!A:J,10,0)</f>
        <v>#N/A</v>
      </c>
    </row>
    <row r="9" spans="1:12" s="48" customFormat="1">
      <c r="A9" s="287">
        <v>2699951</v>
      </c>
      <c r="B9" s="98">
        <f>VLOOKUP(A9,Export!A:N,14,0)</f>
        <v>77144932</v>
      </c>
      <c r="C9" s="98" t="str">
        <f>VLOOKUP(A9,Export!A:P,16,0)</f>
        <v>AGROCOMERCIAL BARBARA VAN DER DIJS E.I.R.L.</v>
      </c>
      <c r="D9" s="99" t="str">
        <f>VLOOKUP(A9,Export!A:H,8,0)</f>
        <v>0-365</v>
      </c>
      <c r="E9" s="99" t="str">
        <f>VLOOKUP(A9,Export!A:I,9,0)</f>
        <v>0-365</v>
      </c>
      <c r="F9" s="99" t="str">
        <f>VLOOKUP(A9,Export!A:AH,34,0)</f>
        <v>CASTIGO</v>
      </c>
      <c r="G9" s="99">
        <f>VLOOKUP(A9,Export!A:B,2,0)</f>
        <v>166</v>
      </c>
      <c r="H9" s="165">
        <f>VLOOKUP(A9,Export!A:D,4,0)</f>
        <v>10007396</v>
      </c>
      <c r="I9" s="99" t="s">
        <v>3621</v>
      </c>
      <c r="J9" s="188"/>
      <c r="K9" s="104" t="str">
        <f>+VLOOKUP(A9,'[1]ORIGINAL '!D:E,2,0)</f>
        <v>Ariel Silva</v>
      </c>
      <c r="L9" s="168" t="e">
        <f>VLOOKUP(A9,'OFICIO '!A:J,10,0)</f>
        <v>#N/A</v>
      </c>
    </row>
    <row r="10" spans="1:12" s="48" customFormat="1">
      <c r="A10" s="287">
        <v>3417756</v>
      </c>
      <c r="B10" s="98">
        <f>VLOOKUP(A10,Export!A:N,14,0)</f>
        <v>21301036</v>
      </c>
      <c r="C10" s="98" t="str">
        <f>VLOOKUP(A10,Export!A:P,16,0)</f>
        <v>JORGE LUIS ESTEBANOVICH PACHECO</v>
      </c>
      <c r="D10" s="99" t="str">
        <f>VLOOKUP(A10,Export!A:H,8,0)</f>
        <v>361-390</v>
      </c>
      <c r="E10" s="99" t="str">
        <f>VLOOKUP(A10,Export!A:I,9,0)</f>
        <v>361-390</v>
      </c>
      <c r="F10" s="99" t="str">
        <f>VLOOKUP(A10,Export!A:AH,34,0)</f>
        <v>CASTIGO</v>
      </c>
      <c r="G10" s="99">
        <f>VLOOKUP(A10,Export!A:B,2,0)</f>
        <v>0</v>
      </c>
      <c r="H10" s="165">
        <f>VLOOKUP(A10,Export!A:D,4,0)</f>
        <v>21584998</v>
      </c>
      <c r="I10" s="99" t="s">
        <v>3621</v>
      </c>
      <c r="J10" s="188"/>
      <c r="K10" s="104">
        <f>+VLOOKUP(A10,'[1]ORIGINAL '!D:E,2,0)</f>
        <v>0</v>
      </c>
      <c r="L10" s="168" t="e">
        <f>VLOOKUP(A10,'OFICIO '!A:J,10,0)</f>
        <v>#N/A</v>
      </c>
    </row>
    <row r="11" spans="1:12" s="48" customFormat="1">
      <c r="A11" s="386"/>
      <c r="B11" s="386"/>
      <c r="C11" s="98" t="e">
        <f>VLOOKUP(A11,Export!A:P,16,0)</f>
        <v>#N/A</v>
      </c>
      <c r="D11" s="99" t="e">
        <f>VLOOKUP(A11,Export!A:H,8,0)</f>
        <v>#N/A</v>
      </c>
      <c r="E11" s="99" t="e">
        <f>VLOOKUP(A11,Export!A:I,9,0)</f>
        <v>#N/A</v>
      </c>
      <c r="F11" s="99" t="e">
        <f>VLOOKUP(A11,Export!A:AH,34,0)</f>
        <v>#N/A</v>
      </c>
      <c r="G11" s="99" t="e">
        <f>VLOOKUP(A11,Export!A:B,2,0)</f>
        <v>#N/A</v>
      </c>
      <c r="H11" s="165" t="e">
        <f>VLOOKUP(A11,Export!A:D,4,0)</f>
        <v>#N/A</v>
      </c>
      <c r="I11" s="99" t="s">
        <v>3621</v>
      </c>
      <c r="J11" s="188"/>
      <c r="K11" s="104" t="e">
        <f>+VLOOKUP(A11,'[1]ORIGINAL '!D:E,2,0)</f>
        <v>#N/A</v>
      </c>
      <c r="L11" s="168" t="e">
        <f>VLOOKUP(A11,'OFICIO '!A:J,10,0)</f>
        <v>#N/A</v>
      </c>
    </row>
    <row r="12" spans="1:12" s="48" customFormat="1">
      <c r="A12" s="287">
        <v>2031096</v>
      </c>
      <c r="B12" s="98">
        <f>VLOOKUP(A12,Export!A:N,14,0)</f>
        <v>12135832</v>
      </c>
      <c r="C12" s="98" t="str">
        <f>VLOOKUP(A12,Export!A:P,16,0)</f>
        <v>GISELA BETZABE MARTINEZ CAMPOS</v>
      </c>
      <c r="D12" s="99" t="str">
        <f>VLOOKUP(A12,Export!A:H,8,0)</f>
        <v>0-365</v>
      </c>
      <c r="E12" s="99" t="str">
        <f>VLOOKUP(A12,Export!A:I,9,0)</f>
        <v>0-365</v>
      </c>
      <c r="F12" s="99" t="s">
        <v>5</v>
      </c>
      <c r="G12" s="99">
        <f>VLOOKUP(A12,Export!A:B,2,0)</f>
        <v>197</v>
      </c>
      <c r="H12" s="165">
        <f>VLOOKUP(A12,Export!A:D,4,0)</f>
        <v>7340602</v>
      </c>
      <c r="I12" s="99" t="s">
        <v>3621</v>
      </c>
      <c r="J12" s="188"/>
      <c r="K12" s="104" t="str">
        <f>+VLOOKUP(A12,'[1]ORIGINAL '!D:E,2,0)</f>
        <v>Ariel Silva</v>
      </c>
      <c r="L12" s="168" t="e">
        <f>VLOOKUP(A12,'OFICIO '!A:J,10,0)</f>
        <v>#N/A</v>
      </c>
    </row>
    <row r="13" spans="1:12" s="48" customFormat="1">
      <c r="A13" s="287"/>
      <c r="B13" s="98" t="e">
        <f>VLOOKUP(A13,Export!A:N,14,0)</f>
        <v>#N/A</v>
      </c>
      <c r="C13" s="98" t="e">
        <f>VLOOKUP(A13,Export!A:P,16,0)</f>
        <v>#N/A</v>
      </c>
      <c r="D13" s="99" t="e">
        <f>VLOOKUP(A13,Export!A:H,8,0)</f>
        <v>#N/A</v>
      </c>
      <c r="E13" s="99" t="e">
        <f>VLOOKUP(A13,Export!A:I,9,0)</f>
        <v>#N/A</v>
      </c>
      <c r="F13" s="99" t="e">
        <f>VLOOKUP(A13,Export!A:AH,34,0)</f>
        <v>#N/A</v>
      </c>
      <c r="G13" s="99" t="e">
        <f>VLOOKUP(A13,Export!A:B,2,0)</f>
        <v>#N/A</v>
      </c>
      <c r="H13" s="165" t="e">
        <f>VLOOKUP(A13,Export!A:D,4,0)</f>
        <v>#N/A</v>
      </c>
      <c r="I13" s="99" t="s">
        <v>3621</v>
      </c>
      <c r="J13" s="188"/>
      <c r="K13" s="104" t="e">
        <f>+VLOOKUP(A13,'[1]ORIGINAL '!D:E,2,0)</f>
        <v>#N/A</v>
      </c>
      <c r="L13" s="168" t="e">
        <f>VLOOKUP(A13,'OFICIO '!A:J,10,0)</f>
        <v>#N/A</v>
      </c>
    </row>
    <row r="14" spans="1:12" s="48" customFormat="1">
      <c r="A14" s="287"/>
      <c r="B14" s="98" t="e">
        <f>VLOOKUP(A14,Export!A:N,14,0)</f>
        <v>#N/A</v>
      </c>
      <c r="C14" s="98" t="e">
        <f>VLOOKUP(A14,Export!A:P,16,0)</f>
        <v>#N/A</v>
      </c>
      <c r="D14" s="99" t="e">
        <f>VLOOKUP(A14,Export!A:H,8,0)</f>
        <v>#N/A</v>
      </c>
      <c r="E14" s="99" t="e">
        <f>VLOOKUP(A14,Export!A:I,9,0)</f>
        <v>#N/A</v>
      </c>
      <c r="F14" s="99" t="e">
        <f>VLOOKUP(A14,Export!A:AH,34,0)</f>
        <v>#N/A</v>
      </c>
      <c r="G14" s="99" t="e">
        <f>VLOOKUP(A14,Export!A:B,2,0)</f>
        <v>#N/A</v>
      </c>
      <c r="H14" s="165" t="e">
        <f>VLOOKUP(A14,Export!A:D,4,0)</f>
        <v>#N/A</v>
      </c>
      <c r="I14" s="99" t="s">
        <v>3621</v>
      </c>
      <c r="J14" s="188"/>
      <c r="K14" s="104" t="e">
        <f>+VLOOKUP(A14,'[1]ORIGINAL '!D:E,2,0)</f>
        <v>#N/A</v>
      </c>
      <c r="L14" s="168" t="e">
        <f>VLOOKUP(A14,'OFICIO '!A:J,10,0)</f>
        <v>#N/A</v>
      </c>
    </row>
    <row r="15" spans="1:12" s="48" customFormat="1">
      <c r="A15" s="287"/>
      <c r="B15" s="98" t="e">
        <f>VLOOKUP(A15,Export!A:N,14,0)</f>
        <v>#N/A</v>
      </c>
      <c r="C15" s="98" t="e">
        <f>VLOOKUP(A15,Export!A:P,16,0)</f>
        <v>#N/A</v>
      </c>
      <c r="D15" s="99" t="e">
        <f>VLOOKUP(A15,Export!A:H,8,0)</f>
        <v>#N/A</v>
      </c>
      <c r="E15" s="99" t="e">
        <f>VLOOKUP(A15,Export!A:I,9,0)</f>
        <v>#N/A</v>
      </c>
      <c r="F15" s="99" t="e">
        <f>VLOOKUP(A15,Export!A:AH,34,0)</f>
        <v>#N/A</v>
      </c>
      <c r="G15" s="99" t="e">
        <f>VLOOKUP(A15,Export!A:B,2,0)</f>
        <v>#N/A</v>
      </c>
      <c r="H15" s="165" t="e">
        <f>VLOOKUP(A15,Export!A:D,4,0)</f>
        <v>#N/A</v>
      </c>
      <c r="I15" s="99" t="s">
        <v>3621</v>
      </c>
      <c r="J15" s="188"/>
      <c r="K15" s="104" t="e">
        <f>+VLOOKUP(A15,'[1]ORIGINAL '!D:E,2,0)</f>
        <v>#N/A</v>
      </c>
      <c r="L15" s="168" t="e">
        <f>VLOOKUP(A15,'OFICIO '!A:J,10,0)</f>
        <v>#N/A</v>
      </c>
    </row>
    <row r="16" spans="1:12" s="48" customFormat="1">
      <c r="A16" s="287"/>
      <c r="B16" s="98" t="e">
        <f>VLOOKUP(A16,Export!A:N,14,0)</f>
        <v>#N/A</v>
      </c>
      <c r="C16" s="98" t="e">
        <f>VLOOKUP(A16,Export!A:P,16,0)</f>
        <v>#N/A</v>
      </c>
      <c r="D16" s="99" t="e">
        <f>VLOOKUP(A16,Export!A:H,8,0)</f>
        <v>#N/A</v>
      </c>
      <c r="E16" s="99" t="e">
        <f>VLOOKUP(A16,Export!A:I,9,0)</f>
        <v>#N/A</v>
      </c>
      <c r="F16" s="99" t="e">
        <f>VLOOKUP(A16,Export!A:AH,34,0)</f>
        <v>#N/A</v>
      </c>
      <c r="G16" s="99" t="e">
        <f>VLOOKUP(A16,Export!A:B,2,0)</f>
        <v>#N/A</v>
      </c>
      <c r="H16" s="165" t="e">
        <f>VLOOKUP(A16,Export!A:D,4,0)</f>
        <v>#N/A</v>
      </c>
      <c r="I16" s="99" t="s">
        <v>3621</v>
      </c>
      <c r="J16" s="188"/>
      <c r="K16" s="104" t="e">
        <f>+VLOOKUP(A16,'[1]ORIGINAL '!D:E,2,0)</f>
        <v>#N/A</v>
      </c>
      <c r="L16" s="168" t="e">
        <f>VLOOKUP(A16,'OFICIO '!A:J,10,0)</f>
        <v>#N/A</v>
      </c>
    </row>
    <row r="17" spans="1:12" s="48" customFormat="1">
      <c r="A17" s="287"/>
      <c r="B17" s="98" t="e">
        <f>VLOOKUP(A17,Export!A:N,14,0)</f>
        <v>#N/A</v>
      </c>
      <c r="C17" s="98" t="e">
        <f>VLOOKUP(A17,Export!A:P,16,0)</f>
        <v>#N/A</v>
      </c>
      <c r="D17" s="99" t="e">
        <f>VLOOKUP(A17,Export!A:H,8,0)</f>
        <v>#N/A</v>
      </c>
      <c r="E17" s="99" t="e">
        <f>VLOOKUP(A17,Export!A:I,9,0)</f>
        <v>#N/A</v>
      </c>
      <c r="F17" s="99" t="e">
        <f>VLOOKUP(A17,Export!A:AH,34,0)</f>
        <v>#N/A</v>
      </c>
      <c r="G17" s="99" t="e">
        <f>VLOOKUP(A17,Export!A:B,2,0)</f>
        <v>#N/A</v>
      </c>
      <c r="H17" s="165" t="e">
        <f>VLOOKUP(A17,Export!A:D,4,0)</f>
        <v>#N/A</v>
      </c>
      <c r="I17" s="99" t="s">
        <v>3621</v>
      </c>
      <c r="J17" s="188"/>
      <c r="K17" s="104" t="e">
        <f>+VLOOKUP(A17,'[1]ORIGINAL '!D:E,2,0)</f>
        <v>#N/A</v>
      </c>
      <c r="L17" s="168" t="e">
        <f>VLOOKUP(A17,'OFICIO '!A:J,10,0)</f>
        <v>#N/A</v>
      </c>
    </row>
    <row r="18" spans="1:12" s="48" customFormat="1">
      <c r="A18" s="287"/>
      <c r="B18" s="98" t="e">
        <f>VLOOKUP(A18,Export!A:N,14,0)</f>
        <v>#N/A</v>
      </c>
      <c r="C18" s="98" t="e">
        <f>VLOOKUP(A18,Export!A:P,16,0)</f>
        <v>#N/A</v>
      </c>
      <c r="D18" s="99" t="e">
        <f>VLOOKUP(A18,Export!A:H,8,0)</f>
        <v>#N/A</v>
      </c>
      <c r="E18" s="99" t="e">
        <f>VLOOKUP(A18,Export!A:I,9,0)</f>
        <v>#N/A</v>
      </c>
      <c r="F18" s="99" t="e">
        <f>VLOOKUP(A18,Export!A:AH,34,0)</f>
        <v>#N/A</v>
      </c>
      <c r="G18" s="99" t="e">
        <f>VLOOKUP(A18,Export!A:B,2,0)</f>
        <v>#N/A</v>
      </c>
      <c r="H18" s="165" t="e">
        <f>VLOOKUP(A18,Export!A:D,4,0)</f>
        <v>#N/A</v>
      </c>
      <c r="I18" s="99" t="s">
        <v>3621</v>
      </c>
      <c r="J18" s="188"/>
      <c r="K18" s="104" t="e">
        <f>+VLOOKUP(A18,'[1]ORIGINAL '!D:E,2,0)</f>
        <v>#N/A</v>
      </c>
      <c r="L18" s="168" t="e">
        <f>VLOOKUP(A18,'OFICIO '!A:J,10,0)</f>
        <v>#N/A</v>
      </c>
    </row>
  </sheetData>
  <conditionalFormatting sqref="A1">
    <cfRule type="duplicateValues" dxfId="2" priority="8"/>
  </conditionalFormatting>
  <conditionalFormatting sqref="B2:I8 B9:L10 C11:L11 B12:L18 L2:L8 K5">
    <cfRule type="expression" dxfId="1" priority="190">
      <formula>$I2="PAGADO"</formula>
    </cfRule>
  </conditionalFormatting>
  <conditionalFormatting sqref="E1:F18">
    <cfRule type="containsText" dxfId="0" priority="1" operator="containsText" text="No Factura">
      <formula>NOT(ISERROR(SEARCH("No Factura",E1)))</formula>
    </cfRule>
  </conditionalFormatting>
  <dataValidations count="1">
    <dataValidation type="list" allowBlank="1" showInputMessage="1" showErrorMessage="1" sqref="I1:I18" xr:uid="{9D3C3D05-0632-40ED-9D83-585F04AE142A}">
      <formula1>"PAGADO,PENDIENTE,ROTO"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DB359-C82B-460C-9DB1-2758B38DE742}">
  <dimension ref="A1:C22"/>
  <sheetViews>
    <sheetView topLeftCell="A12" workbookViewId="0">
      <selection activeCell="B19" sqref="B19:C20"/>
    </sheetView>
  </sheetViews>
  <sheetFormatPr defaultColWidth="9.140625" defaultRowHeight="15"/>
  <cols>
    <col min="1" max="1" width="13" style="7" customWidth="1"/>
    <col min="2" max="2" width="140.140625" bestFit="1" customWidth="1"/>
    <col min="3" max="3" width="13.28515625" bestFit="1" customWidth="1"/>
  </cols>
  <sheetData>
    <row r="1" spans="1:3">
      <c r="A1" s="12" t="s">
        <v>4145</v>
      </c>
      <c r="B1" s="11" t="s">
        <v>4146</v>
      </c>
      <c r="C1" s="11" t="s">
        <v>4147</v>
      </c>
    </row>
    <row r="2" spans="1:3">
      <c r="A2" s="392">
        <v>3494679</v>
      </c>
      <c r="B2" s="393" t="s">
        <v>4148</v>
      </c>
      <c r="C2" s="11" t="s">
        <v>4149</v>
      </c>
    </row>
    <row r="3" spans="1:3">
      <c r="A3" s="12">
        <v>3685968</v>
      </c>
      <c r="B3" s="11" t="s">
        <v>4150</v>
      </c>
      <c r="C3" s="11" t="s">
        <v>4149</v>
      </c>
    </row>
    <row r="4" spans="1:3">
      <c r="A4" s="12">
        <v>3479533</v>
      </c>
      <c r="B4" s="11" t="s">
        <v>4151</v>
      </c>
      <c r="C4" s="11" t="s">
        <v>4149</v>
      </c>
    </row>
    <row r="5" spans="1:3">
      <c r="A5" s="12">
        <v>3590667</v>
      </c>
      <c r="B5" s="394" t="s">
        <v>4152</v>
      </c>
      <c r="C5" s="11" t="s">
        <v>4149</v>
      </c>
    </row>
    <row r="6" spans="1:3">
      <c r="A6" s="12">
        <v>3650548</v>
      </c>
      <c r="B6" s="11" t="s">
        <v>4153</v>
      </c>
      <c r="C6" s="11" t="s">
        <v>4149</v>
      </c>
    </row>
    <row r="7" spans="1:3">
      <c r="A7" s="12">
        <v>3306478</v>
      </c>
      <c r="B7" s="393" t="s">
        <v>4154</v>
      </c>
      <c r="C7" s="11" t="s">
        <v>4149</v>
      </c>
    </row>
    <row r="8" spans="1:3">
      <c r="A8" s="397">
        <v>3357655</v>
      </c>
      <c r="B8" s="399" t="s">
        <v>4155</v>
      </c>
      <c r="C8" s="11" t="s">
        <v>4156</v>
      </c>
    </row>
    <row r="9" spans="1:3" ht="30">
      <c r="A9" s="392" t="s">
        <v>4157</v>
      </c>
      <c r="B9" s="393" t="s">
        <v>4158</v>
      </c>
      <c r="C9" s="396" t="s">
        <v>4149</v>
      </c>
    </row>
    <row r="10" spans="1:3" ht="30">
      <c r="A10" s="392" t="s">
        <v>4159</v>
      </c>
      <c r="B10" s="11" t="s">
        <v>4160</v>
      </c>
      <c r="C10" s="396" t="s">
        <v>4149</v>
      </c>
    </row>
    <row r="11" spans="1:3" ht="30">
      <c r="A11" s="392" t="s">
        <v>4161</v>
      </c>
      <c r="B11" s="393" t="s">
        <v>4162</v>
      </c>
      <c r="C11" s="396" t="s">
        <v>4149</v>
      </c>
    </row>
    <row r="12" spans="1:3" ht="30">
      <c r="A12" s="392" t="s">
        <v>4163</v>
      </c>
      <c r="B12" s="11" t="s">
        <v>4164</v>
      </c>
      <c r="C12" s="396" t="s">
        <v>4149</v>
      </c>
    </row>
    <row r="13" spans="1:3" ht="30">
      <c r="A13" s="392" t="s">
        <v>4165</v>
      </c>
      <c r="B13" s="11" t="s">
        <v>4166</v>
      </c>
      <c r="C13" s="396" t="s">
        <v>4149</v>
      </c>
    </row>
    <row r="14" spans="1:3" ht="30">
      <c r="A14" s="392" t="s">
        <v>4167</v>
      </c>
      <c r="B14" s="395" t="s">
        <v>4168</v>
      </c>
      <c r="C14" s="396" t="s">
        <v>4149</v>
      </c>
    </row>
    <row r="15" spans="1:3">
      <c r="A15" s="392">
        <v>3587724</v>
      </c>
      <c r="B15" s="393" t="s">
        <v>4169</v>
      </c>
      <c r="C15" s="393" t="s">
        <v>4149</v>
      </c>
    </row>
    <row r="16" spans="1:3">
      <c r="A16" s="398">
        <v>3487480</v>
      </c>
      <c r="B16" s="393" t="s">
        <v>4169</v>
      </c>
      <c r="C16" s="11" t="s">
        <v>4149</v>
      </c>
    </row>
    <row r="17" spans="1:3">
      <c r="A17" s="12">
        <v>3611204</v>
      </c>
      <c r="B17" s="393" t="s">
        <v>4169</v>
      </c>
      <c r="C17" s="11" t="s">
        <v>4149</v>
      </c>
    </row>
    <row r="18" spans="1:3">
      <c r="A18" s="12">
        <v>3572112</v>
      </c>
      <c r="B18" s="393" t="s">
        <v>4169</v>
      </c>
      <c r="C18" s="11" t="s">
        <v>4149</v>
      </c>
    </row>
    <row r="19" spans="1:3">
      <c r="A19" s="12">
        <v>3606496</v>
      </c>
      <c r="B19" s="393" t="s">
        <v>4169</v>
      </c>
      <c r="C19" s="11" t="s">
        <v>4149</v>
      </c>
    </row>
    <row r="20" spans="1:3">
      <c r="A20" s="401">
        <v>3572113</v>
      </c>
      <c r="B20" s="393" t="s">
        <v>4169</v>
      </c>
      <c r="C20" s="11" t="s">
        <v>4149</v>
      </c>
    </row>
    <row r="21" spans="1:3">
      <c r="A21" s="12">
        <v>3595383</v>
      </c>
      <c r="B21" s="396" t="s">
        <v>4169</v>
      </c>
      <c r="C21" s="11" t="s">
        <v>4149</v>
      </c>
    </row>
    <row r="22" spans="1:3">
      <c r="A22" s="12">
        <v>3386408</v>
      </c>
      <c r="B22" s="396" t="s">
        <v>4169</v>
      </c>
      <c r="C22" s="11" t="s">
        <v>4149</v>
      </c>
    </row>
  </sheetData>
  <hyperlinks>
    <hyperlink ref="B8" r:id="rId1" display="3357655" xr:uid="{6E58BD97-721E-4309-AB4F-23D55A008708}"/>
    <hyperlink ref="A8" r:id="rId2" display="3357655" xr:uid="{9E1B85D3-5097-4518-9B1A-358FBF275A5B}"/>
    <hyperlink ref="A9" r:id="rId3" xr:uid="{1405E773-E052-4822-8CE8-EE8D32437654}"/>
    <hyperlink ref="A10" r:id="rId4" xr:uid="{B24DF909-04AB-4291-9AD8-6283FE11C825}"/>
    <hyperlink ref="A11" r:id="rId5" xr:uid="{CDD79FDC-F64D-46D8-80E7-C13D432E5886}"/>
    <hyperlink ref="A12" r:id="rId6" xr:uid="{E031C6A4-BBDC-4567-8F27-2E5A25C77076}"/>
    <hyperlink ref="A13" r:id="rId7" xr:uid="{AD3F0C98-38FD-4076-97ED-7F3BA4E82264}"/>
    <hyperlink ref="A14" r:id="rId8" xr:uid="{58B8F316-5469-4873-9E65-1F78F980C237}"/>
    <hyperlink ref="B14" r:id="rId9" display="_x000a_3547176" xr:uid="{5A3D7B12-EEAB-4169-A1E9-D6976AA184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/>
  <cp:revision/>
  <dcterms:created xsi:type="dcterms:W3CDTF">2026-05-06T01:09:12Z</dcterms:created>
  <dcterms:modified xsi:type="dcterms:W3CDTF">2026-07-22T13:55:36Z</dcterms:modified>
  <cp:category/>
  <cp:contentStatus/>
</cp:coreProperties>
</file>